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RGAR OPERACIONES" sheetId="2" state="visible" r:id="rId4"/>
    <sheet name="Bloques" sheetId="3" state="visible" r:id="rId5"/>
    <sheet name="Semanal y mensual" sheetId="4" state="visible" r:id="rId6"/>
    <sheet name="Analisis" sheetId="5" state="visible" r:id="rId7"/>
    <sheet name="Parametros" sheetId="6" state="visible" r:id="rId8"/>
    <sheet name="Datos grafico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2" authorId="0">
      <text>
        <r>
          <rPr>
            <sz val="10"/>
            <rFont val="Arial"/>
            <family val="2"/>
          </rPr>
          <t xml:space="preserve">Acierto necesario para no perder con la ganancia y pérdida medias actuales (incluye comisiones).</t>
        </r>
      </text>
    </comment>
    <comment ref="B26" authorId="0">
      <text>
        <r>
          <rPr>
            <sz val="10"/>
            <rFont val="Arial"/>
            <family val="2"/>
          </rPr>
          <t xml:space="preserve">Beneficio bruto / pérdida bruta. &gt;1 = ganador; &gt;1,5 = sólido.</t>
        </r>
      </text>
    </comment>
    <comment ref="G21" authorId="0">
      <text>
        <r>
          <rPr>
            <sz val="10"/>
            <rFont val="Arial"/>
            <family val="2"/>
          </rPr>
          <t xml:space="preserve">Lo que gana (o pierde) de media cada operación.</t>
        </r>
      </text>
    </comment>
    <comment ref="G22" authorId="0">
      <text>
        <r>
          <rPr>
            <sz val="10"/>
            <rFont val="Arial"/>
            <family val="2"/>
          </rPr>
          <t xml:space="preserve">Esperanza dividida por el riesgo por operación.</t>
        </r>
      </text>
    </comment>
    <comment ref="L36" authorId="0">
      <text>
        <r>
          <rPr>
            <sz val="10"/>
            <rFont val="Arial"/>
            <family val="2"/>
          </rPr>
          <t xml:space="preserve">Distancia entre el capital actual y el máximo alcanzado.</t>
        </r>
      </text>
    </comment>
    <comment ref="L37" authorId="0">
      <text>
        <r>
          <rPr>
            <sz val="10"/>
            <rFont val="Arial"/>
            <family val="2"/>
          </rPr>
          <t xml:space="preserve">Beneficio neto / máximo drawdown.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6" authorId="0">
      <text>
        <r>
          <rPr>
            <sz val="10"/>
            <rFont val="Arial"/>
            <family val="2"/>
          </rPr>
          <t xml:space="preserve">Anótalo siempre en ticks POR CONTRATO (en el registro original algunos valores estaban en total).</t>
        </r>
      </text>
    </comment>
  </commentList>
</comments>
</file>

<file path=xl/sharedStrings.xml><?xml version="1.0" encoding="utf-8"?>
<sst xmlns="http://schemas.openxmlformats.org/spreadsheetml/2006/main" count="345" uniqueCount="190">
  <si>
    <t xml:space="preserve">MI SISTEMA MCL 2:1</t>
  </si>
  <si>
    <t xml:space="preserve">Resultados desde el 14/08/2026 · se actualiza solo al añadir operaciones en la pestaña CARGAR OPERACIONES</t>
  </si>
  <si>
    <t xml:space="preserve">CAPITAL ACTUAL</t>
  </si>
  <si>
    <t xml:space="preserve">BENEFICIO NETO</t>
  </si>
  <si>
    <t xml:space="preserve">% DE ACIERTO</t>
  </si>
  <si>
    <t xml:space="preserve">PROFIT FACTOR</t>
  </si>
  <si>
    <t xml:space="preserve">ESPERANZA / OP.</t>
  </si>
  <si>
    <t xml:space="preserve">DRAWDOWN ACTUAL</t>
  </si>
  <si>
    <t xml:space="preserve">BLOQUE EN CURSO</t>
  </si>
  <si>
    <t xml:space="preserve">✏  ¿Nueva operación? Haz clic aquí para ir a la pestaña CARGAR OPERACIONES  →</t>
  </si>
  <si>
    <t xml:space="preserve">RESULTADO</t>
  </si>
  <si>
    <t xml:space="preserve">POR OPERACIÓN</t>
  </si>
  <si>
    <t xml:space="preserve">RACHAS Y ÚLTIMAS 10</t>
  </si>
  <si>
    <t xml:space="preserve">Operaciones</t>
  </si>
  <si>
    <t xml:space="preserve">Ganancia media</t>
  </si>
  <si>
    <t xml:space="preserve">Máx. racha ganadora</t>
  </si>
  <si>
    <t xml:space="preserve">Ganadoras</t>
  </si>
  <si>
    <t xml:space="preserve">Pérdida media</t>
  </si>
  <si>
    <t xml:space="preserve">Máx. racha perdedora</t>
  </si>
  <si>
    <t xml:space="preserve">Perdedoras</t>
  </si>
  <si>
    <t xml:space="preserve">Ratio ganancia / pérdida</t>
  </si>
  <si>
    <t xml:space="preserve">Racha actual</t>
  </si>
  <si>
    <t xml:space="preserve">% de acierto</t>
  </si>
  <si>
    <t xml:space="preserve">Esperanza por operación</t>
  </si>
  <si>
    <t xml:space="preserve">Operaciones en la muestra</t>
  </si>
  <si>
    <t xml:space="preserve">% de acierto mínimo (break-even)</t>
  </si>
  <si>
    <t xml:space="preserve">Esperanza en R</t>
  </si>
  <si>
    <t xml:space="preserve">% acierto últimas 10</t>
  </si>
  <si>
    <t xml:space="preserve">Beneficio neto</t>
  </si>
  <si>
    <t xml:space="preserve">Duración media ganadoras (min)</t>
  </si>
  <si>
    <t xml:space="preserve">Neto últimas 10</t>
  </si>
  <si>
    <t xml:space="preserve">Beneficio bruto (ganadoras)</t>
  </si>
  <si>
    <t xml:space="preserve">Duración media perdedoras (min)</t>
  </si>
  <si>
    <t xml:space="preserve">Profit factor últimas 10</t>
  </si>
  <si>
    <t xml:space="preserve">Pérdida bruta (perdedoras)</t>
  </si>
  <si>
    <t xml:space="preserve">% operaciones disciplinadas</t>
  </si>
  <si>
    <t xml:space="preserve">Profit factor</t>
  </si>
  <si>
    <t xml:space="preserve">Neto de operaciones indisciplinadas</t>
  </si>
  <si>
    <t xml:space="preserve">Comisiones pagadas</t>
  </si>
  <si>
    <t xml:space="preserve">CAPITAL Y RIESGO</t>
  </si>
  <si>
    <t xml:space="preserve">CURVA DE CAPITAL</t>
  </si>
  <si>
    <t xml:space="preserve">Capital inicial</t>
  </si>
  <si>
    <t xml:space="preserve">Capital actual</t>
  </si>
  <si>
    <t xml:space="preserve">Rentabilidad del periodo</t>
  </si>
  <si>
    <t xml:space="preserve">Capital máximo alcanzado</t>
  </si>
  <si>
    <t xml:space="preserve">Máximo drawdown $</t>
  </si>
  <si>
    <t xml:space="preserve">Máximo drawdown %</t>
  </si>
  <si>
    <t xml:space="preserve">Drawdown actual $</t>
  </si>
  <si>
    <t xml:space="preserve">Factor de recuperación</t>
  </si>
  <si>
    <t xml:space="preserve">Bloque en curso</t>
  </si>
  <si>
    <t xml:space="preserve">Operaciones del bloque en curso</t>
  </si>
  <si>
    <t xml:space="preserve">✏  CARGAR OPERACIONES — aquí anotas cada trade</t>
  </si>
  <si>
    <t xml:space="preserve">CÓMO CARGAR: 1) Ve a la primera fila vacía.  2) Completa las columnas color crema B→N (fecha, horas, símbolo, C/L, contratos, patrón, ticks totales, MFE, MAE, SI/NO, motivo, notas).  3) No toques las columnas azules: se calculan solas.</t>
  </si>
  <si>
    <t xml:space="preserve">Esta es la ÚNICA pestaña donde escribes. Todo lo demás (Dashboard, Bloques, Semanas, Análisis) se actualiza solo.</t>
  </si>
  <si>
    <t xml:space="preserve">▼  COMPLETA ESTAS COLUMNAS  ▼</t>
  </si>
  <si>
    <t xml:space="preserve">CÁLCULOS AUTOMÁTICOS (no escribir)</t>
  </si>
  <si>
    <t xml:space="preserve">Nº</t>
  </si>
  <si>
    <t xml:space="preserve">Fecha</t>
  </si>
  <si>
    <t xml:space="preserve">Hora entrada</t>
  </si>
  <si>
    <t xml:space="preserve">Hora salida</t>
  </si>
  <si>
    <t xml:space="preserve">Símbolo</t>
  </si>
  <si>
    <t xml:space="preserve">C / L</t>
  </si>
  <si>
    <t xml:space="preserve">Contratos</t>
  </si>
  <si>
    <t xml:space="preserve">Patrón</t>
  </si>
  <si>
    <t xml:space="preserve">Ticks (total)</t>
  </si>
  <si>
    <t xml:space="preserve">MFE (ticks/contrato)</t>
  </si>
  <si>
    <t xml:space="preserve">MAE (ticks/contrato)</t>
  </si>
  <si>
    <t xml:space="preserve">Disciplinada</t>
  </si>
  <si>
    <t xml:space="preserve">Motivo indisciplina</t>
  </si>
  <si>
    <t xml:space="preserve">Imagen / notas</t>
  </si>
  <si>
    <t xml:space="preserve">Bloque</t>
  </si>
  <si>
    <t xml:space="preserve">Duración (min)</t>
  </si>
  <si>
    <t xml:space="preserve">Bruto $</t>
  </si>
  <si>
    <t xml:space="preserve">Comisión $</t>
  </si>
  <si>
    <t xml:space="preserve">Neto $</t>
  </si>
  <si>
    <t xml:space="preserve">Resultado</t>
  </si>
  <si>
    <t xml:space="preserve">Múltiplo R</t>
  </si>
  <si>
    <t xml:space="preserve">Capital $</t>
  </si>
  <si>
    <t xml:space="preserve">Pico capital $</t>
  </si>
  <si>
    <t xml:space="preserve">Drawdown $</t>
  </si>
  <si>
    <t xml:space="preserve">Drawdown %</t>
  </si>
  <si>
    <t xml:space="preserve">Racha</t>
  </si>
  <si>
    <t xml:space="preserve">Semana (lunes)</t>
  </si>
  <si>
    <t xml:space="preserve">Mes</t>
  </si>
  <si>
    <t xml:space="preserve">Día</t>
  </si>
  <si>
    <t xml:space="preserve">Hora</t>
  </si>
  <si>
    <t xml:space="preserve">Pico bloque $</t>
  </si>
  <si>
    <t xml:space="preserve">DD bloque $</t>
  </si>
  <si>
    <t xml:space="preserve">Racha bloque</t>
  </si>
  <si>
    <t xml:space="preserve">MCL</t>
  </si>
  <si>
    <t xml:space="preserve">L</t>
  </si>
  <si>
    <t xml:space="preserve">Giro+VC</t>
  </si>
  <si>
    <t xml:space="preserve">SI</t>
  </si>
  <si>
    <t xml:space="preserve">ESTRUC+VC</t>
  </si>
  <si>
    <t xml:space="preserve">C</t>
  </si>
  <si>
    <t xml:space="preserve">NO</t>
  </si>
  <si>
    <t xml:space="preserve">Bloques de 20 operaciones</t>
  </si>
  <si>
    <t xml:space="preserve">Cada bloque es una muestra de 20 operaciones. Compara cada bloque con el global y con tus metas (Parametros).</t>
  </si>
  <si>
    <t xml:space="preserve">BLOQUE EN CURSO vs GLOBAL</t>
  </si>
  <si>
    <t xml:space="preserve">Muestra</t>
  </si>
  <si>
    <t xml:space="preserve">% acierto</t>
  </si>
  <si>
    <t xml:space="preserve">Gan. / Perd.</t>
  </si>
  <si>
    <t xml:space="preserve">Esperanza $</t>
  </si>
  <si>
    <t xml:space="preserve">Máx. DD $</t>
  </si>
  <si>
    <t xml:space="preserve">Disciplina</t>
  </si>
  <si>
    <t xml:space="preserve">DETALLE POR BLOQUE</t>
  </si>
  <si>
    <t xml:space="preserve">Ops</t>
  </si>
  <si>
    <t xml:space="preserve">Progreso</t>
  </si>
  <si>
    <t xml:space="preserve">Estado</t>
  </si>
  <si>
    <t xml:space="preserve">Desde</t>
  </si>
  <si>
    <t xml:space="preserve">Hasta</t>
  </si>
  <si>
    <t xml:space="preserve">Gan.</t>
  </si>
  <si>
    <t xml:space="preserve">Perd.</t>
  </si>
  <si>
    <t xml:space="preserve">Esperanza R</t>
  </si>
  <si>
    <t xml:space="preserve">Máx. DD bloque $</t>
  </si>
  <si>
    <t xml:space="preserve">Peor racha</t>
  </si>
  <si>
    <t xml:space="preserve">Capital al cierre $</t>
  </si>
  <si>
    <t xml:space="preserve">Meta PF</t>
  </si>
  <si>
    <t xml:space="preserve">Meta acierto</t>
  </si>
  <si>
    <t xml:space="preserve">Meta disc.</t>
  </si>
  <si>
    <t xml:space="preserve">TOTAL</t>
  </si>
  <si>
    <t xml:space="preserve">Profit factor ∞ = bloque sin pérdidas. Las metas se cambian en Parametros (PF, % acierto y disciplina). 'Máx. DD bloque' = mayor caída desde el máximo de capital dentro del bloque. Un bloque con pocas operaciones aún no es concluyente.</t>
  </si>
  <si>
    <t xml:space="preserve">Semanas y meses</t>
  </si>
  <si>
    <t xml:space="preserve">Semanas de lunes a domingo. Primera semana = la de la fecha de inicio (Parametros).</t>
  </si>
  <si>
    <t xml:space="preserve">Por semana</t>
  </si>
  <si>
    <t xml:space="preserve">Por mes</t>
  </si>
  <si>
    <t xml:space="preserve">Ganadas</t>
  </si>
  <si>
    <t xml:space="preserve">Perdidas</t>
  </si>
  <si>
    <t xml:space="preserve">¿Dónde gana y dónde pierde el sistema?</t>
  </si>
  <si>
    <t xml:space="preserve">Ojo: grupos con menos de 20-30 operaciones no son concluyentes, úsalos como pistas.</t>
  </si>
  <si>
    <t xml:space="preserve">Por dirección</t>
  </si>
  <si>
    <t xml:space="preserve">Dirección (L/C)</t>
  </si>
  <si>
    <t xml:space="preserve">Por patrón</t>
  </si>
  <si>
    <t xml:space="preserve">ESTRUC+FV</t>
  </si>
  <si>
    <t xml:space="preserve">Giro+FV</t>
  </si>
  <si>
    <t xml:space="preserve">FACIL+VC</t>
  </si>
  <si>
    <t xml:space="preserve">FACIL+FV</t>
  </si>
  <si>
    <t xml:space="preserve">Por día de la semana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</si>
  <si>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</si>
  <si>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</si>
  <si>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</si>
  <si>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</si>
  <si>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</si>
  <si>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Por hora de entrada</t>
  </si>
  <si>
    <t xml:space="preserve">Hora (9 = 9:00-9:59)</t>
  </si>
  <si>
    <t xml:space="preserve">Por disciplina</t>
  </si>
  <si>
    <t xml:space="preserve">Por nº de contratos</t>
  </si>
  <si>
    <t xml:space="preserve">Por símbolo</t>
  </si>
  <si>
    <t xml:space="preserve">CL</t>
  </si>
  <si>
    <t xml:space="preserve">Parámetros del sistema</t>
  </si>
  <si>
    <t xml:space="preserve">Celdas color crema con texto azul = datos que puedes cambiar. Todo lo demás se calcula solo.</t>
  </si>
  <si>
    <t xml:space="preserve">Capital inicial del periodo ($)</t>
  </si>
  <si>
    <t xml:space="preserve">Capital justo antes de la 1ª operación del 14/08/26 (archivo original, tras la op. del 26/06/26).</t>
  </si>
  <si>
    <t xml:space="preserve">Fecha de inicio del sistema</t>
  </si>
  <si>
    <t xml:space="preserve">Fecha en que se modificó el sistema (dato tuyo).</t>
  </si>
  <si>
    <t xml:space="preserve">Riesgo por operación ($)</t>
  </si>
  <si>
    <t xml:space="preserve">Stop fijo en $ (150 ticks MCL). Se usa para el múltiplo R.</t>
  </si>
  <si>
    <t xml:space="preserve">Objetivo por operación ($)</t>
  </si>
  <si>
    <t xml:space="preserve">Take profit fijo en $ (ratio 2:1).</t>
  </si>
  <si>
    <t xml:space="preserve">Operaciones por bloque</t>
  </si>
  <si>
    <t xml:space="preserve">Tamaño de cada bloque.</t>
  </si>
  <si>
    <t xml:space="preserve">Meta: profit factor por bloque</t>
  </si>
  <si>
    <t xml:space="preserve">Objetivo mínimo de PF para considerar un bloque bueno.</t>
  </si>
  <si>
    <t xml:space="preserve">Meta: % de acierto por bloque</t>
  </si>
  <si>
    <t xml:space="preserve">Con 2:1 el mínimo para no perder es ~35%; 40% da margen.</t>
  </si>
  <si>
    <t xml:space="preserve">Meta: % de disciplina por bloque</t>
  </si>
  <si>
    <t xml:space="preserve">Máximo 1 operación indisciplinada por bloque de 20.</t>
  </si>
  <si>
    <t xml:space="preserve">Instrumentos</t>
  </si>
  <si>
    <t xml:space="preserve">Valor tick ($)</t>
  </si>
  <si>
    <t xml:space="preserve">Comisión ($/contrato, ida y vuelta)</t>
  </si>
  <si>
    <t xml:space="preserve">Copiado de la pestaña 'Parametrizacion' del archivo original.</t>
  </si>
  <si>
    <t xml:space="preserve">Patrones</t>
  </si>
  <si>
    <t xml:space="preserve">Motivos de indisciplina</t>
  </si>
  <si>
    <t xml:space="preserve">Descripción</t>
  </si>
  <si>
    <t xml:space="preserve">Motivo</t>
  </si>
  <si>
    <t xml:space="preserve">Estructura + Vela de Confirmación</t>
  </si>
  <si>
    <t xml:space="preserve">Patrón no existente</t>
  </si>
  <si>
    <t xml:space="preserve">UT, SP, Fll + VC</t>
  </si>
  <si>
    <t xml:space="preserve">Disparador mal ejecutado</t>
  </si>
  <si>
    <t xml:space="preserve">Estructura + Falta de volumen</t>
  </si>
  <si>
    <t xml:space="preserve">Profit modificado</t>
  </si>
  <si>
    <t xml:space="preserve">UT, SP, Fll + FV</t>
  </si>
  <si>
    <t xml:space="preserve">Stop modificado</t>
  </si>
  <si>
    <t xml:space="preserve">Facilidad + Vela de Confirmación</t>
  </si>
  <si>
    <t xml:space="preserve">Error en cantidad de contratos</t>
  </si>
  <si>
    <t xml:space="preserve">Facilidad + Falta de volumen</t>
  </si>
  <si>
    <t xml:space="preserve">No esperamos manipulación</t>
  </si>
  <si>
    <t xml:space="preserve">No definido</t>
  </si>
  <si>
    <t xml:space="preserve">Capital</t>
  </si>
  <si>
    <t xml:space="preserve">Hoja auxiliar del gráfico de capital: el error N/A en filas vacías es intencionado (así el gráfico no dibuja ceros). No la borres.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</si>
</sst>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\$#,##0;[RED]&quot;-$&quot;#,##0;\$0"/>
    <numFmt numFmtId="166" formatCode="0.0%"/>
    <numFmt numFmtId="167" formatCode="0.00"/>
    <numFmt numFmtId="168" formatCode="@"/>
    <numFmt numFmtId="169" formatCode="0%"/>
    <numFmt numFmtId="170" formatCode="0"/>
    <numFmt numFmtId="171" formatCode="\$#,##0.00;[RED]&quot;-$&quot;#,##0.00;\-"/>
    <numFmt numFmtId="172" formatCode="0.00;[RED]\-0.00;\-"/>
    <numFmt numFmtId="173" formatCode="\+0&quot; ganadas&quot;;[RED]0&quot; perdidas&quot;;0"/>
    <numFmt numFmtId="174" formatCode="0.0%;[RED]\-0.0%"/>
    <numFmt numFmtId="175" formatCode="\+0.00\R;[RED]\-0.00\R;0.00\R"/>
    <numFmt numFmtId="176" formatCode="\$#,##0"/>
    <numFmt numFmtId="177" formatCode="General"/>
    <numFmt numFmtId="178" formatCode="dd/mm/yyyy"/>
    <numFmt numFmtId="179" formatCode="hh:mm"/>
    <numFmt numFmtId="180" formatCode="dd/mm/yy"/>
    <numFmt numFmtId="181" formatCode="mmm\-yy"/>
    <numFmt numFmtId="182" formatCode="[=99]\∞;0.00"/>
    <numFmt numFmtId="183" formatCode="\$#,##0.00;&quot;-$&quot;#,##0.00"/>
    <numFmt numFmtId="184" formatCode="\+0.00\R;\-0.00\R"/>
    <numFmt numFmtId="185" formatCode="\$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C9D3E6"/>
      <name val="Arial"/>
      <family val="0"/>
      <charset val="1"/>
    </font>
    <font>
      <b val="true"/>
      <sz val="9"/>
      <color rgb="FF2F4B7C"/>
      <name val="Arial"/>
      <family val="0"/>
      <charset val="1"/>
    </font>
    <font>
      <b val="true"/>
      <sz val="20"/>
      <color rgb="FF1B2A4A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i val="true"/>
      <sz val="10"/>
      <color rgb="FFE3F4EA"/>
      <name val="Arial"/>
      <family val="0"/>
      <charset val="1"/>
    </font>
    <font>
      <b val="true"/>
      <sz val="11"/>
      <color rgb="FF7A5200"/>
      <name val="Arial"/>
      <family val="0"/>
      <charset val="1"/>
    </font>
    <font>
      <b val="true"/>
      <sz val="11"/>
      <color rgb="FF2F4B7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11"/>
      <color rgb="FF1F2937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8"/>
      <color rgb="FF000000"/>
      <name val="Calibri"/>
      <family val="2"/>
    </font>
    <font>
      <sz val="9"/>
      <color rgb="FF6B728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1F2937"/>
      </patternFill>
    </fill>
    <fill>
      <patternFill patternType="solid">
        <fgColor rgb="FFF4B400"/>
        <bgColor rgb="FFFF9900"/>
      </patternFill>
    </fill>
    <fill>
      <patternFill patternType="solid">
        <fgColor rgb="FFE8EEF8"/>
        <bgColor rgb="FFE5E7EB"/>
      </patternFill>
    </fill>
    <fill>
      <patternFill patternType="solid">
        <fgColor rgb="FFF5F7FB"/>
        <bgColor rgb="FFF9F9F9"/>
      </patternFill>
    </fill>
    <fill>
      <patternFill patternType="solid">
        <fgColor rgb="FFFFF4D6"/>
        <bgColor rgb="FFFFF8E1"/>
      </patternFill>
    </fill>
    <fill>
      <patternFill patternType="solid">
        <fgColor rgb="FF1E8449"/>
        <bgColor rgb="FF008080"/>
      </patternFill>
    </fill>
    <fill>
      <patternFill patternType="solid">
        <fgColor rgb="FFFFE8A3"/>
        <bgColor rgb="FFFFF4D6"/>
      </patternFill>
    </fill>
    <fill>
      <patternFill patternType="solid">
        <fgColor rgb="FF2F4B7C"/>
        <bgColor rgb="FF374151"/>
      </patternFill>
    </fill>
    <fill>
      <patternFill patternType="solid">
        <fgColor rgb="FFFFF8E1"/>
        <bgColor rgb="FFFFF4D6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ck">
        <color rgb="FF2F4B7C"/>
      </top>
      <bottom/>
      <diagonal/>
    </border>
    <border diagonalUp="false" diagonalDown="false"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  <border diagonalUp="false" diagonalDown="false">
      <left style="thick">
        <color rgb="FFF4B400"/>
      </left>
      <right/>
      <top/>
      <bottom/>
      <diagonal/>
    </border>
    <border diagonalUp="false" diagonalDown="false">
      <left/>
      <right/>
      <top/>
      <bottom style="medium">
        <color rgb="FFF4B400"/>
      </bottom>
      <diagonal/>
    </border>
    <border diagonalUp="false" diagonalDown="false">
      <left/>
      <right/>
      <top/>
      <bottom style="thin">
        <color rgb="FFD5DB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4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4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5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5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2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2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b val="1"/>
        <color rgb="FF1E8449"/>
      </font>
      <fill>
        <patternFill>
          <bgColor rgb="FFE3F4EA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BE5E3"/>
        </patternFill>
      </fill>
    </dxf>
    <dxf>
      <fill>
        <patternFill>
          <bgColor rgb="FFE3F4EA"/>
        </patternFill>
      </fill>
    </dxf>
    <dxf>
      <fill>
        <patternFill>
          <bgColor rgb="FFFBE5E3"/>
        </patternFill>
      </fill>
    </dxf>
    <dxf>
      <font>
        <name val="Arial"/>
        <charset val="1"/>
        <family val="0"/>
        <b val="1"/>
        <color rgb="FF1E8449"/>
        <sz val="20"/>
      </font>
    </dxf>
    <dxf>
      <font>
        <name val="Arial"/>
        <charset val="1"/>
        <family val="0"/>
        <b val="1"/>
        <color rgb="FFC0392B"/>
        <sz val="20"/>
      </font>
    </dxf>
    <dxf>
      <fill>
        <patternFill>
          <bgColor rgb="FFE8EEF8"/>
        </patternFill>
      </fill>
    </dxf>
    <dxf>
      <fill>
        <patternFill>
          <bgColor rgb="FFF5F7FB"/>
        </patternFill>
      </fill>
    </dxf>
    <dxf>
      <border diagonalUp="false" diagonalDown="false">
        <left/>
        <right/>
        <top/>
        <bottom style="medium">
          <color rgb="FFF4B400"/>
        </bottom>
        <diagonal/>
      </border>
    </dxf>
    <dxf>
      <font>
        <name val="Arial"/>
        <charset val="1"/>
        <family val="0"/>
        <b val="1"/>
        <color rgb="FF9A6B00"/>
      </font>
      <fill>
        <patternFill>
          <bgColor rgb="FFFFF4D6"/>
        </patternFill>
      </fill>
    </dxf>
    <dxf>
      <font>
        <name val="Arial"/>
        <charset val="1"/>
        <family val="0"/>
        <color rgb="FFB6BDC9"/>
      </font>
    </dxf>
    <dxf>
      <font>
        <name val="Arial"/>
        <charset val="1"/>
        <family val="0"/>
        <b val="1"/>
        <color rgb="FF1E8449"/>
        <sz val="12"/>
      </font>
    </dxf>
    <dxf>
      <font>
        <name val="Arial"/>
        <charset val="1"/>
        <family val="0"/>
        <b val="1"/>
        <color rgb="FFC0392B"/>
        <sz val="12"/>
      </font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9A6B00"/>
      <rgbColor rgb="FF800080"/>
      <rgbColor rgb="FF00B050"/>
      <rgbColor rgb="FFB6BDC9"/>
      <rgbColor rgb="FF878787"/>
      <rgbColor rgb="FF9999FF"/>
      <rgbColor rgb="FF7A5200"/>
      <rgbColor rgb="FFFFF8E1"/>
      <rgbColor rgb="FFE3F4EA"/>
      <rgbColor rgb="FF660066"/>
      <rgbColor rgb="FFFF8080"/>
      <rgbColor rgb="FF0066CC"/>
      <rgbColor rgb="FFC9D3E6"/>
      <rgbColor rgb="FF000080"/>
      <rgbColor rgb="FFFF00FF"/>
      <rgbColor rgb="FFF5F7FB"/>
      <rgbColor rgb="FF00FFFF"/>
      <rgbColor rgb="FF800080"/>
      <rgbColor rgb="FF800000"/>
      <rgbColor rgb="FF008080"/>
      <rgbColor rgb="FF0000FF"/>
      <rgbColor rgb="FF00CCFF"/>
      <rgbColor rgb="FFE8EEF8"/>
      <rgbColor rgb="FFE5E7EB"/>
      <rgbColor rgb="FFFFE8A3"/>
      <rgbColor rgb="FFD5DBE5"/>
      <rgbColor rgb="FFFFF4D6"/>
      <rgbColor rgb="FFD9D9D9"/>
      <rgbColor rgb="FFFBE5E3"/>
      <rgbColor rgb="FF3366FF"/>
      <rgbColor rgb="FF33CCCC"/>
      <rgbColor rgb="FF99CC00"/>
      <rgbColor rgb="FFF4B400"/>
      <rgbColor rgb="FFFF9900"/>
      <rgbColor rgb="FFFF6600"/>
      <rgbColor rgb="FF6B7280"/>
      <rgbColor rgb="FF9CA3AF"/>
      <rgbColor rgb="FF1B2A4A"/>
      <rgbColor rgb="FF1E8449"/>
      <rgbColor rgb="FF111827"/>
      <rgbColor rgb="FF374151"/>
      <rgbColor rgb="FFC0392B"/>
      <rgbColor rgb="FF993366"/>
      <rgbColor rgb="FF2F4B7C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'Datos grafico'!$B$1</c:f>
              <c:strCache>
                <c:ptCount val="1"/>
                <c:pt idx="0">
                  <c:v>Capital</c:v>
                </c:pt>
              </c:strCache>
            </c:strRef>
          </c:tx>
          <c:spPr>
            <a:solidFill>
              <a:srgbClr val="2f4b7c"/>
            </a:solidFill>
            <a:ln w="28080">
              <a:solidFill>
                <a:srgbClr val="2f4b7c"/>
              </a:solidFill>
              <a:round/>
            </a:ln>
          </c:spPr>
          <c:marker>
            <c:symbol val="circle"/>
            <c:size val="6"/>
            <c:spPr>
              <a:solidFill>
                <a:srgbClr val="2f4b7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'Datos grafico'!$A$2:$A$502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'Datos grafico'!$B$2:$B$502</c:f>
              <c:numCache>
                <c:formatCode>\$#,##0.00;[RED]"-$"#,##0.00;\-</c:formatCode>
                <c:ptCount val="501"/>
                <c:pt idx="0">
                  <c:v>8584.52</c:v>
                </c:pt>
                <c:pt idx="1">
                  <c:v>8875.32</c:v>
                </c:pt>
                <c:pt idx="2">
                  <c:v>9166.12</c:v>
                </c:pt>
                <c:pt idx="3">
                  <c:v>9006.92</c:v>
                </c:pt>
                <c:pt idx="4">
                  <c:v>9297.72</c:v>
                </c:pt>
                <c:pt idx="5">
                  <c:v>9138.52</c:v>
                </c:pt>
                <c:pt idx="6">
                  <c:v>9429.32</c:v>
                </c:pt>
                <c:pt idx="7">
                  <c:v>9270.12</c:v>
                </c:pt>
                <c:pt idx="8">
                  <c:v>9110.92</c:v>
                </c:pt>
                <c:pt idx="9">
                  <c:v>9405.4</c:v>
                </c:pt>
                <c:pt idx="10">
                  <c:v>9246.2</c:v>
                </c:pt>
                <c:pt idx="11">
                  <c:v>9087</c:v>
                </c:pt>
                <c:pt idx="12">
                  <c:v>9381.48</c:v>
                </c:pt>
                <c:pt idx="13">
                  <c:v>9222.28</c:v>
                </c:pt>
                <c:pt idx="14">
                  <c:v>9066.76</c:v>
                </c:pt>
                <c:pt idx="15">
                  <c:v>8907.56</c:v>
                </c:pt>
                <c:pt idx="16">
                  <c:v>8748.36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'Datos grafico'!$C$1</c:f>
              <c:strCache>
                <c:ptCount val="1"/>
                <c:pt idx="0">
                  <c:v>Capital inicial</c:v>
                </c:pt>
              </c:strCache>
            </c:strRef>
          </c:tx>
          <c:spPr>
            <a:solidFill>
              <a:srgbClr val="9ca3af"/>
            </a:solidFill>
            <a:ln w="15120">
              <a:solidFill>
                <a:srgbClr val="9ca3a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'Datos grafico'!$A$2:$A$502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'Datos grafico'!$C$2:$C$502</c:f>
              <c:numCache>
                <c:formatCode>\$#,##0.00;[RED]"-$"#,##0.00;\-</c:formatCode>
                <c:ptCount val="501"/>
                <c:pt idx="0">
                  <c:v>8584.52</c:v>
                </c:pt>
                <c:pt idx="1">
                  <c:v>8584.52</c:v>
                </c:pt>
                <c:pt idx="2">
                  <c:v>8584.52</c:v>
                </c:pt>
                <c:pt idx="3">
                  <c:v>8584.52</c:v>
                </c:pt>
                <c:pt idx="4">
                  <c:v>8584.52</c:v>
                </c:pt>
                <c:pt idx="5">
                  <c:v>8584.52</c:v>
                </c:pt>
                <c:pt idx="6">
                  <c:v>8584.52</c:v>
                </c:pt>
                <c:pt idx="7">
                  <c:v>8584.52</c:v>
                </c:pt>
                <c:pt idx="8">
                  <c:v>8584.52</c:v>
                </c:pt>
                <c:pt idx="9">
                  <c:v>8584.52</c:v>
                </c:pt>
                <c:pt idx="10">
                  <c:v>8584.52</c:v>
                </c:pt>
                <c:pt idx="11">
                  <c:v>8584.52</c:v>
                </c:pt>
                <c:pt idx="12">
                  <c:v>8584.52</c:v>
                </c:pt>
                <c:pt idx="13">
                  <c:v>8584.52</c:v>
                </c:pt>
                <c:pt idx="14">
                  <c:v>8584.52</c:v>
                </c:pt>
                <c:pt idx="15">
                  <c:v>8584.52</c:v>
                </c:pt>
                <c:pt idx="16">
                  <c:v>8584.52</c:v>
                </c:pt>
              </c:numCache>
            </c:numRef>
          </c:yVal>
          <c:smooth val="0"/>
        </c:ser>
        <c:axId val="52401838"/>
        <c:axId val="66256509"/>
      </c:scatterChart>
      <c:valAx>
        <c:axId val="52401838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operación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56509"/>
        <c:crosses val="autoZero"/>
        <c:crossBetween val="midCat"/>
      </c:valAx>
      <c:valAx>
        <c:axId val="66256509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0183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Neto por bloque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Bloques!K14</c:f>
              <c:strCache>
                <c:ptCount val="1"/>
                <c:pt idx="0">
                  <c:v>Neto $</c:v>
                </c:pt>
              </c:strCache>
            </c:strRef>
          </c:tx>
          <c:spPr>
            <a:solidFill>
              <a:srgbClr val="2f4b7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Bloques!$B$15:$B$24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Bloques!$K$15:$K$24</c:f>
              <c:numCache>
                <c:formatCode>\$#,##0.00;[RED]"-$"#,##0.00;\-</c:formatCode>
                <c:ptCount val="10"/>
                <c:pt idx="0">
                  <c:v>163.84</c:v>
                </c:pt>
              </c:numCache>
            </c:numRef>
          </c:val>
        </c:ser>
        <c:gapWidth val="60"/>
        <c:overlap val="0"/>
        <c:axId val="28156367"/>
        <c:axId val="10630557"/>
      </c:barChart>
      <c:catAx>
        <c:axId val="281563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Bloque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30557"/>
        <c:crosses val="autoZero"/>
        <c:auto val="1"/>
        <c:lblAlgn val="ctr"/>
        <c:lblOffset val="100"/>
        <c:noMultiLvlLbl val="0"/>
      </c:catAx>
      <c:valAx>
        <c:axId val="10630557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56367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Neto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'Semanal y mensual'!G7</c:f>
              <c:strCache>
                <c:ptCount val="1"/>
                <c:pt idx="0">
                  <c:v>Neto $</c:v>
                </c:pt>
              </c:strCache>
            </c:strRef>
          </c:tx>
          <c:spPr>
            <a:solidFill>
              <a:srgbClr val="2f4b7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'Semanal y mensual'!$V$8:$V$27</c:f>
              <c:strCache>
                <c:ptCount val="20"/>
                <c:pt idx="0">
                  <c:v>10/8</c:v>
                </c:pt>
                <c:pt idx="1">
                  <c:v>17/8</c:v>
                </c:pt>
                <c:pt idx="2">
                  <c:v>24/8</c:v>
                </c:pt>
                <c:pt idx="3">
                  <c:v>31/8</c:v>
                </c:pt>
                <c:pt idx="4">
                  <c:v>7/9</c:v>
                </c:pt>
                <c:pt idx="5">
                  <c:v>14/9</c:v>
                </c:pt>
                <c:pt idx="6">
                  <c:v>21/9</c:v>
                </c:pt>
                <c:pt idx="7">
                  <c:v>28/9</c:v>
                </c:pt>
                <c:pt idx="8">
                  <c:v>5/10</c:v>
                </c:pt>
                <c:pt idx="9">
                  <c:v>12/10</c:v>
                </c:pt>
                <c:pt idx="10">
                  <c:v>19/10</c:v>
                </c:pt>
                <c:pt idx="11">
                  <c:v>26/10</c:v>
                </c:pt>
                <c:pt idx="12">
                  <c:v>2/11</c:v>
                </c:pt>
                <c:pt idx="13">
                  <c:v>9/11</c:v>
                </c:pt>
                <c:pt idx="14">
                  <c:v>16/11</c:v>
                </c:pt>
                <c:pt idx="15">
                  <c:v>23/11</c:v>
                </c:pt>
                <c:pt idx="16">
                  <c:v>30/11</c:v>
                </c:pt>
                <c:pt idx="17">
                  <c:v>7/12</c:v>
                </c:pt>
                <c:pt idx="18">
                  <c:v>14/12</c:v>
                </c:pt>
                <c:pt idx="19">
                  <c:v>21/12</c:v>
                </c:pt>
              </c:strCache>
            </c:strRef>
          </c:cat>
          <c:val>
            <c:numRef>
              <c:f>'Semanal y mensual'!$G$8:$G$27</c:f>
              <c:numCache>
                <c:formatCode>\$#,##0.00;[RED]"-$"#,##0.00;\-</c:formatCode>
                <c:ptCount val="20"/>
                <c:pt idx="0">
                  <c:v>290.8</c:v>
                </c:pt>
                <c:pt idx="1">
                  <c:v>131.6</c:v>
                </c:pt>
                <c:pt idx="2">
                  <c:v>131.6</c:v>
                </c:pt>
                <c:pt idx="3">
                  <c:v>131.6</c:v>
                </c:pt>
                <c:pt idx="4">
                  <c:v>135.28</c:v>
                </c:pt>
                <c:pt idx="6">
                  <c:v>-23.92</c:v>
                </c:pt>
                <c:pt idx="7">
                  <c:v>-314.72</c:v>
                </c:pt>
                <c:pt idx="8">
                  <c:v>-318.4</c:v>
                </c:pt>
              </c:numCache>
            </c:numRef>
          </c:val>
        </c:ser>
        <c:gapWidth val="50"/>
        <c:overlap val="0"/>
        <c:axId val="11698845"/>
        <c:axId val="39038145"/>
      </c:barChart>
      <c:catAx>
        <c:axId val="116988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38145"/>
        <c:crosses val="autoZero"/>
        <c:auto val="1"/>
        <c:lblAlgn val="ctr"/>
        <c:lblOffset val="100"/>
        <c:noMultiLvlLbl val="0"/>
      </c:catAx>
      <c:valAx>
        <c:axId val="39038145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98845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8</xdr:col>
      <xdr:colOff>680760</xdr:colOff>
      <xdr:row>47</xdr:row>
      <xdr:rowOff>181080</xdr:rowOff>
    </xdr:to>
    <xdr:graphicFrame>
      <xdr:nvGraphicFramePr>
        <xdr:cNvPr id="0" name="Chart 1"/>
        <xdr:cNvGraphicFramePr/>
      </xdr:nvGraphicFramePr>
      <xdr:xfrm>
        <a:off x="177840" y="6343560"/>
        <a:ext cx="84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44</xdr:row>
      <xdr:rowOff>0</xdr:rowOff>
    </xdr:from>
    <xdr:to>
      <xdr:col>7</xdr:col>
      <xdr:colOff>70200</xdr:colOff>
      <xdr:row>59</xdr:row>
      <xdr:rowOff>22320</xdr:rowOff>
    </xdr:to>
    <xdr:graphicFrame>
      <xdr:nvGraphicFramePr>
        <xdr:cNvPr id="1" name="Chart 1"/>
        <xdr:cNvGraphicFramePr/>
      </xdr:nvGraphicFramePr>
      <xdr:xfrm>
        <a:off x="177840" y="107632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26</xdr:row>
      <xdr:rowOff>176040</xdr:rowOff>
    </xdr:from>
    <xdr:to>
      <xdr:col>17</xdr:col>
      <xdr:colOff>963360</xdr:colOff>
      <xdr:row>42</xdr:row>
      <xdr:rowOff>7560</xdr:rowOff>
    </xdr:to>
    <xdr:graphicFrame>
      <xdr:nvGraphicFramePr>
        <xdr:cNvPr id="2" name="Chart 1"/>
        <xdr:cNvGraphicFramePr/>
      </xdr:nvGraphicFramePr>
      <xdr:xfrm>
        <a:off x="9245520" y="5438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Sistema_MCL_desde_14-08-26.xlsx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400"/>
    <pageSetUpPr fitToPage="false"/>
  </sheetPr>
  <dimension ref="B1:O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5" min="2" style="0" width="12.5"/>
  </cols>
  <sheetData>
    <row r="1" customFormat="false" ht="9.75" hidden="false" customHeight="true" outlineLevel="0" collapsed="false"/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3.7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9.75" hidden="false" customHeight="true" outlineLevel="0" collapsed="false"/>
    <row r="6" customFormat="false" ht="19.5" hidden="false" customHeight="true" outlineLevel="0" collapsed="false">
      <c r="B6" s="4" t="s">
        <v>2</v>
      </c>
      <c r="C6" s="4"/>
      <c r="D6" s="4" t="s">
        <v>3</v>
      </c>
      <c r="E6" s="4"/>
      <c r="F6" s="4" t="s">
        <v>4</v>
      </c>
      <c r="G6" s="4"/>
      <c r="H6" s="4" t="s">
        <v>5</v>
      </c>
      <c r="I6" s="4"/>
      <c r="J6" s="4" t="s">
        <v>6</v>
      </c>
      <c r="K6" s="4"/>
      <c r="L6" s="4" t="s">
        <v>7</v>
      </c>
      <c r="M6" s="4"/>
      <c r="N6" s="4" t="s">
        <v>8</v>
      </c>
      <c r="O6" s="4"/>
    </row>
    <row r="7" customFormat="false" ht="36" hidden="false" customHeight="true" outlineLevel="0" collapsed="false">
      <c r="B7" s="5" t="n">
        <f aca="false">O31</f>
        <v>8748.36</v>
      </c>
      <c r="C7" s="5"/>
      <c r="D7" s="5" t="n">
        <f aca="false">E23</f>
        <v>163.84</v>
      </c>
      <c r="E7" s="5"/>
      <c r="F7" s="6" t="n">
        <f aca="false">E21</f>
        <v>0.375</v>
      </c>
      <c r="G7" s="6"/>
      <c r="H7" s="7" t="n">
        <f aca="false">E26</f>
        <v>1.10315301702428</v>
      </c>
      <c r="I7" s="7"/>
      <c r="J7" s="5" t="n">
        <f aca="false">J21</f>
        <v>10.24</v>
      </c>
      <c r="K7" s="5"/>
      <c r="L7" s="5" t="n">
        <f aca="false">O36</f>
        <v>-680.959999999999</v>
      </c>
      <c r="M7" s="5"/>
      <c r="N7" s="8" t="str">
        <f aca="false">O39&amp;" / "&amp;Parametros!$C$10</f>
        <v>16 / 20</v>
      </c>
      <c r="O7" s="8"/>
    </row>
    <row r="8" customFormat="false" ht="19.5" hidden="false" customHeight="true" outlineLevel="0" collapsed="false">
      <c r="B8" s="9" t="str">
        <f aca="false">"Inicial "&amp;TEXT(O30,"$#,##0")</f>
        <v>Inicial $8,585</v>
      </c>
      <c r="C8" s="9"/>
      <c r="D8" s="9" t="str">
        <f aca="false">TEXT(O32,"+0.0%;-0.0%")&amp;" sobre el capital"</f>
        <v>+1.9% sobre el capital</v>
      </c>
      <c r="E8" s="9"/>
      <c r="F8" s="9" t="str">
        <f aca="false">"Mínimo necesario "&amp;TEXT(E22,"0.0%")</f>
        <v>Mínimo necesario 35.2%</v>
      </c>
      <c r="G8" s="9"/>
      <c r="H8" s="9" t="str">
        <f aca="false">"Meta por bloque "&amp;TEXT(Parametros!$C$11,"0.00")</f>
        <v>Meta por bloque 1.30</v>
      </c>
      <c r="I8" s="9"/>
      <c r="J8" s="9" t="str">
        <f aca="false">TEXT(J22,"+0.00;-0.00")&amp;" R por operación"</f>
        <v>+0.07 R por operación</v>
      </c>
      <c r="K8" s="9"/>
      <c r="L8" s="9" t="str">
        <f aca="false">"Máximo "&amp;TEXT(O34,"$#,##0;-$#,##0")</f>
        <v>Máximo -$681</v>
      </c>
      <c r="M8" s="9"/>
      <c r="N8" s="9" t="str">
        <f aca="false">"Bloque "&amp;O38&amp;" · faltan "&amp;(Parametros!$C$10-O39)&amp;" ops"</f>
        <v>Bloque 1 · faltan 4 ops</v>
      </c>
      <c r="O8" s="9"/>
    </row>
    <row r="9" customFormat="false" ht="7.5" hidden="false" customHeight="true" outlineLevel="0" collapsed="false"/>
    <row r="10" customFormat="false" ht="21.75" hidden="false" customHeight="true" outlineLevel="0" collapsed="false">
      <c r="B10" s="10" t="str">
        <f aca="false">"Progreso del bloque "&amp;O38</f>
        <v>Progreso del bloque 1</v>
      </c>
      <c r="C10" s="10"/>
      <c r="D10" s="11" t="n">
        <f aca="false">O39/Parametros!$C$10</f>
        <v>0.8</v>
      </c>
      <c r="E10" s="11"/>
      <c r="F10" s="11"/>
      <c r="G10" s="11"/>
      <c r="H10" s="11"/>
      <c r="I10" s="11"/>
      <c r="J10" s="11"/>
      <c r="K10" s="11"/>
      <c r="L10" s="11"/>
      <c r="M10" s="11"/>
      <c r="N10" s="12" t="str">
        <f aca="false">TEXT(SUMIFS('CARGAR OPERACIONES'!$S$7:$S$506,'CARGAR OPERACIONES'!$O$7:$O$506,O38),"+$#,##0;-$#,##0")&amp;" en el bloque"</f>
        <v>+$164 en el bloque</v>
      </c>
      <c r="O10" s="12"/>
    </row>
    <row r="12" customFormat="false" ht="21.75" hidden="false" customHeight="true" outlineLevel="0" collapsed="false">
      <c r="B12" s="13" t="str">
        <f aca="false">IF(E18=0,"Registra tu primera operación y empieza a construir tu estadística.",IF(O20&lt;=-3,"★ Racha de "&amp;-O20&amp;" pérdidas: es estadística, no un error. Con un 2:1 una sola ganadora recupera casi dos stops. Ejecuta el plan, sin improvisar.",IF(E26&gt;=Parametros!$C$11,"★ El sistema está rindiendo por encima de la meta (PF "&amp;TEXT(E26,"0.00")&amp;"). Mantén la disciplina: no cambies lo que funciona.",IF(E26&gt;=1,"★ Sistema en positivo (PF "&amp;TEXT(E26,"0.00")&amp;"). Paciencia: cada operación disciplinada suma a la ventaja.","★ Fase exigente: revisa la ejecución, no el sistema. ¿Cumple cada entrada el patrón al 100%? Disciplina actual: "&amp;TEXT(J25,"0%")&amp;"."))))</f>
        <v>★ Racha de 4 pérdidas: es estadística, no un error. Con un 2:1 una sola ganadora recupera casi dos stops. Ejecuta el plan, sin improvisar.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customFormat="false" ht="21.75" hidden="false" customHeight="true" outlineLevel="0" collapsed="false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5" customFormat="false" ht="25.5" hidden="false" customHeight="true" outlineLevel="0" collapsed="false">
      <c r="B15" s="14" t="s">
        <v>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customFormat="false" ht="9.75" hidden="false" customHeight="true" outlineLevel="0" collapsed="false"/>
    <row r="17" customFormat="false" ht="15" hidden="false" customHeight="false" outlineLevel="0" collapsed="false">
      <c r="B17" s="15" t="s">
        <v>10</v>
      </c>
      <c r="C17" s="15"/>
      <c r="D17" s="15"/>
      <c r="E17" s="15"/>
      <c r="G17" s="15" t="s">
        <v>11</v>
      </c>
      <c r="H17" s="15"/>
      <c r="I17" s="15"/>
      <c r="J17" s="15"/>
      <c r="L17" s="15" t="s">
        <v>12</v>
      </c>
      <c r="M17" s="15"/>
      <c r="N17" s="15"/>
      <c r="O17" s="15"/>
    </row>
    <row r="18" customFormat="false" ht="15" hidden="false" customHeight="false" outlineLevel="0" collapsed="false">
      <c r="B18" s="16" t="s">
        <v>13</v>
      </c>
      <c r="C18" s="16"/>
      <c r="D18" s="16"/>
      <c r="E18" s="17" t="n">
        <f aca="false">COUNT('CARGAR OPERACIONES'!$S$7:$S$506)</f>
        <v>16</v>
      </c>
      <c r="G18" s="16" t="s">
        <v>14</v>
      </c>
      <c r="H18" s="16"/>
      <c r="I18" s="16"/>
      <c r="J18" s="18" t="n">
        <f aca="false">IF(E19=0,0,E24/E19)</f>
        <v>292.026666666667</v>
      </c>
      <c r="L18" s="16" t="s">
        <v>15</v>
      </c>
      <c r="M18" s="16"/>
      <c r="N18" s="16"/>
      <c r="O18" s="17" t="n">
        <f aca="false">MAX(0,'CARGAR OPERACIONES'!$Z$7:$Z$506)</f>
        <v>2</v>
      </c>
    </row>
    <row r="19" customFormat="false" ht="15" hidden="false" customHeight="false" outlineLevel="0" collapsed="false">
      <c r="B19" s="19" t="s">
        <v>16</v>
      </c>
      <c r="C19" s="19"/>
      <c r="D19" s="19"/>
      <c r="E19" s="20" t="n">
        <f aca="false">COUNTIF('CARGAR OPERACIONES'!$S$7:$S$506,"&gt;0")</f>
        <v>6</v>
      </c>
      <c r="G19" s="19" t="s">
        <v>17</v>
      </c>
      <c r="H19" s="19"/>
      <c r="I19" s="19"/>
      <c r="J19" s="21" t="n">
        <f aca="false">IF(E20=0,0,E25/E20)</f>
        <v>-158.832</v>
      </c>
      <c r="L19" s="19" t="s">
        <v>18</v>
      </c>
      <c r="M19" s="19"/>
      <c r="N19" s="19"/>
      <c r="O19" s="20" t="n">
        <f aca="false">-MIN(0,'CARGAR OPERACIONES'!$Z$7:$Z$506)</f>
        <v>4</v>
      </c>
    </row>
    <row r="20" customFormat="false" ht="15" hidden="false" customHeight="false" outlineLevel="0" collapsed="false">
      <c r="B20" s="16" t="s">
        <v>19</v>
      </c>
      <c r="C20" s="16"/>
      <c r="D20" s="16"/>
      <c r="E20" s="17" t="n">
        <f aca="false">COUNTIF('CARGAR OPERACIONES'!$S$7:$S$506,"&lt;=0")</f>
        <v>10</v>
      </c>
      <c r="G20" s="16" t="s">
        <v>20</v>
      </c>
      <c r="H20" s="16"/>
      <c r="I20" s="16"/>
      <c r="J20" s="22" t="n">
        <f aca="false">IFERROR(J18/-J19,0)</f>
        <v>1.83858836170713</v>
      </c>
      <c r="L20" s="16" t="s">
        <v>21</v>
      </c>
      <c r="M20" s="16"/>
      <c r="N20" s="16"/>
      <c r="O20" s="23" t="n">
        <f aca="false">IF(E18=0,0,INDEX('CARGAR OPERACIONES'!$Z$7:$Z$506,E18))</f>
        <v>-4</v>
      </c>
    </row>
    <row r="21" customFormat="false" ht="15" hidden="false" customHeight="false" outlineLevel="0" collapsed="false">
      <c r="B21" s="19" t="s">
        <v>22</v>
      </c>
      <c r="C21" s="19"/>
      <c r="D21" s="19"/>
      <c r="E21" s="24" t="n">
        <f aca="false">IF(E18=0,0,E19/E18)</f>
        <v>0.375</v>
      </c>
      <c r="G21" s="19" t="s">
        <v>23</v>
      </c>
      <c r="H21" s="19"/>
      <c r="I21" s="19"/>
      <c r="J21" s="21" t="n">
        <f aca="false">IF(E18=0,0,E23/E18)</f>
        <v>10.24</v>
      </c>
      <c r="L21" s="19" t="s">
        <v>24</v>
      </c>
      <c r="M21" s="19"/>
      <c r="N21" s="19"/>
      <c r="O21" s="20" t="n">
        <f aca="false">MIN(10,E18)</f>
        <v>10</v>
      </c>
    </row>
    <row r="22" customFormat="false" ht="15" hidden="false" customHeight="false" outlineLevel="0" collapsed="false">
      <c r="B22" s="16" t="s">
        <v>25</v>
      </c>
      <c r="C22" s="16"/>
      <c r="D22" s="16"/>
      <c r="E22" s="25" t="n">
        <f aca="false">IFERROR(-J19/(J18-J19),0)</f>
        <v>0.352287782719788</v>
      </c>
      <c r="G22" s="16" t="s">
        <v>26</v>
      </c>
      <c r="H22" s="16"/>
      <c r="I22" s="16"/>
      <c r="J22" s="26" t="n">
        <f aca="false">IFERROR(AVERAGE('CARGAR OPERACIONES'!$U$7:$U$506),0)</f>
        <v>0.0682666666666667</v>
      </c>
      <c r="L22" s="16" t="s">
        <v>27</v>
      </c>
      <c r="M22" s="16"/>
      <c r="N22" s="16"/>
      <c r="O22" s="25" t="n">
        <f aca="false">IF(O21=0,0,COUNTIFS('CARGAR OPERACIONES'!$A$7:$A$506,"&gt;"&amp;(E18-10),'CARGAR OPERACIONES'!$S$7:$S$506,"&gt;0")/O21)</f>
        <v>0.2</v>
      </c>
    </row>
    <row r="23" customFormat="false" ht="15" hidden="false" customHeight="false" outlineLevel="0" collapsed="false">
      <c r="B23" s="19" t="s">
        <v>28</v>
      </c>
      <c r="C23" s="19"/>
      <c r="D23" s="19"/>
      <c r="E23" s="21" t="n">
        <f aca="false">SUM('CARGAR OPERACIONES'!$S$7:$S$506)</f>
        <v>163.84</v>
      </c>
      <c r="G23" s="19" t="s">
        <v>29</v>
      </c>
      <c r="H23" s="19"/>
      <c r="I23" s="19"/>
      <c r="J23" s="20" t="n">
        <f aca="false">IFERROR(AVERAGEIF('CARGAR OPERACIONES'!$S$7:$S$506,"&gt;0",'CARGAR OPERACIONES'!$P$7:$P$506),"-")</f>
        <v>91</v>
      </c>
      <c r="L23" s="19" t="s">
        <v>30</v>
      </c>
      <c r="M23" s="19"/>
      <c r="N23" s="19"/>
      <c r="O23" s="21" t="n">
        <f aca="false">SUMIFS('CARGAR OPERACIONES'!$S$7:$S$506,'CARGAR OPERACIONES'!$A$7:$A$506,"&gt;"&amp;(E18-10))</f>
        <v>-680.96</v>
      </c>
    </row>
    <row r="24" customFormat="false" ht="15" hidden="false" customHeight="false" outlineLevel="0" collapsed="false">
      <c r="B24" s="16" t="s">
        <v>31</v>
      </c>
      <c r="C24" s="16"/>
      <c r="D24" s="16"/>
      <c r="E24" s="18" t="n">
        <f aca="false">SUMIF('CARGAR OPERACIONES'!$S$7:$S$506,"&gt;0")</f>
        <v>1752.16</v>
      </c>
      <c r="G24" s="16" t="s">
        <v>32</v>
      </c>
      <c r="H24" s="16"/>
      <c r="I24" s="16"/>
      <c r="J24" s="17" t="n">
        <f aca="false">IFERROR(AVERAGEIF('CARGAR OPERACIONES'!$S$7:$S$506,"&lt;=0",'CARGAR OPERACIONES'!$P$7:$P$506),"-")</f>
        <v>19.9</v>
      </c>
      <c r="L24" s="16" t="s">
        <v>33</v>
      </c>
      <c r="M24" s="16"/>
      <c r="N24" s="16"/>
      <c r="O24" s="22" t="n">
        <f aca="false">IFERROR(SUMIFS('CARGAR OPERACIONES'!$S$7:$S$506,'CARGAR OPERACIONES'!$A$7:$A$506,"&gt;"&amp;(E18-10),'CARGAR OPERACIONES'!$S$7:$S$506,"&gt;0")/-SUMIFS('CARGAR OPERACIONES'!$S$7:$S$506,'CARGAR OPERACIONES'!$A$7:$A$506,"&gt;"&amp;(E18-10),'CARGAR OPERACIONES'!$S$7:$S$506,"&lt;=0"),0)</f>
        <v>0.46377724581076</v>
      </c>
    </row>
    <row r="25" customFormat="false" ht="15" hidden="false" customHeight="false" outlineLevel="0" collapsed="false">
      <c r="B25" s="19" t="s">
        <v>34</v>
      </c>
      <c r="C25" s="19"/>
      <c r="D25" s="19"/>
      <c r="E25" s="21" t="n">
        <f aca="false">SUMIF('CARGAR OPERACIONES'!$S$7:$S$506,"&lt;=0")</f>
        <v>-1588.32</v>
      </c>
      <c r="G25" s="19" t="s">
        <v>35</v>
      </c>
      <c r="H25" s="19"/>
      <c r="I25" s="19"/>
      <c r="J25" s="24" t="n">
        <f aca="false">IF(E18=0,0,COUNTIF('CARGAR OPERACIONES'!$L$7:$L$506,"SI")/E18)</f>
        <v>0.9375</v>
      </c>
    </row>
    <row r="26" customFormat="false" ht="15" hidden="false" customHeight="false" outlineLevel="0" collapsed="false">
      <c r="B26" s="16" t="s">
        <v>36</v>
      </c>
      <c r="C26" s="16"/>
      <c r="D26" s="16"/>
      <c r="E26" s="22" t="n">
        <f aca="false">IF(E25=0,0,E24/-E25)</f>
        <v>1.10315301702428</v>
      </c>
      <c r="G26" s="16" t="s">
        <v>37</v>
      </c>
      <c r="H26" s="16"/>
      <c r="I26" s="16"/>
      <c r="J26" s="18" t="n">
        <f aca="false">SUMIF('CARGAR OPERACIONES'!$L$7:$L$506,"NO",'CARGAR OPERACIONES'!$S$7:$S$506)</f>
        <v>-159.2</v>
      </c>
    </row>
    <row r="27" customFormat="false" ht="15" hidden="false" customHeight="false" outlineLevel="0" collapsed="false">
      <c r="B27" s="19" t="s">
        <v>38</v>
      </c>
      <c r="C27" s="19"/>
      <c r="D27" s="19"/>
      <c r="E27" s="21" t="n">
        <f aca="false">SUM('CARGAR OPERACIONES'!$R$7:$R$506)</f>
        <v>136.16</v>
      </c>
    </row>
    <row r="29" customFormat="false" ht="15" hidden="false" customHeight="false" outlineLevel="0" collapsed="false">
      <c r="L29" s="15" t="s">
        <v>39</v>
      </c>
      <c r="M29" s="15"/>
      <c r="N29" s="15"/>
      <c r="O29" s="15"/>
    </row>
    <row r="30" customFormat="false" ht="15" hidden="false" customHeight="false" outlineLevel="0" collapsed="false">
      <c r="B30" s="15" t="s">
        <v>40</v>
      </c>
      <c r="C30" s="15"/>
      <c r="D30" s="15"/>
      <c r="E30" s="15"/>
      <c r="F30" s="15"/>
      <c r="G30" s="15"/>
      <c r="H30" s="15"/>
      <c r="I30" s="15"/>
      <c r="J30" s="15"/>
      <c r="L30" s="16" t="s">
        <v>41</v>
      </c>
      <c r="M30" s="16"/>
      <c r="N30" s="16"/>
      <c r="O30" s="18" t="n">
        <f aca="false">Parametros!$C$6</f>
        <v>8584.52</v>
      </c>
    </row>
    <row r="31" customFormat="false" ht="15" hidden="false" customHeight="false" outlineLevel="0" collapsed="false">
      <c r="L31" s="19" t="s">
        <v>42</v>
      </c>
      <c r="M31" s="19"/>
      <c r="N31" s="19"/>
      <c r="O31" s="21" t="n">
        <f aca="false">O30+E23</f>
        <v>8748.36</v>
      </c>
    </row>
    <row r="32" customFormat="false" ht="15" hidden="false" customHeight="false" outlineLevel="0" collapsed="false">
      <c r="L32" s="16" t="s">
        <v>43</v>
      </c>
      <c r="M32" s="16"/>
      <c r="N32" s="16"/>
      <c r="O32" s="25" t="n">
        <f aca="false">IFERROR(E23/O30,0)</f>
        <v>0.0190855167207951</v>
      </c>
    </row>
    <row r="33" customFormat="false" ht="15" hidden="false" customHeight="false" outlineLevel="0" collapsed="false">
      <c r="L33" s="19" t="s">
        <v>44</v>
      </c>
      <c r="M33" s="19"/>
      <c r="N33" s="19"/>
      <c r="O33" s="21" t="n">
        <f aca="false">MAX(Parametros!$C$6,'CARGAR OPERACIONES'!$V$7:$V$506)</f>
        <v>9429.32</v>
      </c>
    </row>
    <row r="34" customFormat="false" ht="15" hidden="false" customHeight="false" outlineLevel="0" collapsed="false">
      <c r="L34" s="16" t="s">
        <v>45</v>
      </c>
      <c r="M34" s="16"/>
      <c r="N34" s="16"/>
      <c r="O34" s="18" t="n">
        <f aca="false">MIN(0,'CARGAR OPERACIONES'!$X$7:$X$506)</f>
        <v>-680.959999999999</v>
      </c>
    </row>
    <row r="35" customFormat="false" ht="15" hidden="false" customHeight="false" outlineLevel="0" collapsed="false">
      <c r="L35" s="19" t="s">
        <v>46</v>
      </c>
      <c r="M35" s="19"/>
      <c r="N35" s="19"/>
      <c r="O35" s="24" t="n">
        <f aca="false">MIN(0,'CARGAR OPERACIONES'!$Y$7:$Y$506)</f>
        <v>-0.0722172966873538</v>
      </c>
    </row>
    <row r="36" customFormat="false" ht="15" hidden="false" customHeight="false" outlineLevel="0" collapsed="false">
      <c r="L36" s="16" t="s">
        <v>47</v>
      </c>
      <c r="M36" s="16"/>
      <c r="N36" s="16"/>
      <c r="O36" s="18" t="n">
        <f aca="false">O31-O33</f>
        <v>-680.959999999999</v>
      </c>
    </row>
    <row r="37" customFormat="false" ht="15" hidden="false" customHeight="false" outlineLevel="0" collapsed="false">
      <c r="L37" s="19" t="s">
        <v>48</v>
      </c>
      <c r="M37" s="19"/>
      <c r="N37" s="19"/>
      <c r="O37" s="27" t="n">
        <f aca="false">IF(O34=0,0,E23/-O34)</f>
        <v>0.240601503759399</v>
      </c>
    </row>
    <row r="38" customFormat="false" ht="15" hidden="false" customHeight="false" outlineLevel="0" collapsed="false">
      <c r="L38" s="16" t="s">
        <v>49</v>
      </c>
      <c r="M38" s="16"/>
      <c r="N38" s="16"/>
      <c r="O38" s="17" t="n">
        <f aca="false">IF(E18=0,1,INDEX('CARGAR OPERACIONES'!$O$7:$O$506,E18))</f>
        <v>1</v>
      </c>
    </row>
    <row r="39" customFormat="false" ht="15" hidden="false" customHeight="false" outlineLevel="0" collapsed="false">
      <c r="L39" s="19" t="s">
        <v>50</v>
      </c>
      <c r="M39" s="19"/>
      <c r="N39" s="19"/>
      <c r="O39" s="20" t="n">
        <f aca="false">COUNTIF('CARGAR OPERACIONES'!$O$7:$O$506,O38)</f>
        <v>16</v>
      </c>
    </row>
  </sheetData>
  <mergeCells count="69">
    <mergeCell ref="B2:O2"/>
    <mergeCell ref="B3:O3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10:C10"/>
    <mergeCell ref="D10:M10"/>
    <mergeCell ref="N10:O10"/>
    <mergeCell ref="B12:O13"/>
    <mergeCell ref="B15:O15"/>
    <mergeCell ref="B17:E17"/>
    <mergeCell ref="G17:J17"/>
    <mergeCell ref="L17:O17"/>
    <mergeCell ref="B18:D18"/>
    <mergeCell ref="G18:I18"/>
    <mergeCell ref="L18:N18"/>
    <mergeCell ref="B19:D19"/>
    <mergeCell ref="G19:I19"/>
    <mergeCell ref="L19:N19"/>
    <mergeCell ref="B20:D20"/>
    <mergeCell ref="G20:I20"/>
    <mergeCell ref="L20:N20"/>
    <mergeCell ref="B21:D21"/>
    <mergeCell ref="G21:I21"/>
    <mergeCell ref="L21:N21"/>
    <mergeCell ref="B22:D22"/>
    <mergeCell ref="G22:I22"/>
    <mergeCell ref="L22:N22"/>
    <mergeCell ref="B23:D23"/>
    <mergeCell ref="G23:I23"/>
    <mergeCell ref="L23:N23"/>
    <mergeCell ref="B24:D24"/>
    <mergeCell ref="G24:I24"/>
    <mergeCell ref="L24:N24"/>
    <mergeCell ref="B25:D25"/>
    <mergeCell ref="G25:I25"/>
    <mergeCell ref="B26:D26"/>
    <mergeCell ref="G26:I26"/>
    <mergeCell ref="B27:D27"/>
    <mergeCell ref="L29:O29"/>
    <mergeCell ref="B30:J30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</mergeCells>
  <conditionalFormatting sqref="E26">
    <cfRule type="expression" priority="2" aboveAverage="0" equalAverage="0" bottom="0" percent="0" rank="0" text="" dxfId="0">
      <formula>E26&gt;=1</formula>
    </cfRule>
    <cfRule type="expression" priority="3" aboveAverage="0" equalAverage="0" bottom="0" percent="0" rank="0" text="" dxfId="1">
      <formula>E26&lt;1</formula>
    </cfRule>
  </conditionalFormatting>
  <conditionalFormatting sqref="E21">
    <cfRule type="expression" priority="4" aboveAverage="0" equalAverage="0" bottom="0" percent="0" rank="0" text="" dxfId="0">
      <formula>E21&gt;=E22</formula>
    </cfRule>
    <cfRule type="expression" priority="5" aboveAverage="0" equalAverage="0" bottom="0" percent="0" rank="0" text="" dxfId="1">
      <formula>E21&lt;E22</formula>
    </cfRule>
  </conditionalFormatting>
  <conditionalFormatting sqref="E23">
    <cfRule type="expression" priority="6" aboveAverage="0" equalAverage="0" bottom="0" percent="0" rank="0" text="" dxfId="0">
      <formula>E23&gt;0</formula>
    </cfRule>
    <cfRule type="expression" priority="7" aboveAverage="0" equalAverage="0" bottom="0" percent="0" rank="0" text="" dxfId="1">
      <formula>E23&lt;0</formula>
    </cfRule>
  </conditionalFormatting>
  <conditionalFormatting sqref="D6:E8">
    <cfRule type="expression" priority="8" aboveAverage="0" equalAverage="0" bottom="0" percent="0" rank="0" text="" dxfId="2">
      <formula>$D$7&gt;0</formula>
    </cfRule>
    <cfRule type="expression" priority="9" aboveAverage="0" equalAverage="0" bottom="0" percent="0" rank="0" text="" dxfId="3">
      <formula>$D$7&lt;0</formula>
    </cfRule>
  </conditionalFormatting>
  <conditionalFormatting sqref="D7">
    <cfRule type="expression" priority="10" aboveAverage="0" equalAverage="0" bottom="0" percent="0" rank="0" text="" dxfId="4">
      <formula>$D$7&gt;0</formula>
    </cfRule>
    <cfRule type="expression" priority="11" aboveAverage="0" equalAverage="0" bottom="0" percent="0" rank="0" text="" dxfId="5">
      <formula>$D$7&lt;0</formula>
    </cfRule>
  </conditionalFormatting>
  <conditionalFormatting sqref="F6:G8">
    <cfRule type="expression" priority="12" aboveAverage="0" equalAverage="0" bottom="0" percent="0" rank="0" text="" dxfId="2">
      <formula>$E$21&gt;=$E$22</formula>
    </cfRule>
    <cfRule type="expression" priority="13" aboveAverage="0" equalAverage="0" bottom="0" percent="0" rank="0" text="" dxfId="3">
      <formula>$E$21&lt;$E$22</formula>
    </cfRule>
  </conditionalFormatting>
  <conditionalFormatting sqref="F7">
    <cfRule type="expression" priority="14" aboveAverage="0" equalAverage="0" bottom="0" percent="0" rank="0" text="" dxfId="4">
      <formula>$E$21&gt;=$E$22</formula>
    </cfRule>
    <cfRule type="expression" priority="15" aboveAverage="0" equalAverage="0" bottom="0" percent="0" rank="0" text="" dxfId="5">
      <formula>$E$21&lt;$E$22</formula>
    </cfRule>
  </conditionalFormatting>
  <conditionalFormatting sqref="H6:I8">
    <cfRule type="expression" priority="16" aboveAverage="0" equalAverage="0" bottom="0" percent="0" rank="0" text="" dxfId="2">
      <formula>$E$26&gt;=1</formula>
    </cfRule>
    <cfRule type="expression" priority="17" aboveAverage="0" equalAverage="0" bottom="0" percent="0" rank="0" text="" dxfId="3">
      <formula>$E$26&lt;1</formula>
    </cfRule>
  </conditionalFormatting>
  <conditionalFormatting sqref="H7">
    <cfRule type="expression" priority="18" aboveAverage="0" equalAverage="0" bottom="0" percent="0" rank="0" text="" dxfId="4">
      <formula>$E$26&gt;=1</formula>
    </cfRule>
    <cfRule type="expression" priority="19" aboveAverage="0" equalAverage="0" bottom="0" percent="0" rank="0" text="" dxfId="5">
      <formula>$E$26&lt;1</formula>
    </cfRule>
  </conditionalFormatting>
  <conditionalFormatting sqref="J6:K8">
    <cfRule type="expression" priority="20" aboveAverage="0" equalAverage="0" bottom="0" percent="0" rank="0" text="" dxfId="2">
      <formula>$J$7&gt;0</formula>
    </cfRule>
    <cfRule type="expression" priority="21" aboveAverage="0" equalAverage="0" bottom="0" percent="0" rank="0" text="" dxfId="3">
      <formula>$J$7&lt;0</formula>
    </cfRule>
  </conditionalFormatting>
  <conditionalFormatting sqref="J7">
    <cfRule type="expression" priority="22" aboveAverage="0" equalAverage="0" bottom="0" percent="0" rank="0" text="" dxfId="4">
      <formula>$J$7&gt;0</formula>
    </cfRule>
    <cfRule type="expression" priority="23" aboveAverage="0" equalAverage="0" bottom="0" percent="0" rank="0" text="" dxfId="5">
      <formula>$J$7&lt;0</formula>
    </cfRule>
  </conditionalFormatting>
  <conditionalFormatting sqref="L7">
    <cfRule type="expression" priority="24" aboveAverage="0" equalAverage="0" bottom="0" percent="0" rank="0" text="" dxfId="5">
      <formula>$L$7&lt;0</formula>
    </cfRule>
    <cfRule type="expression" priority="25" aboveAverage="0" equalAverage="0" bottom="0" percent="0" rank="0" text="" dxfId="4">
      <formula>$L$7=0</formula>
    </cfRule>
  </conditionalFormatting>
  <conditionalFormatting sqref="D10">
    <cfRule type="dataBar" priority="26">
      <dataBar showValue="1" minLength="10" maxLength="90">
        <cfvo type="num" val="0"/>
        <cfvo type="num" val="1"/>
        <color rgb="FFF4B400"/>
      </dataBar>
      <extLst>
        <ext xmlns:x14="http://schemas.microsoft.com/office/spreadsheetml/2009/9/main" uri="{B025F937-C7B1-47D3-B67F-A62EFF666E3E}">
          <x14:id>{A445F0F5-5462-4310-9FB6-F4B358E06C32}</x14:id>
        </ext>
      </extLst>
    </cfRule>
  </conditionalFormatting>
  <conditionalFormatting sqref="B12:O13">
    <cfRule type="expression" priority="27" aboveAverage="0" equalAverage="0" bottom="0" percent="0" rank="0" text="" dxfId="2">
      <formula>AND(O20&gt;-3,E26&gt;=1)</formula>
    </cfRule>
  </conditionalFormatting>
  <hyperlinks>
    <hyperlink ref="B15" r:id="rId2" location="'CARGAR%20OPERACIONES'!A1" display="✏  ¿Nueva operación? Haz clic aquí para ir a la pestaña CARGAR OPERACIONES 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45F0F5-5462-4310-9FB6-F4B358E06C3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4B400"/>
              <x14:axisColor rgb="FF000000"/>
            </x14:dataBar>
          </x14:cfRule>
          <xm:sqref>D10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G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4" min="3" style="0" width="9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5" min="15" style="0" width="7"/>
    <col collapsed="false" customWidth="true" hidden="false" outlineLevel="0" max="16" min="16" style="0" width="9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1" min="20" style="0" width="9"/>
    <col collapsed="false" customWidth="true" hidden="false" outlineLevel="0" max="23" min="22" style="0" width="12"/>
    <col collapsed="false" customWidth="true" hidden="false" outlineLevel="0" max="24" min="24" style="0" width="11"/>
    <col collapsed="false" customWidth="true" hidden="false" outlineLevel="0" max="25" min="25" style="0" width="9"/>
    <col collapsed="false" customWidth="true" hidden="false" outlineLevel="0" max="26" min="26" style="0" width="7"/>
    <col collapsed="false" customWidth="true" hidden="false" outlineLevel="0" max="27" min="27" style="0" width="11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6"/>
    <col collapsed="false" customWidth="true" hidden="false" outlineLevel="0" max="32" min="31" style="0" width="11"/>
    <col collapsed="false" customWidth="true" hidden="false" outlineLevel="0" max="33" min="33" style="0" width="8"/>
  </cols>
  <sheetData>
    <row r="1" customFormat="false" ht="9.75" hidden="false" customHeight="true" outlineLevel="0" collapsed="false"/>
    <row r="2" customFormat="false" ht="33.75" hidden="false" customHeight="true" outlineLevel="0" collapsed="false">
      <c r="B2" s="28" t="s">
        <v>51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  <c r="P2" s="30" t="s">
        <v>52</v>
      </c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customFormat="false" ht="19.5" hidden="false" customHeight="true" outlineLevel="0" collapsed="false">
      <c r="B3" s="31" t="s">
        <v>53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29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customFormat="false" ht="3.7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customFormat="false" ht="15" hidden="false" customHeight="true" outlineLevel="0" collapsed="false">
      <c r="B5" s="32" t="s">
        <v>54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3" t="s">
        <v>55</v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customFormat="false" ht="43.5" hidden="false" customHeight="true" outlineLevel="0" collapsed="false">
      <c r="A6" s="34" t="s">
        <v>56</v>
      </c>
      <c r="B6" s="35" t="s">
        <v>57</v>
      </c>
      <c r="C6" s="35" t="s">
        <v>58</v>
      </c>
      <c r="D6" s="35" t="s">
        <v>59</v>
      </c>
      <c r="E6" s="35" t="s">
        <v>60</v>
      </c>
      <c r="F6" s="35" t="s">
        <v>61</v>
      </c>
      <c r="G6" s="35" t="s">
        <v>62</v>
      </c>
      <c r="H6" s="35" t="s">
        <v>63</v>
      </c>
      <c r="I6" s="35" t="s">
        <v>64</v>
      </c>
      <c r="J6" s="35" t="s">
        <v>65</v>
      </c>
      <c r="K6" s="35" t="s">
        <v>66</v>
      </c>
      <c r="L6" s="35" t="s">
        <v>67</v>
      </c>
      <c r="M6" s="35" t="s">
        <v>68</v>
      </c>
      <c r="N6" s="35" t="s">
        <v>69</v>
      </c>
      <c r="O6" s="34" t="s">
        <v>70</v>
      </c>
      <c r="P6" s="34" t="s">
        <v>71</v>
      </c>
      <c r="Q6" s="34" t="s">
        <v>72</v>
      </c>
      <c r="R6" s="34" t="s">
        <v>73</v>
      </c>
      <c r="S6" s="34" t="s">
        <v>74</v>
      </c>
      <c r="T6" s="34" t="s">
        <v>75</v>
      </c>
      <c r="U6" s="34" t="s">
        <v>76</v>
      </c>
      <c r="V6" s="34" t="s">
        <v>77</v>
      </c>
      <c r="W6" s="34" t="s">
        <v>78</v>
      </c>
      <c r="X6" s="34" t="s">
        <v>79</v>
      </c>
      <c r="Y6" s="34" t="s">
        <v>80</v>
      </c>
      <c r="Z6" s="34" t="s">
        <v>81</v>
      </c>
      <c r="AA6" s="34" t="s">
        <v>82</v>
      </c>
      <c r="AB6" s="34" t="s">
        <v>83</v>
      </c>
      <c r="AC6" s="34" t="s">
        <v>84</v>
      </c>
      <c r="AD6" s="34" t="s">
        <v>85</v>
      </c>
      <c r="AE6" s="34" t="s">
        <v>86</v>
      </c>
      <c r="AF6" s="34" t="s">
        <v>87</v>
      </c>
      <c r="AG6" s="34" t="s">
        <v>88</v>
      </c>
    </row>
    <row r="7" customFormat="false" ht="15" hidden="false" customHeight="false" outlineLevel="0" collapsed="false">
      <c r="A7" s="36" t="n">
        <f aca="false">IF(B7="","",ROW()-6)</f>
        <v>1</v>
      </c>
      <c r="B7" s="37" t="n">
        <v>46248</v>
      </c>
      <c r="C7" s="38" t="n">
        <v>0.472916666666667</v>
      </c>
      <c r="D7" s="38" t="n">
        <v>0.5625</v>
      </c>
      <c r="E7" s="39" t="s">
        <v>89</v>
      </c>
      <c r="F7" s="39" t="s">
        <v>90</v>
      </c>
      <c r="G7" s="39" t="n">
        <v>5</v>
      </c>
      <c r="H7" s="40" t="s">
        <v>91</v>
      </c>
      <c r="I7" s="40" t="n">
        <v>300</v>
      </c>
      <c r="J7" s="40" t="n">
        <v>60</v>
      </c>
      <c r="K7" s="40" t="n">
        <v>6</v>
      </c>
      <c r="L7" s="39" t="s">
        <v>92</v>
      </c>
      <c r="M7" s="40"/>
      <c r="N7" s="40"/>
      <c r="O7" s="36" t="n">
        <f aca="false">IF($B7="","",INT((A7-1)/Parametros!$C$10)+1)</f>
        <v>1</v>
      </c>
      <c r="P7" s="41" t="n">
        <f aca="false">IF($B7="","",IF(OR(C7="",D7=""),"",ROUND((D7-C7)*1440,0)))</f>
        <v>129</v>
      </c>
      <c r="Q7" s="42" t="n">
        <f aca="false">IF($B7="","",I7*VLOOKUP(E7,Parametros!$B$18:$D$24,2,FALSE()))</f>
        <v>300</v>
      </c>
      <c r="R7" s="42" t="n">
        <f aca="false">IF($B7="","",G7*VLOOKUP(E7,Parametros!$B$18:$D$24,3,FALSE()))</f>
        <v>9.2</v>
      </c>
      <c r="S7" s="42" t="n">
        <f aca="false">IF($B7="","",Q7-R7)</f>
        <v>290.8</v>
      </c>
      <c r="T7" s="43" t="str">
        <f aca="false">IF($B7="","",IF(S7&gt;0,"G","P"))</f>
        <v>G</v>
      </c>
      <c r="U7" s="44" t="n">
        <f aca="false">IF($B7="","",S7/Parametros!$C$8)</f>
        <v>1.93866666666667</v>
      </c>
      <c r="V7" s="42" t="n">
        <f aca="false">IF($B7="","",Parametros!$C$6+SUM($S$7:S7))</f>
        <v>8875.32</v>
      </c>
      <c r="W7" s="42" t="n">
        <f aca="false">IF($B7="","",MAX(V7,Parametros!$C$6))</f>
        <v>8875.32</v>
      </c>
      <c r="X7" s="42" t="n">
        <f aca="false">IF($B7="","",V7-W7)</f>
        <v>0</v>
      </c>
      <c r="Y7" s="45" t="n">
        <f aca="false">IF($B7="","",X7/W7)</f>
        <v>0</v>
      </c>
      <c r="Z7" s="36" t="n">
        <f aca="false">IF($B7="","",IF(T7="G",IF(N(Z6)&gt;0,Z6+1,1),IF(N(Z6)&lt;0,Z6-1,-1)))</f>
        <v>1</v>
      </c>
      <c r="AA7" s="46" t="n">
        <f aca="false">IF($B7="","",B7-WEEKDAY(B7,2)+1)</f>
        <v>46244</v>
      </c>
      <c r="AB7" s="47" t="n">
        <f aca="false">IF($B7="","",DATE(YEAR(B7),MONTH(B7),1))</f>
        <v>46235</v>
      </c>
      <c r="AC7" s="41" t="str">
        <f aca="false">IF($B7="","",CHOOSE(WEEKDAY(B7,2),"Lunes","Martes","Miércoles","Jueves","Viernes","Sábado","Domingo"))</f>
        <v>Viernes</v>
      </c>
      <c r="AD7" s="36" t="n">
        <f aca="false">IF($B7="","",HOUR(C7))</f>
        <v>11</v>
      </c>
      <c r="AE7" s="42" t="n">
        <f aca="false">IF($B7="","",IF(O7&lt;&gt;O6,MAX(V7-S7,V7),MAX(V7,AE6)))</f>
        <v>8875.32</v>
      </c>
      <c r="AF7" s="42" t="n">
        <f aca="false">IF($B7="","",V7-AE7)</f>
        <v>0</v>
      </c>
      <c r="AG7" s="36" t="n">
        <f aca="false">IF($B7="","",IF(O7&lt;&gt;O6,IF(T7="G",1,-1),IF(T7="G",IF(N(AG6)&gt;0,AG6+1,1),IF(N(AG6)&lt;0,AG6-1,-1))))</f>
        <v>1</v>
      </c>
    </row>
    <row r="8" customFormat="false" ht="15" hidden="false" customHeight="false" outlineLevel="0" collapsed="false">
      <c r="A8" s="36" t="n">
        <f aca="false">IF(B8="","",ROW()-6)</f>
        <v>2</v>
      </c>
      <c r="B8" s="37" t="n">
        <v>46253</v>
      </c>
      <c r="C8" s="38" t="n">
        <v>0.477083333333333</v>
      </c>
      <c r="D8" s="38" t="n">
        <v>0.513888888888889</v>
      </c>
      <c r="E8" s="39" t="s">
        <v>89</v>
      </c>
      <c r="F8" s="39" t="s">
        <v>90</v>
      </c>
      <c r="G8" s="39" t="n">
        <v>5</v>
      </c>
      <c r="H8" s="40" t="s">
        <v>93</v>
      </c>
      <c r="I8" s="40" t="n">
        <v>300</v>
      </c>
      <c r="J8" s="40" t="n">
        <v>60</v>
      </c>
      <c r="K8" s="40" t="n">
        <v>21</v>
      </c>
      <c r="L8" s="39" t="s">
        <v>92</v>
      </c>
      <c r="M8" s="40"/>
      <c r="N8" s="40"/>
      <c r="O8" s="36" t="n">
        <f aca="false">IF($B8="","",INT((A8-1)/Parametros!$C$10)+1)</f>
        <v>1</v>
      </c>
      <c r="P8" s="41" t="n">
        <f aca="false">IF($B8="","",IF(OR(C8="",D8=""),"",ROUND((D8-C8)*1440,0)))</f>
        <v>53</v>
      </c>
      <c r="Q8" s="42" t="n">
        <f aca="false">IF($B8="","",I8*VLOOKUP(E8,Parametros!$B$18:$D$24,2,FALSE()))</f>
        <v>300</v>
      </c>
      <c r="R8" s="42" t="n">
        <f aca="false">IF($B8="","",G8*VLOOKUP(E8,Parametros!$B$18:$D$24,3,FALSE()))</f>
        <v>9.2</v>
      </c>
      <c r="S8" s="42" t="n">
        <f aca="false">IF($B8="","",Q8-R8)</f>
        <v>290.8</v>
      </c>
      <c r="T8" s="43" t="str">
        <f aca="false">IF($B8="","",IF(S8&gt;0,"G","P"))</f>
        <v>G</v>
      </c>
      <c r="U8" s="44" t="n">
        <f aca="false">IF($B8="","",S8/Parametros!$C$8)</f>
        <v>1.93866666666667</v>
      </c>
      <c r="V8" s="42" t="n">
        <f aca="false">IF($B8="","",Parametros!$C$6+SUM($S$7:S8))</f>
        <v>9166.12</v>
      </c>
      <c r="W8" s="42" t="n">
        <f aca="false">IF($B8="","",MAX(V8,W7))</f>
        <v>9166.12</v>
      </c>
      <c r="X8" s="42" t="n">
        <f aca="false">IF($B8="","",V8-W8)</f>
        <v>0</v>
      </c>
      <c r="Y8" s="45" t="n">
        <f aca="false">IF($B8="","",X8/W8)</f>
        <v>0</v>
      </c>
      <c r="Z8" s="36" t="n">
        <f aca="false">IF($B8="","",IF(T8="G",IF(N(Z7)&gt;0,Z7+1,1),IF(N(Z7)&lt;0,Z7-1,-1)))</f>
        <v>2</v>
      </c>
      <c r="AA8" s="46" t="n">
        <f aca="false">IF($B8="","",B8-WEEKDAY(B8,2)+1)</f>
        <v>46251</v>
      </c>
      <c r="AB8" s="47" t="n">
        <f aca="false">IF($B8="","",DATE(YEAR(B8),MONTH(B8),1))</f>
        <v>46235</v>
      </c>
      <c r="AC8" s="41" t="str">
        <f aca="false">IF($B8="","",CHOOSE(WEEKDAY(B8,2),"Lunes","Martes","Miércoles","Jueves","Viernes","Sábado","Domingo"))</f>
        <v>Miércoles</v>
      </c>
      <c r="AD8" s="36" t="n">
        <f aca="false">IF($B8="","",HOUR(C8))</f>
        <v>11</v>
      </c>
      <c r="AE8" s="42" t="n">
        <f aca="false">IF($B8="","",IF(O8&lt;&gt;O7,MAX(V8-S8,V8),MAX(V8,AE7)))</f>
        <v>9166.12</v>
      </c>
      <c r="AF8" s="42" t="n">
        <f aca="false">IF($B8="","",V8-AE8)</f>
        <v>0</v>
      </c>
      <c r="AG8" s="36" t="n">
        <f aca="false">IF($B8="","",IF(O8&lt;&gt;O7,IF(T8="G",1,-1),IF(T8="G",IF(N(AG7)&gt;0,AG7+1,1),IF(N(AG7)&lt;0,AG7-1,-1))))</f>
        <v>2</v>
      </c>
    </row>
    <row r="9" customFormat="false" ht="15" hidden="false" customHeight="false" outlineLevel="0" collapsed="false">
      <c r="A9" s="36" t="n">
        <f aca="false">IF(B9="","",ROW()-6)</f>
        <v>3</v>
      </c>
      <c r="B9" s="37" t="n">
        <v>46254</v>
      </c>
      <c r="C9" s="38" t="n">
        <v>0.497916666666667</v>
      </c>
      <c r="D9" s="38" t="n">
        <v>0.503472222222222</v>
      </c>
      <c r="E9" s="39" t="s">
        <v>89</v>
      </c>
      <c r="F9" s="39" t="s">
        <v>94</v>
      </c>
      <c r="G9" s="39" t="n">
        <v>5</v>
      </c>
      <c r="H9" s="40" t="s">
        <v>93</v>
      </c>
      <c r="I9" s="40" t="n">
        <v>-150</v>
      </c>
      <c r="J9" s="40" t="n">
        <v>12</v>
      </c>
      <c r="K9" s="40" t="n">
        <v>30</v>
      </c>
      <c r="L9" s="39" t="s">
        <v>92</v>
      </c>
      <c r="M9" s="40"/>
      <c r="N9" s="40"/>
      <c r="O9" s="36" t="n">
        <f aca="false">IF($B9="","",INT((A9-1)/Parametros!$C$10)+1)</f>
        <v>1</v>
      </c>
      <c r="P9" s="41" t="n">
        <f aca="false">IF($B9="","",IF(OR(C9="",D9=""),"",ROUND((D9-C9)*1440,0)))</f>
        <v>8</v>
      </c>
      <c r="Q9" s="42" t="n">
        <f aca="false">IF($B9="","",I9*VLOOKUP(E9,Parametros!$B$18:$D$24,2,FALSE()))</f>
        <v>-150</v>
      </c>
      <c r="R9" s="42" t="n">
        <f aca="false">IF($B9="","",G9*VLOOKUP(E9,Parametros!$B$18:$D$24,3,FALSE()))</f>
        <v>9.2</v>
      </c>
      <c r="S9" s="42" t="n">
        <f aca="false">IF($B9="","",Q9-R9)</f>
        <v>-159.2</v>
      </c>
      <c r="T9" s="43" t="str">
        <f aca="false">IF($B9="","",IF(S9&gt;0,"G","P"))</f>
        <v>P</v>
      </c>
      <c r="U9" s="44" t="n">
        <f aca="false">IF($B9="","",S9/Parametros!$C$8)</f>
        <v>-1.06133333333333</v>
      </c>
      <c r="V9" s="42" t="n">
        <f aca="false">IF($B9="","",Parametros!$C$6+SUM($S$7:S9))</f>
        <v>9006.92</v>
      </c>
      <c r="W9" s="42" t="n">
        <f aca="false">IF($B9="","",MAX(V9,W8))</f>
        <v>9166.12</v>
      </c>
      <c r="X9" s="42" t="n">
        <f aca="false">IF($B9="","",V9-W9)</f>
        <v>-159.200000000001</v>
      </c>
      <c r="Y9" s="45" t="n">
        <f aca="false">IF($B9="","",X9/W9)</f>
        <v>-0.0173683085100349</v>
      </c>
      <c r="Z9" s="36" t="n">
        <f aca="false">IF($B9="","",IF(T9="G",IF(N(Z8)&gt;0,Z8+1,1),IF(N(Z8)&lt;0,Z8-1,-1)))</f>
        <v>-1</v>
      </c>
      <c r="AA9" s="46" t="n">
        <f aca="false">IF($B9="","",B9-WEEKDAY(B9,2)+1)</f>
        <v>46251</v>
      </c>
      <c r="AB9" s="47" t="n">
        <f aca="false">IF($B9="","",DATE(YEAR(B9),MONTH(B9),1))</f>
        <v>46235</v>
      </c>
      <c r="AC9" s="41" t="str">
        <f aca="false">IF($B9="","",CHOOSE(WEEKDAY(B9,2),"Lunes","Martes","Miércoles","Jueves","Viernes","Sábado","Domingo"))</f>
        <v>Jueves</v>
      </c>
      <c r="AD9" s="36" t="n">
        <f aca="false">IF($B9="","",HOUR(C9))</f>
        <v>11</v>
      </c>
      <c r="AE9" s="42" t="n">
        <f aca="false">IF($B9="","",IF(O9&lt;&gt;O8,MAX(V9-S9,V9),MAX(V9,AE8)))</f>
        <v>9166.12</v>
      </c>
      <c r="AF9" s="42" t="n">
        <f aca="false">IF($B9="","",V9-AE9)</f>
        <v>-159.200000000001</v>
      </c>
      <c r="AG9" s="36" t="n">
        <f aca="false">IF($B9="","",IF(O9&lt;&gt;O8,IF(T9="G",1,-1),IF(T9="G",IF(N(AG8)&gt;0,AG8+1,1),IF(N(AG8)&lt;0,AG8-1,-1))))</f>
        <v>-1</v>
      </c>
    </row>
    <row r="10" customFormat="false" ht="15" hidden="false" customHeight="false" outlineLevel="0" collapsed="false">
      <c r="A10" s="36" t="n">
        <f aca="false">IF(B10="","",ROW()-6)</f>
        <v>4</v>
      </c>
      <c r="B10" s="37" t="n">
        <v>46260</v>
      </c>
      <c r="C10" s="38" t="n">
        <v>0.471527777777778</v>
      </c>
      <c r="D10" s="38" t="n">
        <v>0.506944444444444</v>
      </c>
      <c r="E10" s="39" t="s">
        <v>89</v>
      </c>
      <c r="F10" s="39" t="s">
        <v>90</v>
      </c>
      <c r="G10" s="39" t="n">
        <v>5</v>
      </c>
      <c r="H10" s="40" t="s">
        <v>93</v>
      </c>
      <c r="I10" s="40" t="n">
        <v>300</v>
      </c>
      <c r="J10" s="40" t="n">
        <v>60</v>
      </c>
      <c r="K10" s="40" t="n">
        <v>9</v>
      </c>
      <c r="L10" s="39" t="s">
        <v>92</v>
      </c>
      <c r="M10" s="40"/>
      <c r="N10" s="40"/>
      <c r="O10" s="36" t="n">
        <f aca="false">IF($B10="","",INT((A10-1)/Parametros!$C$10)+1)</f>
        <v>1</v>
      </c>
      <c r="P10" s="41" t="n">
        <f aca="false">IF($B10="","",IF(OR(C10="",D10=""),"",ROUND((D10-C10)*1440,0)))</f>
        <v>51</v>
      </c>
      <c r="Q10" s="42" t="n">
        <f aca="false">IF($B10="","",I10*VLOOKUP(E10,Parametros!$B$18:$D$24,2,FALSE()))</f>
        <v>300</v>
      </c>
      <c r="R10" s="42" t="n">
        <f aca="false">IF($B10="","",G10*VLOOKUP(E10,Parametros!$B$18:$D$24,3,FALSE()))</f>
        <v>9.2</v>
      </c>
      <c r="S10" s="42" t="n">
        <f aca="false">IF($B10="","",Q10-R10)</f>
        <v>290.8</v>
      </c>
      <c r="T10" s="43" t="str">
        <f aca="false">IF($B10="","",IF(S10&gt;0,"G","P"))</f>
        <v>G</v>
      </c>
      <c r="U10" s="44" t="n">
        <f aca="false">IF($B10="","",S10/Parametros!$C$8)</f>
        <v>1.93866666666667</v>
      </c>
      <c r="V10" s="42" t="n">
        <f aca="false">IF($B10="","",Parametros!$C$6+SUM($S$7:S10))</f>
        <v>9297.72</v>
      </c>
      <c r="W10" s="42" t="n">
        <f aca="false">IF($B10="","",MAX(V10,W9))</f>
        <v>9297.72</v>
      </c>
      <c r="X10" s="42" t="n">
        <f aca="false">IF($B10="","",V10-W10)</f>
        <v>0</v>
      </c>
      <c r="Y10" s="45" t="n">
        <f aca="false">IF($B10="","",X10/W10)</f>
        <v>0</v>
      </c>
      <c r="Z10" s="36" t="n">
        <f aca="false">IF($B10="","",IF(T10="G",IF(N(Z9)&gt;0,Z9+1,1),IF(N(Z9)&lt;0,Z9-1,-1)))</f>
        <v>1</v>
      </c>
      <c r="AA10" s="46" t="n">
        <f aca="false">IF($B10="","",B10-WEEKDAY(B10,2)+1)</f>
        <v>46258</v>
      </c>
      <c r="AB10" s="47" t="n">
        <f aca="false">IF($B10="","",DATE(YEAR(B10),MONTH(B10),1))</f>
        <v>46235</v>
      </c>
      <c r="AC10" s="41" t="str">
        <f aca="false">IF($B10="","",CHOOSE(WEEKDAY(B10,2),"Lunes","Martes","Miércoles","Jueves","Viernes","Sábado","Domingo"))</f>
        <v>Miércoles</v>
      </c>
      <c r="AD10" s="36" t="n">
        <f aca="false">IF($B10="","",HOUR(C10))</f>
        <v>11</v>
      </c>
      <c r="AE10" s="42" t="n">
        <f aca="false">IF($B10="","",IF(O10&lt;&gt;O9,MAX(V10-S10,V10),MAX(V10,AE9)))</f>
        <v>9297.72</v>
      </c>
      <c r="AF10" s="42" t="n">
        <f aca="false">IF($B10="","",V10-AE10)</f>
        <v>0</v>
      </c>
      <c r="AG10" s="36" t="n">
        <f aca="false">IF($B10="","",IF(O10&lt;&gt;O9,IF(T10="G",1,-1),IF(T10="G",IF(N(AG9)&gt;0,AG9+1,1),IF(N(AG9)&lt;0,AG9-1,-1))))</f>
        <v>1</v>
      </c>
    </row>
    <row r="11" customFormat="false" ht="15" hidden="false" customHeight="false" outlineLevel="0" collapsed="false">
      <c r="A11" s="36" t="n">
        <f aca="false">IF(B11="","",ROW()-6)</f>
        <v>5</v>
      </c>
      <c r="B11" s="37" t="n">
        <v>46262</v>
      </c>
      <c r="C11" s="38" t="n">
        <v>0.442361111111111</v>
      </c>
      <c r="D11" s="38" t="n">
        <v>0.459027777777778</v>
      </c>
      <c r="E11" s="39" t="s">
        <v>89</v>
      </c>
      <c r="F11" s="39" t="s">
        <v>90</v>
      </c>
      <c r="G11" s="39" t="n">
        <v>5</v>
      </c>
      <c r="H11" s="40" t="s">
        <v>91</v>
      </c>
      <c r="I11" s="40" t="n">
        <v>-150</v>
      </c>
      <c r="J11" s="40" t="n">
        <v>15</v>
      </c>
      <c r="K11" s="40" t="n">
        <v>33</v>
      </c>
      <c r="L11" s="39" t="s">
        <v>92</v>
      </c>
      <c r="M11" s="40"/>
      <c r="N11" s="40"/>
      <c r="O11" s="36" t="n">
        <f aca="false">IF($B11="","",INT((A11-1)/Parametros!$C$10)+1)</f>
        <v>1</v>
      </c>
      <c r="P11" s="41" t="n">
        <f aca="false">IF($B11="","",IF(OR(C11="",D11=""),"",ROUND((D11-C11)*1440,0)))</f>
        <v>24</v>
      </c>
      <c r="Q11" s="42" t="n">
        <f aca="false">IF($B11="","",I11*VLOOKUP(E11,Parametros!$B$18:$D$24,2,FALSE()))</f>
        <v>-150</v>
      </c>
      <c r="R11" s="42" t="n">
        <f aca="false">IF($B11="","",G11*VLOOKUP(E11,Parametros!$B$18:$D$24,3,FALSE()))</f>
        <v>9.2</v>
      </c>
      <c r="S11" s="42" t="n">
        <f aca="false">IF($B11="","",Q11-R11)</f>
        <v>-159.2</v>
      </c>
      <c r="T11" s="43" t="str">
        <f aca="false">IF($B11="","",IF(S11&gt;0,"G","P"))</f>
        <v>P</v>
      </c>
      <c r="U11" s="44" t="n">
        <f aca="false">IF($B11="","",S11/Parametros!$C$8)</f>
        <v>-1.06133333333333</v>
      </c>
      <c r="V11" s="42" t="n">
        <f aca="false">IF($B11="","",Parametros!$C$6+SUM($S$7:S11))</f>
        <v>9138.52</v>
      </c>
      <c r="W11" s="42" t="n">
        <f aca="false">IF($B11="","",MAX(V11,W10))</f>
        <v>9297.72</v>
      </c>
      <c r="X11" s="42" t="n">
        <f aca="false">IF($B11="","",V11-W11)</f>
        <v>-159.200000000001</v>
      </c>
      <c r="Y11" s="45" t="n">
        <f aca="false">IF($B11="","",X11/W11)</f>
        <v>-0.0171224773385304</v>
      </c>
      <c r="Z11" s="36" t="n">
        <f aca="false">IF($B11="","",IF(T11="G",IF(N(Z10)&gt;0,Z10+1,1),IF(N(Z10)&lt;0,Z10-1,-1)))</f>
        <v>-1</v>
      </c>
      <c r="AA11" s="46" t="n">
        <f aca="false">IF($B11="","",B11-WEEKDAY(B11,2)+1)</f>
        <v>46258</v>
      </c>
      <c r="AB11" s="47" t="n">
        <f aca="false">IF($B11="","",DATE(YEAR(B11),MONTH(B11),1))</f>
        <v>46235</v>
      </c>
      <c r="AC11" s="41" t="str">
        <f aca="false">IF($B11="","",CHOOSE(WEEKDAY(B11,2),"Lunes","Martes","Miércoles","Jueves","Viernes","Sábado","Domingo"))</f>
        <v>Viernes</v>
      </c>
      <c r="AD11" s="36" t="n">
        <f aca="false">IF($B11="","",HOUR(C11))</f>
        <v>10</v>
      </c>
      <c r="AE11" s="42" t="n">
        <f aca="false">IF($B11="","",IF(O11&lt;&gt;O10,MAX(V11-S11,V11),MAX(V11,AE10)))</f>
        <v>9297.72</v>
      </c>
      <c r="AF11" s="42" t="n">
        <f aca="false">IF($B11="","",V11-AE11)</f>
        <v>-159.200000000001</v>
      </c>
      <c r="AG11" s="36" t="n">
        <f aca="false">IF($B11="","",IF(O11&lt;&gt;O10,IF(T11="G",1,-1),IF(T11="G",IF(N(AG10)&gt;0,AG10+1,1),IF(N(AG10)&lt;0,AG10-1,-1))))</f>
        <v>-1</v>
      </c>
    </row>
    <row r="12" customFormat="false" ht="15" hidden="false" customHeight="false" outlineLevel="0" collapsed="false">
      <c r="A12" s="36" t="n">
        <f aca="false">IF(B12="","",ROW()-6)</f>
        <v>6</v>
      </c>
      <c r="B12" s="37" t="n">
        <v>46265</v>
      </c>
      <c r="C12" s="38" t="n">
        <v>0.515972222222222</v>
      </c>
      <c r="D12" s="38" t="n">
        <v>0.607638888888889</v>
      </c>
      <c r="E12" s="39" t="s">
        <v>89</v>
      </c>
      <c r="F12" s="39" t="s">
        <v>90</v>
      </c>
      <c r="G12" s="39" t="n">
        <v>5</v>
      </c>
      <c r="H12" s="40" t="s">
        <v>91</v>
      </c>
      <c r="I12" s="40" t="n">
        <v>300</v>
      </c>
      <c r="J12" s="40" t="n">
        <v>60</v>
      </c>
      <c r="K12" s="40" t="n">
        <v>14</v>
      </c>
      <c r="L12" s="39" t="s">
        <v>92</v>
      </c>
      <c r="M12" s="40"/>
      <c r="N12" s="40"/>
      <c r="O12" s="36" t="n">
        <f aca="false">IF($B12="","",INT((A12-1)/Parametros!$C$10)+1)</f>
        <v>1</v>
      </c>
      <c r="P12" s="41" t="n">
        <f aca="false">IF($B12="","",IF(OR(C12="",D12=""),"",ROUND((D12-C12)*1440,0)))</f>
        <v>132</v>
      </c>
      <c r="Q12" s="42" t="n">
        <f aca="false">IF($B12="","",I12*VLOOKUP(E12,Parametros!$B$18:$D$24,2,FALSE()))</f>
        <v>300</v>
      </c>
      <c r="R12" s="42" t="n">
        <f aca="false">IF($B12="","",G12*VLOOKUP(E12,Parametros!$B$18:$D$24,3,FALSE()))</f>
        <v>9.2</v>
      </c>
      <c r="S12" s="42" t="n">
        <f aca="false">IF($B12="","",Q12-R12)</f>
        <v>290.8</v>
      </c>
      <c r="T12" s="43" t="str">
        <f aca="false">IF($B12="","",IF(S12&gt;0,"G","P"))</f>
        <v>G</v>
      </c>
      <c r="U12" s="44" t="n">
        <f aca="false">IF($B12="","",S12/Parametros!$C$8)</f>
        <v>1.93866666666667</v>
      </c>
      <c r="V12" s="42" t="n">
        <f aca="false">IF($B12="","",Parametros!$C$6+SUM($S$7:S12))</f>
        <v>9429.32</v>
      </c>
      <c r="W12" s="42" t="n">
        <f aca="false">IF($B12="","",MAX(V12,W11))</f>
        <v>9429.32</v>
      </c>
      <c r="X12" s="42" t="n">
        <f aca="false">IF($B12="","",V12-W12)</f>
        <v>0</v>
      </c>
      <c r="Y12" s="45" t="n">
        <f aca="false">IF($B12="","",X12/W12)</f>
        <v>0</v>
      </c>
      <c r="Z12" s="36" t="n">
        <f aca="false">IF($B12="","",IF(T12="G",IF(N(Z11)&gt;0,Z11+1,1),IF(N(Z11)&lt;0,Z11-1,-1)))</f>
        <v>1</v>
      </c>
      <c r="AA12" s="46" t="n">
        <f aca="false">IF($B12="","",B12-WEEKDAY(B12,2)+1)</f>
        <v>46265</v>
      </c>
      <c r="AB12" s="47" t="n">
        <f aca="false">IF($B12="","",DATE(YEAR(B12),MONTH(B12),1))</f>
        <v>46235</v>
      </c>
      <c r="AC12" s="41" t="str">
        <f aca="false">IF($B12="","",CHOOSE(WEEKDAY(B12,2),"Lunes","Martes","Miércoles","Jueves","Viernes","Sábado","Domingo"))</f>
        <v>Lunes</v>
      </c>
      <c r="AD12" s="36" t="n">
        <f aca="false">IF($B12="","",HOUR(C12))</f>
        <v>12</v>
      </c>
      <c r="AE12" s="42" t="n">
        <f aca="false">IF($B12="","",IF(O12&lt;&gt;O11,MAX(V12-S12,V12),MAX(V12,AE11)))</f>
        <v>9429.32</v>
      </c>
      <c r="AF12" s="42" t="n">
        <f aca="false">IF($B12="","",V12-AE12)</f>
        <v>0</v>
      </c>
      <c r="AG12" s="36" t="n">
        <f aca="false">IF($B12="","",IF(O12&lt;&gt;O11,IF(T12="G",1,-1),IF(T12="G",IF(N(AG11)&gt;0,AG11+1,1),IF(N(AG11)&lt;0,AG11-1,-1))))</f>
        <v>1</v>
      </c>
    </row>
    <row r="13" customFormat="false" ht="15" hidden="false" customHeight="false" outlineLevel="0" collapsed="false">
      <c r="A13" s="36" t="n">
        <f aca="false">IF(B13="","",ROW()-6)</f>
        <v>7</v>
      </c>
      <c r="B13" s="37" t="n">
        <v>46268</v>
      </c>
      <c r="C13" s="38" t="n">
        <v>0.553472222222222</v>
      </c>
      <c r="D13" s="38" t="n">
        <v>0.561805555555556</v>
      </c>
      <c r="E13" s="39" t="s">
        <v>89</v>
      </c>
      <c r="F13" s="39" t="s">
        <v>94</v>
      </c>
      <c r="G13" s="39" t="n">
        <v>5</v>
      </c>
      <c r="H13" s="40" t="s">
        <v>93</v>
      </c>
      <c r="I13" s="40" t="n">
        <v>-150</v>
      </c>
      <c r="J13" s="40"/>
      <c r="K13" s="40" t="n">
        <v>30</v>
      </c>
      <c r="L13" s="39" t="s">
        <v>95</v>
      </c>
      <c r="M13" s="40"/>
      <c r="N13" s="40"/>
      <c r="O13" s="36" t="n">
        <f aca="false">IF($B13="","",INT((A13-1)/Parametros!$C$10)+1)</f>
        <v>1</v>
      </c>
      <c r="P13" s="41" t="n">
        <f aca="false">IF($B13="","",IF(OR(C13="",D13=""),"",ROUND((D13-C13)*1440,0)))</f>
        <v>12</v>
      </c>
      <c r="Q13" s="42" t="n">
        <f aca="false">IF($B13="","",I13*VLOOKUP(E13,Parametros!$B$18:$D$24,2,FALSE()))</f>
        <v>-150</v>
      </c>
      <c r="R13" s="42" t="n">
        <f aca="false">IF($B13="","",G13*VLOOKUP(E13,Parametros!$B$18:$D$24,3,FALSE()))</f>
        <v>9.2</v>
      </c>
      <c r="S13" s="42" t="n">
        <f aca="false">IF($B13="","",Q13-R13)</f>
        <v>-159.2</v>
      </c>
      <c r="T13" s="43" t="str">
        <f aca="false">IF($B13="","",IF(S13&gt;0,"G","P"))</f>
        <v>P</v>
      </c>
      <c r="U13" s="44" t="n">
        <f aca="false">IF($B13="","",S13/Parametros!$C$8)</f>
        <v>-1.06133333333333</v>
      </c>
      <c r="V13" s="42" t="n">
        <f aca="false">IF($B13="","",Parametros!$C$6+SUM($S$7:S13))</f>
        <v>9270.12</v>
      </c>
      <c r="W13" s="42" t="n">
        <f aca="false">IF($B13="","",MAX(V13,W12))</f>
        <v>9429.32</v>
      </c>
      <c r="X13" s="42" t="n">
        <f aca="false">IF($B13="","",V13-W13)</f>
        <v>-159.199999999999</v>
      </c>
      <c r="Y13" s="45" t="n">
        <f aca="false">IF($B13="","",X13/W13)</f>
        <v>-0.0168835080366346</v>
      </c>
      <c r="Z13" s="36" t="n">
        <f aca="false">IF($B13="","",IF(T13="G",IF(N(Z12)&gt;0,Z12+1,1),IF(N(Z12)&lt;0,Z12-1,-1)))</f>
        <v>-1</v>
      </c>
      <c r="AA13" s="46" t="n">
        <f aca="false">IF($B13="","",B13-WEEKDAY(B13,2)+1)</f>
        <v>46265</v>
      </c>
      <c r="AB13" s="47" t="n">
        <f aca="false">IF($B13="","",DATE(YEAR(B13),MONTH(B13),1))</f>
        <v>46266</v>
      </c>
      <c r="AC13" s="41" t="str">
        <f aca="false">IF($B13="","",CHOOSE(WEEKDAY(B13,2),"Lunes","Martes","Miércoles","Jueves","Viernes","Sábado","Domingo"))</f>
        <v>Jueves</v>
      </c>
      <c r="AD13" s="36" t="n">
        <f aca="false">IF($B13="","",HOUR(C13))</f>
        <v>13</v>
      </c>
      <c r="AE13" s="42" t="n">
        <f aca="false">IF($B13="","",IF(O13&lt;&gt;O12,MAX(V13-S13,V13),MAX(V13,AE12)))</f>
        <v>9429.32</v>
      </c>
      <c r="AF13" s="42" t="n">
        <f aca="false">IF($B13="","",V13-AE13)</f>
        <v>-159.199999999999</v>
      </c>
      <c r="AG13" s="36" t="n">
        <f aca="false">IF($B13="","",IF(O13&lt;&gt;O12,IF(T13="G",1,-1),IF(T13="G",IF(N(AG12)&gt;0,AG12+1,1),IF(N(AG12)&lt;0,AG12-1,-1))))</f>
        <v>-1</v>
      </c>
    </row>
    <row r="14" customFormat="false" ht="15" hidden="false" customHeight="false" outlineLevel="0" collapsed="false">
      <c r="A14" s="36" t="n">
        <f aca="false">IF(B14="","",ROW()-6)</f>
        <v>8</v>
      </c>
      <c r="B14" s="37" t="n">
        <v>46274</v>
      </c>
      <c r="C14" s="38" t="n">
        <v>0.459722222222222</v>
      </c>
      <c r="D14" s="38" t="n">
        <v>0.471527777777778</v>
      </c>
      <c r="E14" s="39" t="s">
        <v>89</v>
      </c>
      <c r="F14" s="39" t="s">
        <v>94</v>
      </c>
      <c r="G14" s="39" t="n">
        <v>5</v>
      </c>
      <c r="H14" s="40" t="s">
        <v>91</v>
      </c>
      <c r="I14" s="40" t="n">
        <v>-150</v>
      </c>
      <c r="J14" s="40" t="n">
        <v>22</v>
      </c>
      <c r="K14" s="40" t="n">
        <v>36</v>
      </c>
      <c r="L14" s="39" t="s">
        <v>92</v>
      </c>
      <c r="M14" s="40"/>
      <c r="N14" s="40"/>
      <c r="O14" s="36" t="n">
        <f aca="false">IF($B14="","",INT((A14-1)/Parametros!$C$10)+1)</f>
        <v>1</v>
      </c>
      <c r="P14" s="41" t="n">
        <f aca="false">IF($B14="","",IF(OR(C14="",D14=""),"",ROUND((D14-C14)*1440,0)))</f>
        <v>17</v>
      </c>
      <c r="Q14" s="42" t="n">
        <f aca="false">IF($B14="","",I14*VLOOKUP(E14,Parametros!$B$18:$D$24,2,FALSE()))</f>
        <v>-150</v>
      </c>
      <c r="R14" s="42" t="n">
        <f aca="false">IF($B14="","",G14*VLOOKUP(E14,Parametros!$B$18:$D$24,3,FALSE()))</f>
        <v>9.2</v>
      </c>
      <c r="S14" s="42" t="n">
        <f aca="false">IF($B14="","",Q14-R14)</f>
        <v>-159.2</v>
      </c>
      <c r="T14" s="43" t="str">
        <f aca="false">IF($B14="","",IF(S14&gt;0,"G","P"))</f>
        <v>P</v>
      </c>
      <c r="U14" s="44" t="n">
        <f aca="false">IF($B14="","",S14/Parametros!$C$8)</f>
        <v>-1.06133333333333</v>
      </c>
      <c r="V14" s="42" t="n">
        <f aca="false">IF($B14="","",Parametros!$C$6+SUM($S$7:S14))</f>
        <v>9110.92</v>
      </c>
      <c r="W14" s="42" t="n">
        <f aca="false">IF($B14="","",MAX(V14,W13))</f>
        <v>9429.32</v>
      </c>
      <c r="X14" s="42" t="n">
        <f aca="false">IF($B14="","",V14-W14)</f>
        <v>-318.4</v>
      </c>
      <c r="Y14" s="45" t="n">
        <f aca="false">IF($B14="","",X14/W14)</f>
        <v>-0.0337670160732693</v>
      </c>
      <c r="Z14" s="36" t="n">
        <f aca="false">IF($B14="","",IF(T14="G",IF(N(Z13)&gt;0,Z13+1,1),IF(N(Z13)&lt;0,Z13-1,-1)))</f>
        <v>-2</v>
      </c>
      <c r="AA14" s="46" t="n">
        <f aca="false">IF($B14="","",B14-WEEKDAY(B14,2)+1)</f>
        <v>46272</v>
      </c>
      <c r="AB14" s="47" t="n">
        <f aca="false">IF($B14="","",DATE(YEAR(B14),MONTH(B14),1))</f>
        <v>46266</v>
      </c>
      <c r="AC14" s="41" t="str">
        <f aca="false">IF($B14="","",CHOOSE(WEEKDAY(B14,2),"Lunes","Martes","Miércoles","Jueves","Viernes","Sábado","Domingo"))</f>
        <v>Miércoles</v>
      </c>
      <c r="AD14" s="36" t="n">
        <f aca="false">IF($B14="","",HOUR(C14))</f>
        <v>11</v>
      </c>
      <c r="AE14" s="42" t="n">
        <f aca="false">IF($B14="","",IF(O14&lt;&gt;O13,MAX(V14-S14,V14),MAX(V14,AE13)))</f>
        <v>9429.32</v>
      </c>
      <c r="AF14" s="42" t="n">
        <f aca="false">IF($B14="","",V14-AE14)</f>
        <v>-318.4</v>
      </c>
      <c r="AG14" s="36" t="n">
        <f aca="false">IF($B14="","",IF(O14&lt;&gt;O13,IF(T14="G",1,-1),IF(T14="G",IF(N(AG13)&gt;0,AG13+1,1),IF(N(AG13)&lt;0,AG13-1,-1))))</f>
        <v>-2</v>
      </c>
    </row>
    <row r="15" customFormat="false" ht="15" hidden="false" customHeight="false" outlineLevel="0" collapsed="false">
      <c r="A15" s="36" t="n">
        <f aca="false">IF(B15="","",ROW()-6)</f>
        <v>9</v>
      </c>
      <c r="B15" s="37" t="n">
        <v>46276</v>
      </c>
      <c r="C15" s="38" t="n">
        <v>0.445833333333333</v>
      </c>
      <c r="D15" s="38" t="n">
        <v>0.548611111111111</v>
      </c>
      <c r="E15" s="39" t="s">
        <v>89</v>
      </c>
      <c r="F15" s="39" t="s">
        <v>90</v>
      </c>
      <c r="G15" s="39" t="n">
        <v>3</v>
      </c>
      <c r="H15" s="40" t="s">
        <v>91</v>
      </c>
      <c r="I15" s="40" t="n">
        <v>300</v>
      </c>
      <c r="J15" s="40" t="n">
        <v>100</v>
      </c>
      <c r="K15" s="40"/>
      <c r="L15" s="39" t="s">
        <v>92</v>
      </c>
      <c r="M15" s="40"/>
      <c r="N15" s="40"/>
      <c r="O15" s="36" t="n">
        <f aca="false">IF($B15="","",INT((A15-1)/Parametros!$C$10)+1)</f>
        <v>1</v>
      </c>
      <c r="P15" s="41" t="n">
        <f aca="false">IF($B15="","",IF(OR(C15="",D15=""),"",ROUND((D15-C15)*1440,0)))</f>
        <v>148</v>
      </c>
      <c r="Q15" s="42" t="n">
        <f aca="false">IF($B15="","",I15*VLOOKUP(E15,Parametros!$B$18:$D$24,2,FALSE()))</f>
        <v>300</v>
      </c>
      <c r="R15" s="42" t="n">
        <f aca="false">IF($B15="","",G15*VLOOKUP(E15,Parametros!$B$18:$D$24,3,FALSE()))</f>
        <v>5.52</v>
      </c>
      <c r="S15" s="42" t="n">
        <f aca="false">IF($B15="","",Q15-R15)</f>
        <v>294.48</v>
      </c>
      <c r="T15" s="43" t="str">
        <f aca="false">IF($B15="","",IF(S15&gt;0,"G","P"))</f>
        <v>G</v>
      </c>
      <c r="U15" s="44" t="n">
        <f aca="false">IF($B15="","",S15/Parametros!$C$8)</f>
        <v>1.9632</v>
      </c>
      <c r="V15" s="42" t="n">
        <f aca="false">IF($B15="","",Parametros!$C$6+SUM($S$7:S15))</f>
        <v>9405.4</v>
      </c>
      <c r="W15" s="42" t="n">
        <f aca="false">IF($B15="","",MAX(V15,W14))</f>
        <v>9429.32</v>
      </c>
      <c r="X15" s="42" t="n">
        <f aca="false">IF($B15="","",V15-W15)</f>
        <v>-23.9199999999983</v>
      </c>
      <c r="Y15" s="45" t="n">
        <f aca="false">IF($B15="","",X15/W15)</f>
        <v>-0.00253676829294141</v>
      </c>
      <c r="Z15" s="36" t="n">
        <f aca="false">IF($B15="","",IF(T15="G",IF(N(Z14)&gt;0,Z14+1,1),IF(N(Z14)&lt;0,Z14-1,-1)))</f>
        <v>1</v>
      </c>
      <c r="AA15" s="46" t="n">
        <f aca="false">IF($B15="","",B15-WEEKDAY(B15,2)+1)</f>
        <v>46272</v>
      </c>
      <c r="AB15" s="47" t="n">
        <f aca="false">IF($B15="","",DATE(YEAR(B15),MONTH(B15),1))</f>
        <v>46266</v>
      </c>
      <c r="AC15" s="41" t="str">
        <f aca="false">IF($B15="","",CHOOSE(WEEKDAY(B15,2),"Lunes","Martes","Miércoles","Jueves","Viernes","Sábado","Domingo"))</f>
        <v>Viernes</v>
      </c>
      <c r="AD15" s="36" t="n">
        <f aca="false">IF($B15="","",HOUR(C15))</f>
        <v>10</v>
      </c>
      <c r="AE15" s="42" t="n">
        <f aca="false">IF($B15="","",IF(O15&lt;&gt;O14,MAX(V15-S15,V15),MAX(V15,AE14)))</f>
        <v>9429.32</v>
      </c>
      <c r="AF15" s="42" t="n">
        <f aca="false">IF($B15="","",V15-AE15)</f>
        <v>-23.9199999999983</v>
      </c>
      <c r="AG15" s="36" t="n">
        <f aca="false">IF($B15="","",IF(O15&lt;&gt;O14,IF(T15="G",1,-1),IF(T15="G",IF(N(AG14)&gt;0,AG14+1,1),IF(N(AG14)&lt;0,AG14-1,-1))))</f>
        <v>1</v>
      </c>
    </row>
    <row r="16" customFormat="false" ht="15" hidden="false" customHeight="false" outlineLevel="0" collapsed="false">
      <c r="A16" s="36" t="n">
        <f aca="false">IF(B16="","",ROW()-6)</f>
        <v>10</v>
      </c>
      <c r="B16" s="37" t="n">
        <v>46286</v>
      </c>
      <c r="C16" s="38" t="n">
        <v>0.455555555555556</v>
      </c>
      <c r="D16" s="38" t="n">
        <v>0.458333333333333</v>
      </c>
      <c r="E16" s="39" t="s">
        <v>89</v>
      </c>
      <c r="F16" s="39" t="s">
        <v>90</v>
      </c>
      <c r="G16" s="39" t="n">
        <v>5</v>
      </c>
      <c r="H16" s="40" t="s">
        <v>91</v>
      </c>
      <c r="I16" s="40" t="n">
        <v>-150</v>
      </c>
      <c r="J16" s="40" t="n">
        <v>10</v>
      </c>
      <c r="K16" s="40" t="n">
        <v>150</v>
      </c>
      <c r="L16" s="39" t="s">
        <v>92</v>
      </c>
      <c r="M16" s="40"/>
      <c r="N16" s="40"/>
      <c r="O16" s="36" t="n">
        <f aca="false">IF($B16="","",INT((A16-1)/Parametros!$C$10)+1)</f>
        <v>1</v>
      </c>
      <c r="P16" s="41" t="n">
        <f aca="false">IF($B16="","",IF(OR(C16="",D16=""),"",ROUND((D16-C16)*1440,0)))</f>
        <v>4</v>
      </c>
      <c r="Q16" s="42" t="n">
        <f aca="false">IF($B16="","",I16*VLOOKUP(E16,Parametros!$B$18:$D$24,2,FALSE()))</f>
        <v>-150</v>
      </c>
      <c r="R16" s="42" t="n">
        <f aca="false">IF($B16="","",G16*VLOOKUP(E16,Parametros!$B$18:$D$24,3,FALSE()))</f>
        <v>9.2</v>
      </c>
      <c r="S16" s="42" t="n">
        <f aca="false">IF($B16="","",Q16-R16)</f>
        <v>-159.2</v>
      </c>
      <c r="T16" s="43" t="str">
        <f aca="false">IF($B16="","",IF(S16&gt;0,"G","P"))</f>
        <v>P</v>
      </c>
      <c r="U16" s="44" t="n">
        <f aca="false">IF($B16="","",S16/Parametros!$C$8)</f>
        <v>-1.06133333333333</v>
      </c>
      <c r="V16" s="42" t="n">
        <f aca="false">IF($B16="","",Parametros!$C$6+SUM($S$7:S16))</f>
        <v>9246.2</v>
      </c>
      <c r="W16" s="42" t="n">
        <f aca="false">IF($B16="","",MAX(V16,W15))</f>
        <v>9429.32</v>
      </c>
      <c r="X16" s="42" t="n">
        <f aca="false">IF($B16="","",V16-W16)</f>
        <v>-183.119999999999</v>
      </c>
      <c r="Y16" s="45" t="n">
        <f aca="false">IF($B16="","",X16/W16)</f>
        <v>-0.0194202763295762</v>
      </c>
      <c r="Z16" s="36" t="n">
        <f aca="false">IF($B16="","",IF(T16="G",IF(N(Z15)&gt;0,Z15+1,1),IF(N(Z15)&lt;0,Z15-1,-1)))</f>
        <v>-1</v>
      </c>
      <c r="AA16" s="46" t="n">
        <f aca="false">IF($B16="","",B16-WEEKDAY(B16,2)+1)</f>
        <v>46286</v>
      </c>
      <c r="AB16" s="47" t="n">
        <f aca="false">IF($B16="","",DATE(YEAR(B16),MONTH(B16),1))</f>
        <v>46266</v>
      </c>
      <c r="AC16" s="41" t="str">
        <f aca="false">IF($B16="","",CHOOSE(WEEKDAY(B16,2),"Lunes","Martes","Miércoles","Jueves","Viernes","Sábado","Domingo"))</f>
        <v>Lunes</v>
      </c>
      <c r="AD16" s="36" t="n">
        <f aca="false">IF($B16="","",HOUR(C16))</f>
        <v>10</v>
      </c>
      <c r="AE16" s="42" t="n">
        <f aca="false">IF($B16="","",IF(O16&lt;&gt;O15,MAX(V16-S16,V16),MAX(V16,AE15)))</f>
        <v>9429.32</v>
      </c>
      <c r="AF16" s="42" t="n">
        <f aca="false">IF($B16="","",V16-AE16)</f>
        <v>-183.119999999999</v>
      </c>
      <c r="AG16" s="36" t="n">
        <f aca="false">IF($B16="","",IF(O16&lt;&gt;O15,IF(T16="G",1,-1),IF(T16="G",IF(N(AG15)&gt;0,AG15+1,1),IF(N(AG15)&lt;0,AG15-1,-1))))</f>
        <v>-1</v>
      </c>
    </row>
    <row r="17" customFormat="false" ht="15" hidden="false" customHeight="false" outlineLevel="0" collapsed="false">
      <c r="A17" s="36" t="n">
        <f aca="false">IF(B17="","",ROW()-6)</f>
        <v>11</v>
      </c>
      <c r="B17" s="37" t="n">
        <v>46286</v>
      </c>
      <c r="C17" s="38" t="n">
        <v>0.4875</v>
      </c>
      <c r="D17" s="38" t="n">
        <v>0.494444444444445</v>
      </c>
      <c r="E17" s="39" t="s">
        <v>89</v>
      </c>
      <c r="F17" s="39" t="s">
        <v>94</v>
      </c>
      <c r="G17" s="39" t="n">
        <v>5</v>
      </c>
      <c r="H17" s="40" t="s">
        <v>93</v>
      </c>
      <c r="I17" s="40" t="n">
        <v>-150</v>
      </c>
      <c r="J17" s="40" t="n">
        <v>50</v>
      </c>
      <c r="K17" s="40" t="n">
        <v>62</v>
      </c>
      <c r="L17" s="39" t="s">
        <v>92</v>
      </c>
      <c r="M17" s="40"/>
      <c r="N17" s="40"/>
      <c r="O17" s="36" t="n">
        <f aca="false">IF($B17="","",INT((A17-1)/Parametros!$C$10)+1)</f>
        <v>1</v>
      </c>
      <c r="P17" s="41" t="n">
        <f aca="false">IF($B17="","",IF(OR(C17="",D17=""),"",ROUND((D17-C17)*1440,0)))</f>
        <v>10</v>
      </c>
      <c r="Q17" s="42" t="n">
        <f aca="false">IF($B17="","",I17*VLOOKUP(E17,Parametros!$B$18:$D$24,2,FALSE()))</f>
        <v>-150</v>
      </c>
      <c r="R17" s="42" t="n">
        <f aca="false">IF($B17="","",G17*VLOOKUP(E17,Parametros!$B$18:$D$24,3,FALSE()))</f>
        <v>9.2</v>
      </c>
      <c r="S17" s="42" t="n">
        <f aca="false">IF($B17="","",Q17-R17)</f>
        <v>-159.2</v>
      </c>
      <c r="T17" s="43" t="str">
        <f aca="false">IF($B17="","",IF(S17&gt;0,"G","P"))</f>
        <v>P</v>
      </c>
      <c r="U17" s="44" t="n">
        <f aca="false">IF($B17="","",S17/Parametros!$C$8)</f>
        <v>-1.06133333333333</v>
      </c>
      <c r="V17" s="42" t="n">
        <f aca="false">IF($B17="","",Parametros!$C$6+SUM($S$7:S17))</f>
        <v>9087</v>
      </c>
      <c r="W17" s="42" t="n">
        <f aca="false">IF($B17="","",MAX(V17,W16))</f>
        <v>9429.32</v>
      </c>
      <c r="X17" s="42" t="n">
        <f aca="false">IF($B17="","",V17-W17)</f>
        <v>-342.32</v>
      </c>
      <c r="Y17" s="45" t="n">
        <f aca="false">IF($B17="","",X17/W17)</f>
        <v>-0.0363037843662109</v>
      </c>
      <c r="Z17" s="36" t="n">
        <f aca="false">IF($B17="","",IF(T17="G",IF(N(Z16)&gt;0,Z16+1,1),IF(N(Z16)&lt;0,Z16-1,-1)))</f>
        <v>-2</v>
      </c>
      <c r="AA17" s="46" t="n">
        <f aca="false">IF($B17="","",B17-WEEKDAY(B17,2)+1)</f>
        <v>46286</v>
      </c>
      <c r="AB17" s="47" t="n">
        <f aca="false">IF($B17="","",DATE(YEAR(B17),MONTH(B17),1))</f>
        <v>46266</v>
      </c>
      <c r="AC17" s="41" t="str">
        <f aca="false">IF($B17="","",CHOOSE(WEEKDAY(B17,2),"Lunes","Martes","Miércoles","Jueves","Viernes","Sábado","Domingo"))</f>
        <v>Lunes</v>
      </c>
      <c r="AD17" s="36" t="n">
        <f aca="false">IF($B17="","",HOUR(C17))</f>
        <v>11</v>
      </c>
      <c r="AE17" s="42" t="n">
        <f aca="false">IF($B17="","",IF(O17&lt;&gt;O16,MAX(V17-S17,V17),MAX(V17,AE16)))</f>
        <v>9429.32</v>
      </c>
      <c r="AF17" s="42" t="n">
        <f aca="false">IF($B17="","",V17-AE17)</f>
        <v>-342.32</v>
      </c>
      <c r="AG17" s="36" t="n">
        <f aca="false">IF($B17="","",IF(O17&lt;&gt;O16,IF(T17="G",1,-1),IF(T17="G",IF(N(AG16)&gt;0,AG16+1,1),IF(N(AG16)&lt;0,AG16-1,-1))))</f>
        <v>-2</v>
      </c>
    </row>
    <row r="18" customFormat="false" ht="15" hidden="false" customHeight="false" outlineLevel="0" collapsed="false">
      <c r="A18" s="36" t="n">
        <f aca="false">IF(B18="","",ROW()-6)</f>
        <v>12</v>
      </c>
      <c r="B18" s="37" t="n">
        <v>46289</v>
      </c>
      <c r="C18" s="38" t="n">
        <v>0.497222222222222</v>
      </c>
      <c r="D18" s="38" t="n">
        <v>0.520138888888889</v>
      </c>
      <c r="E18" s="39" t="s">
        <v>89</v>
      </c>
      <c r="F18" s="39" t="s">
        <v>90</v>
      </c>
      <c r="G18" s="39" t="n">
        <v>3</v>
      </c>
      <c r="H18" s="40" t="s">
        <v>93</v>
      </c>
      <c r="I18" s="40" t="n">
        <v>300</v>
      </c>
      <c r="J18" s="40" t="n">
        <v>303</v>
      </c>
      <c r="K18" s="40" t="n">
        <v>3</v>
      </c>
      <c r="L18" s="39" t="s">
        <v>92</v>
      </c>
      <c r="M18" s="40"/>
      <c r="N18" s="40"/>
      <c r="O18" s="36" t="n">
        <f aca="false">IF($B18="","",INT((A18-1)/Parametros!$C$10)+1)</f>
        <v>1</v>
      </c>
      <c r="P18" s="41" t="n">
        <f aca="false">IF($B18="","",IF(OR(C18="",D18=""),"",ROUND((D18-C18)*1440,0)))</f>
        <v>33</v>
      </c>
      <c r="Q18" s="42" t="n">
        <f aca="false">IF($B18="","",I18*VLOOKUP(E18,Parametros!$B$18:$D$24,2,FALSE()))</f>
        <v>300</v>
      </c>
      <c r="R18" s="42" t="n">
        <f aca="false">IF($B18="","",G18*VLOOKUP(E18,Parametros!$B$18:$D$24,3,FALSE()))</f>
        <v>5.52</v>
      </c>
      <c r="S18" s="42" t="n">
        <f aca="false">IF($B18="","",Q18-R18)</f>
        <v>294.48</v>
      </c>
      <c r="T18" s="43" t="str">
        <f aca="false">IF($B18="","",IF(S18&gt;0,"G","P"))</f>
        <v>G</v>
      </c>
      <c r="U18" s="44" t="n">
        <f aca="false">IF($B18="","",S18/Parametros!$C$8)</f>
        <v>1.9632</v>
      </c>
      <c r="V18" s="42" t="n">
        <f aca="false">IF($B18="","",Parametros!$C$6+SUM($S$7:S18))</f>
        <v>9381.48</v>
      </c>
      <c r="W18" s="42" t="n">
        <f aca="false">IF($B18="","",MAX(V18,W17))</f>
        <v>9429.32</v>
      </c>
      <c r="X18" s="42" t="n">
        <f aca="false">IF($B18="","",V18-W18)</f>
        <v>-47.8399999999983</v>
      </c>
      <c r="Y18" s="45" t="n">
        <f aca="false">IF($B18="","",X18/W18)</f>
        <v>-0.005073536585883</v>
      </c>
      <c r="Z18" s="36" t="n">
        <f aca="false">IF($B18="","",IF(T18="G",IF(N(Z17)&gt;0,Z17+1,1),IF(N(Z17)&lt;0,Z17-1,-1)))</f>
        <v>1</v>
      </c>
      <c r="AA18" s="46" t="n">
        <f aca="false">IF($B18="","",B18-WEEKDAY(B18,2)+1)</f>
        <v>46286</v>
      </c>
      <c r="AB18" s="47" t="n">
        <f aca="false">IF($B18="","",DATE(YEAR(B18),MONTH(B18),1))</f>
        <v>46266</v>
      </c>
      <c r="AC18" s="41" t="str">
        <f aca="false">IF($B18="","",CHOOSE(WEEKDAY(B18,2),"Lunes","Martes","Miércoles","Jueves","Viernes","Sábado","Domingo"))</f>
        <v>Jueves</v>
      </c>
      <c r="AD18" s="36" t="n">
        <f aca="false">IF($B18="","",HOUR(C18))</f>
        <v>11</v>
      </c>
      <c r="AE18" s="42" t="n">
        <f aca="false">IF($B18="","",IF(O18&lt;&gt;O17,MAX(V18-S18,V18),MAX(V18,AE17)))</f>
        <v>9429.32</v>
      </c>
      <c r="AF18" s="42" t="n">
        <f aca="false">IF($B18="","",V18-AE18)</f>
        <v>-47.8399999999983</v>
      </c>
      <c r="AG18" s="36" t="n">
        <f aca="false">IF($B18="","",IF(O18&lt;&gt;O17,IF(T18="G",1,-1),IF(T18="G",IF(N(AG17)&gt;0,AG17+1,1),IF(N(AG17)&lt;0,AG17-1,-1))))</f>
        <v>1</v>
      </c>
    </row>
    <row r="19" customFormat="false" ht="15" hidden="false" customHeight="false" outlineLevel="0" collapsed="false">
      <c r="A19" s="36" t="n">
        <f aca="false">IF(B19="","",ROW()-6)</f>
        <v>13</v>
      </c>
      <c r="B19" s="37" t="n">
        <v>46293</v>
      </c>
      <c r="C19" s="38" t="n">
        <v>0.517361111111111</v>
      </c>
      <c r="D19" s="38" t="n">
        <v>0.541666666666667</v>
      </c>
      <c r="E19" s="39" t="s">
        <v>89</v>
      </c>
      <c r="F19" s="39" t="s">
        <v>90</v>
      </c>
      <c r="G19" s="39" t="n">
        <v>5</v>
      </c>
      <c r="H19" s="40" t="s">
        <v>93</v>
      </c>
      <c r="I19" s="40" t="n">
        <v>-150</v>
      </c>
      <c r="J19" s="40" t="n">
        <v>29</v>
      </c>
      <c r="K19" s="40" t="n">
        <v>32</v>
      </c>
      <c r="L19" s="39" t="s">
        <v>92</v>
      </c>
      <c r="M19" s="40"/>
      <c r="N19" s="40"/>
      <c r="O19" s="36" t="n">
        <f aca="false">IF($B19="","",INT((A19-1)/Parametros!$C$10)+1)</f>
        <v>1</v>
      </c>
      <c r="P19" s="41" t="n">
        <f aca="false">IF($B19="","",IF(OR(C19="",D19=""),"",ROUND((D19-C19)*1440,0)))</f>
        <v>35</v>
      </c>
      <c r="Q19" s="42" t="n">
        <f aca="false">IF($B19="","",I19*VLOOKUP(E19,Parametros!$B$18:$D$24,2,FALSE()))</f>
        <v>-150</v>
      </c>
      <c r="R19" s="42" t="n">
        <f aca="false">IF($B19="","",G19*VLOOKUP(E19,Parametros!$B$18:$D$24,3,FALSE()))</f>
        <v>9.2</v>
      </c>
      <c r="S19" s="42" t="n">
        <f aca="false">IF($B19="","",Q19-R19)</f>
        <v>-159.2</v>
      </c>
      <c r="T19" s="43" t="str">
        <f aca="false">IF($B19="","",IF(S19&gt;0,"G","P"))</f>
        <v>P</v>
      </c>
      <c r="U19" s="44" t="n">
        <f aca="false">IF($B19="","",S19/Parametros!$C$8)</f>
        <v>-1.06133333333333</v>
      </c>
      <c r="V19" s="42" t="n">
        <f aca="false">IF($B19="","",Parametros!$C$6+SUM($S$7:S19))</f>
        <v>9222.28</v>
      </c>
      <c r="W19" s="42" t="n">
        <f aca="false">IF($B19="","",MAX(V19,W18))</f>
        <v>9429.32</v>
      </c>
      <c r="X19" s="42" t="n">
        <f aca="false">IF($B19="","",V19-W19)</f>
        <v>-207.039999999999</v>
      </c>
      <c r="Y19" s="45" t="n">
        <f aca="false">IF($B19="","",X19/W19)</f>
        <v>-0.0219570446225177</v>
      </c>
      <c r="Z19" s="36" t="n">
        <f aca="false">IF($B19="","",IF(T19="G",IF(N(Z18)&gt;0,Z18+1,1),IF(N(Z18)&lt;0,Z18-1,-1)))</f>
        <v>-1</v>
      </c>
      <c r="AA19" s="46" t="n">
        <f aca="false">IF($B19="","",B19-WEEKDAY(B19,2)+1)</f>
        <v>46293</v>
      </c>
      <c r="AB19" s="47" t="n">
        <f aca="false">IF($B19="","",DATE(YEAR(B19),MONTH(B19),1))</f>
        <v>46266</v>
      </c>
      <c r="AC19" s="41" t="str">
        <f aca="false">IF($B19="","",CHOOSE(WEEKDAY(B19,2),"Lunes","Martes","Miércoles","Jueves","Viernes","Sábado","Domingo"))</f>
        <v>Lunes</v>
      </c>
      <c r="AD19" s="36" t="n">
        <f aca="false">IF($B19="","",HOUR(C19))</f>
        <v>12</v>
      </c>
      <c r="AE19" s="42" t="n">
        <f aca="false">IF($B19="","",IF(O19&lt;&gt;O18,MAX(V19-S19,V19),MAX(V19,AE18)))</f>
        <v>9429.32</v>
      </c>
      <c r="AF19" s="42" t="n">
        <f aca="false">IF($B19="","",V19-AE19)</f>
        <v>-207.039999999999</v>
      </c>
      <c r="AG19" s="36" t="n">
        <f aca="false">IF($B19="","",IF(O19&lt;&gt;O18,IF(T19="G",1,-1),IF(T19="G",IF(N(AG18)&gt;0,AG18+1,1),IF(N(AG18)&lt;0,AG18-1,-1))))</f>
        <v>-1</v>
      </c>
    </row>
    <row r="20" customFormat="false" ht="15" hidden="false" customHeight="false" outlineLevel="0" collapsed="false">
      <c r="A20" s="36" t="n">
        <f aca="false">IF(B20="","",ROW()-6)</f>
        <v>14</v>
      </c>
      <c r="B20" s="37" t="n">
        <v>46294</v>
      </c>
      <c r="C20" s="38" t="n">
        <v>0.516666666666667</v>
      </c>
      <c r="D20" s="38" t="n">
        <v>0.532638888888889</v>
      </c>
      <c r="E20" s="39" t="s">
        <v>89</v>
      </c>
      <c r="F20" s="39" t="s">
        <v>90</v>
      </c>
      <c r="G20" s="39" t="n">
        <v>3</v>
      </c>
      <c r="H20" s="40" t="s">
        <v>93</v>
      </c>
      <c r="I20" s="40" t="n">
        <v>-150</v>
      </c>
      <c r="J20" s="40" t="n">
        <v>0</v>
      </c>
      <c r="K20" s="40" t="n">
        <v>54</v>
      </c>
      <c r="L20" s="39" t="s">
        <v>92</v>
      </c>
      <c r="M20" s="40"/>
      <c r="N20" s="40"/>
      <c r="O20" s="36" t="n">
        <f aca="false">IF($B20="","",INT((A20-1)/Parametros!$C$10)+1)</f>
        <v>1</v>
      </c>
      <c r="P20" s="41" t="n">
        <f aca="false">IF($B20="","",IF(OR(C20="",D20=""),"",ROUND((D20-C20)*1440,0)))</f>
        <v>23</v>
      </c>
      <c r="Q20" s="42" t="n">
        <f aca="false">IF($B20="","",I20*VLOOKUP(E20,Parametros!$B$18:$D$24,2,FALSE()))</f>
        <v>-150</v>
      </c>
      <c r="R20" s="42" t="n">
        <f aca="false">IF($B20="","",G20*VLOOKUP(E20,Parametros!$B$18:$D$24,3,FALSE()))</f>
        <v>5.52</v>
      </c>
      <c r="S20" s="42" t="n">
        <f aca="false">IF($B20="","",Q20-R20)</f>
        <v>-155.52</v>
      </c>
      <c r="T20" s="43" t="str">
        <f aca="false">IF($B20="","",IF(S20&gt;0,"G","P"))</f>
        <v>P</v>
      </c>
      <c r="U20" s="44" t="n">
        <f aca="false">IF($B20="","",S20/Parametros!$C$8)</f>
        <v>-1.0368</v>
      </c>
      <c r="V20" s="42" t="n">
        <f aca="false">IF($B20="","",Parametros!$C$6+SUM($S$7:S20))</f>
        <v>9066.76</v>
      </c>
      <c r="W20" s="42" t="n">
        <f aca="false">IF($B20="","",MAX(V20,W19))</f>
        <v>9429.32</v>
      </c>
      <c r="X20" s="42" t="n">
        <f aca="false">IF($B20="","",V20-W20)</f>
        <v>-362.56</v>
      </c>
      <c r="Y20" s="45" t="n">
        <f aca="false">IF($B20="","",X20/W20)</f>
        <v>-0.0384502806140845</v>
      </c>
      <c r="Z20" s="36" t="n">
        <f aca="false">IF($B20="","",IF(T20="G",IF(N(Z19)&gt;0,Z19+1,1),IF(N(Z19)&lt;0,Z19-1,-1)))</f>
        <v>-2</v>
      </c>
      <c r="AA20" s="46" t="n">
        <f aca="false">IF($B20="","",B20-WEEKDAY(B20,2)+1)</f>
        <v>46293</v>
      </c>
      <c r="AB20" s="47" t="n">
        <f aca="false">IF($B20="","",DATE(YEAR(B20),MONTH(B20),1))</f>
        <v>46266</v>
      </c>
      <c r="AC20" s="41" t="str">
        <f aca="false">IF($B20="","",CHOOSE(WEEKDAY(B20,2),"Lunes","Martes","Miércoles","Jueves","Viernes","Sábado","Domingo"))</f>
        <v>Martes</v>
      </c>
      <c r="AD20" s="36" t="n">
        <f aca="false">IF($B20="","",HOUR(C20))</f>
        <v>12</v>
      </c>
      <c r="AE20" s="42" t="n">
        <f aca="false">IF($B20="","",IF(O20&lt;&gt;O19,MAX(V20-S20,V20),MAX(V20,AE19)))</f>
        <v>9429.32</v>
      </c>
      <c r="AF20" s="42" t="n">
        <f aca="false">IF($B20="","",V20-AE20)</f>
        <v>-362.56</v>
      </c>
      <c r="AG20" s="36" t="n">
        <f aca="false">IF($B20="","",IF(O20&lt;&gt;O19,IF(T20="G",1,-1),IF(T20="G",IF(N(AG19)&gt;0,AG19+1,1),IF(N(AG19)&lt;0,AG19-1,-1))))</f>
        <v>-2</v>
      </c>
    </row>
    <row r="21" customFormat="false" ht="15" hidden="false" customHeight="false" outlineLevel="0" collapsed="false">
      <c r="A21" s="36" t="n">
        <f aca="false">IF(B21="","",ROW()-6)</f>
        <v>15</v>
      </c>
      <c r="B21" s="37" t="n">
        <v>46303</v>
      </c>
      <c r="C21" s="38" t="n">
        <v>0.510416666666667</v>
      </c>
      <c r="D21" s="38" t="n">
        <v>0.520833333333333</v>
      </c>
      <c r="E21" s="39" t="s">
        <v>89</v>
      </c>
      <c r="F21" s="39" t="s">
        <v>90</v>
      </c>
      <c r="G21" s="39" t="n">
        <v>5</v>
      </c>
      <c r="H21" s="40" t="s">
        <v>93</v>
      </c>
      <c r="I21" s="40" t="n">
        <v>-150</v>
      </c>
      <c r="J21" s="40"/>
      <c r="K21" s="40"/>
      <c r="L21" s="39" t="s">
        <v>92</v>
      </c>
      <c r="M21" s="40"/>
      <c r="N21" s="40"/>
      <c r="O21" s="36" t="n">
        <f aca="false">IF($B21="","",INT((A21-1)/Parametros!$C$10)+1)</f>
        <v>1</v>
      </c>
      <c r="P21" s="41" t="n">
        <f aca="false">IF($B21="","",IF(OR(C21="",D21=""),"",ROUND((D21-C21)*1440,0)))</f>
        <v>15</v>
      </c>
      <c r="Q21" s="42" t="n">
        <f aca="false">IF($B21="","",I21*VLOOKUP(E21,Parametros!$B$18:$D$24,2,FALSE()))</f>
        <v>-150</v>
      </c>
      <c r="R21" s="42" t="n">
        <f aca="false">IF($B21="","",G21*VLOOKUP(E21,Parametros!$B$18:$D$24,3,FALSE()))</f>
        <v>9.2</v>
      </c>
      <c r="S21" s="42" t="n">
        <f aca="false">IF($B21="","",Q21-R21)</f>
        <v>-159.2</v>
      </c>
      <c r="T21" s="43" t="str">
        <f aca="false">IF($B21="","",IF(S21&gt;0,"G","P"))</f>
        <v>P</v>
      </c>
      <c r="U21" s="44" t="n">
        <f aca="false">IF($B21="","",S21/Parametros!$C$8)</f>
        <v>-1.06133333333333</v>
      </c>
      <c r="V21" s="42" t="n">
        <f aca="false">IF($B21="","",Parametros!$C$6+SUM($S$7:S21))</f>
        <v>8907.56</v>
      </c>
      <c r="W21" s="42" t="n">
        <f aca="false">IF($B21="","",MAX(V21,W20))</f>
        <v>9429.32</v>
      </c>
      <c r="X21" s="42" t="n">
        <f aca="false">IF($B21="","",V21-W21)</f>
        <v>-521.759999999998</v>
      </c>
      <c r="Y21" s="45" t="n">
        <f aca="false">IF($B21="","",X21/W21)</f>
        <v>-0.0553337886507191</v>
      </c>
      <c r="Z21" s="36" t="n">
        <f aca="false">IF($B21="","",IF(T21="G",IF(N(Z20)&gt;0,Z20+1,1),IF(N(Z20)&lt;0,Z20-1,-1)))</f>
        <v>-3</v>
      </c>
      <c r="AA21" s="46" t="n">
        <f aca="false">IF($B21="","",B21-WEEKDAY(B21,2)+1)</f>
        <v>46300</v>
      </c>
      <c r="AB21" s="47" t="n">
        <f aca="false">IF($B21="","",DATE(YEAR(B21),MONTH(B21),1))</f>
        <v>46296</v>
      </c>
      <c r="AC21" s="41" t="str">
        <f aca="false">IF($B21="","",CHOOSE(WEEKDAY(B21,2),"Lunes","Martes","Miércoles","Jueves","Viernes","Sábado","Domingo"))</f>
        <v>Jueves</v>
      </c>
      <c r="AD21" s="36" t="n">
        <f aca="false">IF($B21="","",HOUR(C21))</f>
        <v>12</v>
      </c>
      <c r="AE21" s="42" t="n">
        <f aca="false">IF($B21="","",IF(O21&lt;&gt;O20,MAX(V21-S21,V21),MAX(V21,AE20)))</f>
        <v>9429.32</v>
      </c>
      <c r="AF21" s="42" t="n">
        <f aca="false">IF($B21="","",V21-AE21)</f>
        <v>-521.759999999998</v>
      </c>
      <c r="AG21" s="36" t="n">
        <f aca="false">IF($B21="","",IF(O21&lt;&gt;O20,IF(T21="G",1,-1),IF(T21="G",IF(N(AG20)&gt;0,AG20+1,1),IF(N(AG20)&lt;0,AG20-1,-1))))</f>
        <v>-3</v>
      </c>
    </row>
    <row r="22" customFormat="false" ht="15" hidden="false" customHeight="false" outlineLevel="0" collapsed="false">
      <c r="A22" s="36" t="n">
        <f aca="false">IF(B22="","",ROW()-6)</f>
        <v>16</v>
      </c>
      <c r="B22" s="37" t="n">
        <v>46304</v>
      </c>
      <c r="C22" s="38" t="n">
        <v>0.517361111111111</v>
      </c>
      <c r="D22" s="38" t="n">
        <v>0.552777777777778</v>
      </c>
      <c r="E22" s="39" t="s">
        <v>89</v>
      </c>
      <c r="F22" s="39" t="s">
        <v>90</v>
      </c>
      <c r="G22" s="39" t="n">
        <v>5</v>
      </c>
      <c r="H22" s="40" t="s">
        <v>93</v>
      </c>
      <c r="I22" s="40" t="n">
        <v>-150</v>
      </c>
      <c r="J22" s="40"/>
      <c r="K22" s="40"/>
      <c r="L22" s="39" t="s">
        <v>92</v>
      </c>
      <c r="M22" s="40"/>
      <c r="N22" s="40"/>
      <c r="O22" s="36" t="n">
        <f aca="false">IF($B22="","",INT((A22-1)/Parametros!$C$10)+1)</f>
        <v>1</v>
      </c>
      <c r="P22" s="41" t="n">
        <f aca="false">IF($B22="","",IF(OR(C22="",D22=""),"",ROUND((D22-C22)*1440,0)))</f>
        <v>51</v>
      </c>
      <c r="Q22" s="42" t="n">
        <f aca="false">IF($B22="","",I22*VLOOKUP(E22,Parametros!$B$18:$D$24,2,FALSE()))</f>
        <v>-150</v>
      </c>
      <c r="R22" s="42" t="n">
        <f aca="false">IF($B22="","",G22*VLOOKUP(E22,Parametros!$B$18:$D$24,3,FALSE()))</f>
        <v>9.2</v>
      </c>
      <c r="S22" s="42" t="n">
        <f aca="false">IF($B22="","",Q22-R22)</f>
        <v>-159.2</v>
      </c>
      <c r="T22" s="43" t="str">
        <f aca="false">IF($B22="","",IF(S22&gt;0,"G","P"))</f>
        <v>P</v>
      </c>
      <c r="U22" s="44" t="n">
        <f aca="false">IF($B22="","",S22/Parametros!$C$8)</f>
        <v>-1.06133333333333</v>
      </c>
      <c r="V22" s="42" t="n">
        <f aca="false">IF($B22="","",Parametros!$C$6+SUM($S$7:S22))</f>
        <v>8748.36</v>
      </c>
      <c r="W22" s="42" t="n">
        <f aca="false">IF($B22="","",MAX(V22,W21))</f>
        <v>9429.32</v>
      </c>
      <c r="X22" s="42" t="n">
        <f aca="false">IF($B22="","",V22-W22)</f>
        <v>-680.959999999999</v>
      </c>
      <c r="Y22" s="45" t="n">
        <f aca="false">IF($B22="","",X22/W22)</f>
        <v>-0.0722172966873538</v>
      </c>
      <c r="Z22" s="36" t="n">
        <f aca="false">IF($B22="","",IF(T22="G",IF(N(Z21)&gt;0,Z21+1,1),IF(N(Z21)&lt;0,Z21-1,-1)))</f>
        <v>-4</v>
      </c>
      <c r="AA22" s="46" t="n">
        <f aca="false">IF($B22="","",B22-WEEKDAY(B22,2)+1)</f>
        <v>46300</v>
      </c>
      <c r="AB22" s="47" t="n">
        <f aca="false">IF($B22="","",DATE(YEAR(B22),MONTH(B22),1))</f>
        <v>46296</v>
      </c>
      <c r="AC22" s="41" t="str">
        <f aca="false">IF($B22="","",CHOOSE(WEEKDAY(B22,2),"Lunes","Martes","Miércoles","Jueves","Viernes","Sábado","Domingo"))</f>
        <v>Viernes</v>
      </c>
      <c r="AD22" s="36" t="n">
        <f aca="false">IF($B22="","",HOUR(C22))</f>
        <v>12</v>
      </c>
      <c r="AE22" s="42" t="n">
        <f aca="false">IF($B22="","",IF(O22&lt;&gt;O21,MAX(V22-S22,V22),MAX(V22,AE21)))</f>
        <v>9429.32</v>
      </c>
      <c r="AF22" s="42" t="n">
        <f aca="false">IF($B22="","",V22-AE22)</f>
        <v>-680.959999999999</v>
      </c>
      <c r="AG22" s="36" t="n">
        <f aca="false">IF($B22="","",IF(O22&lt;&gt;O21,IF(T22="G",1,-1),IF(T22="G",IF(N(AG21)&gt;0,AG21+1,1),IF(N(AG21)&lt;0,AG21-1,-1))))</f>
        <v>-4</v>
      </c>
    </row>
    <row r="23" customFormat="false" ht="15" hidden="false" customHeight="false" outlineLevel="0" collapsed="false">
      <c r="A23" s="36" t="str">
        <f aca="false">IF(B23="","",ROW()-6)</f>
        <v/>
      </c>
      <c r="B23" s="37"/>
      <c r="C23" s="38"/>
      <c r="D23" s="38"/>
      <c r="E23" s="39"/>
      <c r="F23" s="39"/>
      <c r="G23" s="39"/>
      <c r="H23" s="40"/>
      <c r="I23" s="40"/>
      <c r="J23" s="40"/>
      <c r="K23" s="40"/>
      <c r="L23" s="39"/>
      <c r="M23" s="40"/>
      <c r="N23" s="40"/>
      <c r="O23" s="36" t="str">
        <f aca="false">IF($B23="","",INT((A23-1)/Parametros!$C$10)+1)</f>
        <v/>
      </c>
      <c r="P23" s="41" t="str">
        <f aca="false">IF($B23="","",IF(OR(C23="",D23=""),"",ROUND((D23-C23)*1440,0)))</f>
        <v/>
      </c>
      <c r="Q23" s="42" t="str">
        <f aca="false">IF($B23="","",I23*VLOOKUP(E23,Parametros!$B$18:$D$24,2,FALSE()))</f>
        <v/>
      </c>
      <c r="R23" s="42" t="str">
        <f aca="false">IF($B23="","",G23*VLOOKUP(E23,Parametros!$B$18:$D$24,3,FALSE()))</f>
        <v/>
      </c>
      <c r="S23" s="42" t="str">
        <f aca="false">IF($B23="","",Q23-R23)</f>
        <v/>
      </c>
      <c r="T23" s="43" t="str">
        <f aca="false">IF($B23="","",IF(S23&gt;0,"G","P"))</f>
        <v/>
      </c>
      <c r="U23" s="44" t="str">
        <f aca="false">IF($B23="","",S23/Parametros!$C$8)</f>
        <v/>
      </c>
      <c r="V23" s="42" t="str">
        <f aca="false">IF($B23="","",Parametros!$C$6+SUM($S$7:S23))</f>
        <v/>
      </c>
      <c r="W23" s="42" t="str">
        <f aca="false">IF($B23="","",MAX(V23,W22))</f>
        <v/>
      </c>
      <c r="X23" s="42" t="str">
        <f aca="false">IF($B23="","",V23-W23)</f>
        <v/>
      </c>
      <c r="Y23" s="45" t="str">
        <f aca="false">IF($B23="","",X23/W23)</f>
        <v/>
      </c>
      <c r="Z23" s="36" t="str">
        <f aca="false">IF($B23="","",IF(T23="G",IF(N(Z22)&gt;0,Z22+1,1),IF(N(Z22)&lt;0,Z22-1,-1)))</f>
        <v/>
      </c>
      <c r="AA23" s="46" t="str">
        <f aca="false">IF($B23="","",B23-WEEKDAY(B23,2)+1)</f>
        <v/>
      </c>
      <c r="AB23" s="47" t="str">
        <f aca="false">IF($B23="","",DATE(YEAR(B23),MONTH(B23),1))</f>
        <v/>
      </c>
      <c r="AC23" s="41" t="str">
        <f aca="false">IF($B23="","",CHOOSE(WEEKDAY(B23,2),"Lunes","Martes","Miércoles","Jueves","Viernes","Sábado","Domingo"))</f>
        <v/>
      </c>
      <c r="AD23" s="36" t="str">
        <f aca="false">IF($B23="","",HOUR(C23))</f>
        <v/>
      </c>
      <c r="AE23" s="42" t="str">
        <f aca="false">IF($B23="","",IF(O23&lt;&gt;O22,MAX(V23-S23,V23),MAX(V23,AE22)))</f>
        <v/>
      </c>
      <c r="AF23" s="42" t="str">
        <f aca="false">IF($B23="","",V23-AE23)</f>
        <v/>
      </c>
      <c r="AG23" s="36" t="str">
        <f aca="false">IF($B23="","",IF(O23&lt;&gt;O22,IF(T23="G",1,-1),IF(T23="G",IF(N(AG22)&gt;0,AG22+1,1),IF(N(AG22)&lt;0,AG22-1,-1))))</f>
        <v/>
      </c>
    </row>
    <row r="24" customFormat="false" ht="15" hidden="false" customHeight="false" outlineLevel="0" collapsed="false">
      <c r="A24" s="36" t="str">
        <f aca="false">IF(B24="","",ROW()-6)</f>
        <v/>
      </c>
      <c r="B24" s="37"/>
      <c r="C24" s="38"/>
      <c r="D24" s="38"/>
      <c r="E24" s="39"/>
      <c r="F24" s="39"/>
      <c r="G24" s="39"/>
      <c r="H24" s="40"/>
      <c r="I24" s="40"/>
      <c r="J24" s="40"/>
      <c r="K24" s="40"/>
      <c r="L24" s="39"/>
      <c r="M24" s="40"/>
      <c r="N24" s="40"/>
      <c r="O24" s="36" t="str">
        <f aca="false">IF($B24="","",INT((A24-1)/Parametros!$C$10)+1)</f>
        <v/>
      </c>
      <c r="P24" s="41" t="str">
        <f aca="false">IF($B24="","",IF(OR(C24="",D24=""),"",ROUND((D24-C24)*1440,0)))</f>
        <v/>
      </c>
      <c r="Q24" s="42" t="str">
        <f aca="false">IF($B24="","",I24*VLOOKUP(E24,Parametros!$B$18:$D$24,2,FALSE()))</f>
        <v/>
      </c>
      <c r="R24" s="42" t="str">
        <f aca="false">IF($B24="","",G24*VLOOKUP(E24,Parametros!$B$18:$D$24,3,FALSE()))</f>
        <v/>
      </c>
      <c r="S24" s="42" t="str">
        <f aca="false">IF($B24="","",Q24-R24)</f>
        <v/>
      </c>
      <c r="T24" s="43" t="str">
        <f aca="false">IF($B24="","",IF(S24&gt;0,"G","P"))</f>
        <v/>
      </c>
      <c r="U24" s="44" t="str">
        <f aca="false">IF($B24="","",S24/Parametros!$C$8)</f>
        <v/>
      </c>
      <c r="V24" s="42" t="str">
        <f aca="false">IF($B24="","",Parametros!$C$6+SUM($S$7:S24))</f>
        <v/>
      </c>
      <c r="W24" s="42" t="str">
        <f aca="false">IF($B24="","",MAX(V24,W23))</f>
        <v/>
      </c>
      <c r="X24" s="42" t="str">
        <f aca="false">IF($B24="","",V24-W24)</f>
        <v/>
      </c>
      <c r="Y24" s="45" t="str">
        <f aca="false">IF($B24="","",X24/W24)</f>
        <v/>
      </c>
      <c r="Z24" s="36" t="str">
        <f aca="false">IF($B24="","",IF(T24="G",IF(N(Z23)&gt;0,Z23+1,1),IF(N(Z23)&lt;0,Z23-1,-1)))</f>
        <v/>
      </c>
      <c r="AA24" s="46" t="str">
        <f aca="false">IF($B24="","",B24-WEEKDAY(B24,2)+1)</f>
        <v/>
      </c>
      <c r="AB24" s="47" t="str">
        <f aca="false">IF($B24="","",DATE(YEAR(B24),MONTH(B24),1))</f>
        <v/>
      </c>
      <c r="AC24" s="41" t="str">
        <f aca="false">IF($B24="","",CHOOSE(WEEKDAY(B24,2),"Lunes","Martes","Miércoles","Jueves","Viernes","Sábado","Domingo"))</f>
        <v/>
      </c>
      <c r="AD24" s="36" t="str">
        <f aca="false">IF($B24="","",HOUR(C24))</f>
        <v/>
      </c>
      <c r="AE24" s="42" t="str">
        <f aca="false">IF($B24="","",IF(O24&lt;&gt;O23,MAX(V24-S24,V24),MAX(V24,AE23)))</f>
        <v/>
      </c>
      <c r="AF24" s="42" t="str">
        <f aca="false">IF($B24="","",V24-AE24)</f>
        <v/>
      </c>
      <c r="AG24" s="36" t="str">
        <f aca="false">IF($B24="","",IF(O24&lt;&gt;O23,IF(T24="G",1,-1),IF(T24="G",IF(N(AG23)&gt;0,AG23+1,1),IF(N(AG23)&lt;0,AG23-1,-1))))</f>
        <v/>
      </c>
    </row>
    <row r="25" customFormat="false" ht="15" hidden="false" customHeight="false" outlineLevel="0" collapsed="false">
      <c r="A25" s="36" t="str">
        <f aca="false">IF(B25="","",ROW()-6)</f>
        <v/>
      </c>
      <c r="B25" s="37"/>
      <c r="C25" s="38"/>
      <c r="D25" s="38"/>
      <c r="E25" s="39"/>
      <c r="F25" s="39"/>
      <c r="G25" s="39"/>
      <c r="H25" s="40"/>
      <c r="I25" s="40"/>
      <c r="J25" s="40"/>
      <c r="K25" s="40"/>
      <c r="L25" s="39"/>
      <c r="M25" s="40"/>
      <c r="N25" s="40"/>
      <c r="O25" s="36" t="str">
        <f aca="false">IF($B25="","",INT((A25-1)/Parametros!$C$10)+1)</f>
        <v/>
      </c>
      <c r="P25" s="41" t="str">
        <f aca="false">IF($B25="","",IF(OR(C25="",D25=""),"",ROUND((D25-C25)*1440,0)))</f>
        <v/>
      </c>
      <c r="Q25" s="42" t="str">
        <f aca="false">IF($B25="","",I25*VLOOKUP(E25,Parametros!$B$18:$D$24,2,FALSE()))</f>
        <v/>
      </c>
      <c r="R25" s="42" t="str">
        <f aca="false">IF($B25="","",G25*VLOOKUP(E25,Parametros!$B$18:$D$24,3,FALSE()))</f>
        <v/>
      </c>
      <c r="S25" s="42" t="str">
        <f aca="false">IF($B25="","",Q25-R25)</f>
        <v/>
      </c>
      <c r="T25" s="43" t="str">
        <f aca="false">IF($B25="","",IF(S25&gt;0,"G","P"))</f>
        <v/>
      </c>
      <c r="U25" s="44" t="str">
        <f aca="false">IF($B25="","",S25/Parametros!$C$8)</f>
        <v/>
      </c>
      <c r="V25" s="42" t="str">
        <f aca="false">IF($B25="","",Parametros!$C$6+SUM($S$7:S25))</f>
        <v/>
      </c>
      <c r="W25" s="42" t="str">
        <f aca="false">IF($B25="","",MAX(V25,W24))</f>
        <v/>
      </c>
      <c r="X25" s="42" t="str">
        <f aca="false">IF($B25="","",V25-W25)</f>
        <v/>
      </c>
      <c r="Y25" s="45" t="str">
        <f aca="false">IF($B25="","",X25/W25)</f>
        <v/>
      </c>
      <c r="Z25" s="36" t="str">
        <f aca="false">IF($B25="","",IF(T25="G",IF(N(Z24)&gt;0,Z24+1,1),IF(N(Z24)&lt;0,Z24-1,-1)))</f>
        <v/>
      </c>
      <c r="AA25" s="46" t="str">
        <f aca="false">IF($B25="","",B25-WEEKDAY(B25,2)+1)</f>
        <v/>
      </c>
      <c r="AB25" s="47" t="str">
        <f aca="false">IF($B25="","",DATE(YEAR(B25),MONTH(B25),1))</f>
        <v/>
      </c>
      <c r="AC25" s="41" t="str">
        <f aca="false">IF($B25="","",CHOOSE(WEEKDAY(B25,2),"Lunes","Martes","Miércoles","Jueves","Viernes","Sábado","Domingo"))</f>
        <v/>
      </c>
      <c r="AD25" s="36" t="str">
        <f aca="false">IF($B25="","",HOUR(C25))</f>
        <v/>
      </c>
      <c r="AE25" s="42" t="str">
        <f aca="false">IF($B25="","",IF(O25&lt;&gt;O24,MAX(V25-S25,V25),MAX(V25,AE24)))</f>
        <v/>
      </c>
      <c r="AF25" s="42" t="str">
        <f aca="false">IF($B25="","",V25-AE25)</f>
        <v/>
      </c>
      <c r="AG25" s="36" t="str">
        <f aca="false">IF($B25="","",IF(O25&lt;&gt;O24,IF(T25="G",1,-1),IF(T25="G",IF(N(AG24)&gt;0,AG24+1,1),IF(N(AG24)&lt;0,AG24-1,-1))))</f>
        <v/>
      </c>
    </row>
    <row r="26" customFormat="false" ht="15" hidden="false" customHeight="false" outlineLevel="0" collapsed="false">
      <c r="A26" s="36" t="str">
        <f aca="false">IF(B26="","",ROW()-6)</f>
        <v/>
      </c>
      <c r="B26" s="37"/>
      <c r="C26" s="38"/>
      <c r="D26" s="38"/>
      <c r="E26" s="39"/>
      <c r="F26" s="39"/>
      <c r="G26" s="39"/>
      <c r="H26" s="40"/>
      <c r="I26" s="40"/>
      <c r="J26" s="40"/>
      <c r="K26" s="40"/>
      <c r="L26" s="39"/>
      <c r="M26" s="40"/>
      <c r="N26" s="40"/>
      <c r="O26" s="36" t="str">
        <f aca="false">IF($B26="","",INT((A26-1)/Parametros!$C$10)+1)</f>
        <v/>
      </c>
      <c r="P26" s="41" t="str">
        <f aca="false">IF($B26="","",IF(OR(C26="",D26=""),"",ROUND((D26-C26)*1440,0)))</f>
        <v/>
      </c>
      <c r="Q26" s="42" t="str">
        <f aca="false">IF($B26="","",I26*VLOOKUP(E26,Parametros!$B$18:$D$24,2,FALSE()))</f>
        <v/>
      </c>
      <c r="R26" s="42" t="str">
        <f aca="false">IF($B26="","",G26*VLOOKUP(E26,Parametros!$B$18:$D$24,3,FALSE()))</f>
        <v/>
      </c>
      <c r="S26" s="42" t="str">
        <f aca="false">IF($B26="","",Q26-R26)</f>
        <v/>
      </c>
      <c r="T26" s="43" t="str">
        <f aca="false">IF($B26="","",IF(S26&gt;0,"G","P"))</f>
        <v/>
      </c>
      <c r="U26" s="44" t="str">
        <f aca="false">IF($B26="","",S26/Parametros!$C$8)</f>
        <v/>
      </c>
      <c r="V26" s="42" t="str">
        <f aca="false">IF($B26="","",Parametros!$C$6+SUM($S$7:S26))</f>
        <v/>
      </c>
      <c r="W26" s="42" t="str">
        <f aca="false">IF($B26="","",MAX(V26,W25))</f>
        <v/>
      </c>
      <c r="X26" s="42" t="str">
        <f aca="false">IF($B26="","",V26-W26)</f>
        <v/>
      </c>
      <c r="Y26" s="45" t="str">
        <f aca="false">IF($B26="","",X26/W26)</f>
        <v/>
      </c>
      <c r="Z26" s="36" t="str">
        <f aca="false">IF($B26="","",IF(T26="G",IF(N(Z25)&gt;0,Z25+1,1),IF(N(Z25)&lt;0,Z25-1,-1)))</f>
        <v/>
      </c>
      <c r="AA26" s="46" t="str">
        <f aca="false">IF($B26="","",B26-WEEKDAY(B26,2)+1)</f>
        <v/>
      </c>
      <c r="AB26" s="47" t="str">
        <f aca="false">IF($B26="","",DATE(YEAR(B26),MONTH(B26),1))</f>
        <v/>
      </c>
      <c r="AC26" s="41" t="str">
        <f aca="false">IF($B26="","",CHOOSE(WEEKDAY(B26,2),"Lunes","Martes","Miércoles","Jueves","Viernes","Sábado","Domingo"))</f>
        <v/>
      </c>
      <c r="AD26" s="36" t="str">
        <f aca="false">IF($B26="","",HOUR(C26))</f>
        <v/>
      </c>
      <c r="AE26" s="42" t="str">
        <f aca="false">IF($B26="","",IF(O26&lt;&gt;O25,MAX(V26-S26,V26),MAX(V26,AE25)))</f>
        <v/>
      </c>
      <c r="AF26" s="42" t="str">
        <f aca="false">IF($B26="","",V26-AE26)</f>
        <v/>
      </c>
      <c r="AG26" s="36" t="str">
        <f aca="false">IF($B26="","",IF(O26&lt;&gt;O25,IF(T26="G",1,-1),IF(T26="G",IF(N(AG25)&gt;0,AG25+1,1),IF(N(AG25)&lt;0,AG25-1,-1))))</f>
        <v/>
      </c>
    </row>
    <row r="27" customFormat="false" ht="15" hidden="false" customHeight="false" outlineLevel="0" collapsed="false">
      <c r="A27" s="36" t="str">
        <f aca="false">IF(B27="","",ROW()-6)</f>
        <v/>
      </c>
      <c r="B27" s="37"/>
      <c r="C27" s="38"/>
      <c r="D27" s="38"/>
      <c r="E27" s="39"/>
      <c r="F27" s="39"/>
      <c r="G27" s="39"/>
      <c r="H27" s="40"/>
      <c r="I27" s="40"/>
      <c r="J27" s="40"/>
      <c r="K27" s="40"/>
      <c r="L27" s="39"/>
      <c r="M27" s="40"/>
      <c r="N27" s="40"/>
      <c r="O27" s="36" t="str">
        <f aca="false">IF($B27="","",INT((A27-1)/Parametros!$C$10)+1)</f>
        <v/>
      </c>
      <c r="P27" s="41" t="str">
        <f aca="false">IF($B27="","",IF(OR(C27="",D27=""),"",ROUND((D27-C27)*1440,0)))</f>
        <v/>
      </c>
      <c r="Q27" s="42" t="str">
        <f aca="false">IF($B27="","",I27*VLOOKUP(E27,Parametros!$B$18:$D$24,2,FALSE()))</f>
        <v/>
      </c>
      <c r="R27" s="42" t="str">
        <f aca="false">IF($B27="","",G27*VLOOKUP(E27,Parametros!$B$18:$D$24,3,FALSE()))</f>
        <v/>
      </c>
      <c r="S27" s="42" t="str">
        <f aca="false">IF($B27="","",Q27-R27)</f>
        <v/>
      </c>
      <c r="T27" s="43" t="str">
        <f aca="false">IF($B27="","",IF(S27&gt;0,"G","P"))</f>
        <v/>
      </c>
      <c r="U27" s="44" t="str">
        <f aca="false">IF($B27="","",S27/Parametros!$C$8)</f>
        <v/>
      </c>
      <c r="V27" s="42" t="str">
        <f aca="false">IF($B27="","",Parametros!$C$6+SUM($S$7:S27))</f>
        <v/>
      </c>
      <c r="W27" s="42" t="str">
        <f aca="false">IF($B27="","",MAX(V27,W26))</f>
        <v/>
      </c>
      <c r="X27" s="42" t="str">
        <f aca="false">IF($B27="","",V27-W27)</f>
        <v/>
      </c>
      <c r="Y27" s="45" t="str">
        <f aca="false">IF($B27="","",X27/W27)</f>
        <v/>
      </c>
      <c r="Z27" s="36" t="str">
        <f aca="false">IF($B27="","",IF(T27="G",IF(N(Z26)&gt;0,Z26+1,1),IF(N(Z26)&lt;0,Z26-1,-1)))</f>
        <v/>
      </c>
      <c r="AA27" s="46" t="str">
        <f aca="false">IF($B27="","",B27-WEEKDAY(B27,2)+1)</f>
        <v/>
      </c>
      <c r="AB27" s="47" t="str">
        <f aca="false">IF($B27="","",DATE(YEAR(B27),MONTH(B27),1))</f>
        <v/>
      </c>
      <c r="AC27" s="41" t="str">
        <f aca="false">IF($B27="","",CHOOSE(WEEKDAY(B27,2),"Lunes","Martes","Miércoles","Jueves","Viernes","Sábado","Domingo"))</f>
        <v/>
      </c>
      <c r="AD27" s="36" t="str">
        <f aca="false">IF($B27="","",HOUR(C27))</f>
        <v/>
      </c>
      <c r="AE27" s="42" t="str">
        <f aca="false">IF($B27="","",IF(O27&lt;&gt;O26,MAX(V27-S27,V27),MAX(V27,AE26)))</f>
        <v/>
      </c>
      <c r="AF27" s="42" t="str">
        <f aca="false">IF($B27="","",V27-AE27)</f>
        <v/>
      </c>
      <c r="AG27" s="36" t="str">
        <f aca="false">IF($B27="","",IF(O27&lt;&gt;O26,IF(T27="G",1,-1),IF(T27="G",IF(N(AG26)&gt;0,AG26+1,1),IF(N(AG26)&lt;0,AG26-1,-1))))</f>
        <v/>
      </c>
    </row>
    <row r="28" customFormat="false" ht="15" hidden="false" customHeight="false" outlineLevel="0" collapsed="false">
      <c r="A28" s="36" t="str">
        <f aca="false">IF(B28="","",ROW()-6)</f>
        <v/>
      </c>
      <c r="B28" s="37"/>
      <c r="C28" s="38"/>
      <c r="D28" s="38"/>
      <c r="E28" s="39"/>
      <c r="F28" s="39"/>
      <c r="G28" s="39"/>
      <c r="H28" s="40"/>
      <c r="I28" s="40"/>
      <c r="J28" s="40"/>
      <c r="K28" s="40"/>
      <c r="L28" s="39"/>
      <c r="M28" s="40"/>
      <c r="N28" s="40"/>
      <c r="O28" s="36" t="str">
        <f aca="false">IF($B28="","",INT((A28-1)/Parametros!$C$10)+1)</f>
        <v/>
      </c>
      <c r="P28" s="41" t="str">
        <f aca="false">IF($B28="","",IF(OR(C28="",D28=""),"",ROUND((D28-C28)*1440,0)))</f>
        <v/>
      </c>
      <c r="Q28" s="42" t="str">
        <f aca="false">IF($B28="","",I28*VLOOKUP(E28,Parametros!$B$18:$D$24,2,FALSE()))</f>
        <v/>
      </c>
      <c r="R28" s="42" t="str">
        <f aca="false">IF($B28="","",G28*VLOOKUP(E28,Parametros!$B$18:$D$24,3,FALSE()))</f>
        <v/>
      </c>
      <c r="S28" s="42" t="str">
        <f aca="false">IF($B28="","",Q28-R28)</f>
        <v/>
      </c>
      <c r="T28" s="43" t="str">
        <f aca="false">IF($B28="","",IF(S28&gt;0,"G","P"))</f>
        <v/>
      </c>
      <c r="U28" s="44" t="str">
        <f aca="false">IF($B28="","",S28/Parametros!$C$8)</f>
        <v/>
      </c>
      <c r="V28" s="42" t="str">
        <f aca="false">IF($B28="","",Parametros!$C$6+SUM($S$7:S28))</f>
        <v/>
      </c>
      <c r="W28" s="42" t="str">
        <f aca="false">IF($B28="","",MAX(V28,W27))</f>
        <v/>
      </c>
      <c r="X28" s="42" t="str">
        <f aca="false">IF($B28="","",V28-W28)</f>
        <v/>
      </c>
      <c r="Y28" s="45" t="str">
        <f aca="false">IF($B28="","",X28/W28)</f>
        <v/>
      </c>
      <c r="Z28" s="36" t="str">
        <f aca="false">IF($B28="","",IF(T28="G",IF(N(Z27)&gt;0,Z27+1,1),IF(N(Z27)&lt;0,Z27-1,-1)))</f>
        <v/>
      </c>
      <c r="AA28" s="46" t="str">
        <f aca="false">IF($B28="","",B28-WEEKDAY(B28,2)+1)</f>
        <v/>
      </c>
      <c r="AB28" s="47" t="str">
        <f aca="false">IF($B28="","",DATE(YEAR(B28),MONTH(B28),1))</f>
        <v/>
      </c>
      <c r="AC28" s="41" t="str">
        <f aca="false">IF($B28="","",CHOOSE(WEEKDAY(B28,2),"Lunes","Martes","Miércoles","Jueves","Viernes","Sábado","Domingo"))</f>
        <v/>
      </c>
      <c r="AD28" s="36" t="str">
        <f aca="false">IF($B28="","",HOUR(C28))</f>
        <v/>
      </c>
      <c r="AE28" s="42" t="str">
        <f aca="false">IF($B28="","",IF(O28&lt;&gt;O27,MAX(V28-S28,V28),MAX(V28,AE27)))</f>
        <v/>
      </c>
      <c r="AF28" s="42" t="str">
        <f aca="false">IF($B28="","",V28-AE28)</f>
        <v/>
      </c>
      <c r="AG28" s="36" t="str">
        <f aca="false">IF($B28="","",IF(O28&lt;&gt;O27,IF(T28="G",1,-1),IF(T28="G",IF(N(AG27)&gt;0,AG27+1,1),IF(N(AG27)&lt;0,AG27-1,-1))))</f>
        <v/>
      </c>
    </row>
    <row r="29" customFormat="false" ht="15" hidden="false" customHeight="false" outlineLevel="0" collapsed="false">
      <c r="A29" s="36" t="str">
        <f aca="false">IF(B29="","",ROW()-6)</f>
        <v/>
      </c>
      <c r="B29" s="37"/>
      <c r="C29" s="38"/>
      <c r="D29" s="38"/>
      <c r="E29" s="39"/>
      <c r="F29" s="39"/>
      <c r="G29" s="39"/>
      <c r="H29" s="40"/>
      <c r="I29" s="40"/>
      <c r="J29" s="40"/>
      <c r="K29" s="40"/>
      <c r="L29" s="39"/>
      <c r="M29" s="40"/>
      <c r="N29" s="40"/>
      <c r="O29" s="36" t="str">
        <f aca="false">IF($B29="","",INT((A29-1)/Parametros!$C$10)+1)</f>
        <v/>
      </c>
      <c r="P29" s="41" t="str">
        <f aca="false">IF($B29="","",IF(OR(C29="",D29=""),"",ROUND((D29-C29)*1440,0)))</f>
        <v/>
      </c>
      <c r="Q29" s="42" t="str">
        <f aca="false">IF($B29="","",I29*VLOOKUP(E29,Parametros!$B$18:$D$24,2,FALSE()))</f>
        <v/>
      </c>
      <c r="R29" s="42" t="str">
        <f aca="false">IF($B29="","",G29*VLOOKUP(E29,Parametros!$B$18:$D$24,3,FALSE()))</f>
        <v/>
      </c>
      <c r="S29" s="42" t="str">
        <f aca="false">IF($B29="","",Q29-R29)</f>
        <v/>
      </c>
      <c r="T29" s="43" t="str">
        <f aca="false">IF($B29="","",IF(S29&gt;0,"G","P"))</f>
        <v/>
      </c>
      <c r="U29" s="44" t="str">
        <f aca="false">IF($B29="","",S29/Parametros!$C$8)</f>
        <v/>
      </c>
      <c r="V29" s="42" t="str">
        <f aca="false">IF($B29="","",Parametros!$C$6+SUM($S$7:S29))</f>
        <v/>
      </c>
      <c r="W29" s="42" t="str">
        <f aca="false">IF($B29="","",MAX(V29,W28))</f>
        <v/>
      </c>
      <c r="X29" s="42" t="str">
        <f aca="false">IF($B29="","",V29-W29)</f>
        <v/>
      </c>
      <c r="Y29" s="45" t="str">
        <f aca="false">IF($B29="","",X29/W29)</f>
        <v/>
      </c>
      <c r="Z29" s="36" t="str">
        <f aca="false">IF($B29="","",IF(T29="G",IF(N(Z28)&gt;0,Z28+1,1),IF(N(Z28)&lt;0,Z28-1,-1)))</f>
        <v/>
      </c>
      <c r="AA29" s="46" t="str">
        <f aca="false">IF($B29="","",B29-WEEKDAY(B29,2)+1)</f>
        <v/>
      </c>
      <c r="AB29" s="47" t="str">
        <f aca="false">IF($B29="","",DATE(YEAR(B29),MONTH(B29),1))</f>
        <v/>
      </c>
      <c r="AC29" s="41" t="str">
        <f aca="false">IF($B29="","",CHOOSE(WEEKDAY(B29,2),"Lunes","Martes","Miércoles","Jueves","Viernes","Sábado","Domingo"))</f>
        <v/>
      </c>
      <c r="AD29" s="36" t="str">
        <f aca="false">IF($B29="","",HOUR(C29))</f>
        <v/>
      </c>
      <c r="AE29" s="42" t="str">
        <f aca="false">IF($B29="","",IF(O29&lt;&gt;O28,MAX(V29-S29,V29),MAX(V29,AE28)))</f>
        <v/>
      </c>
      <c r="AF29" s="42" t="str">
        <f aca="false">IF($B29="","",V29-AE29)</f>
        <v/>
      </c>
      <c r="AG29" s="36" t="str">
        <f aca="false">IF($B29="","",IF(O29&lt;&gt;O28,IF(T29="G",1,-1),IF(T29="G",IF(N(AG28)&gt;0,AG28+1,1),IF(N(AG28)&lt;0,AG28-1,-1))))</f>
        <v/>
      </c>
    </row>
    <row r="30" customFormat="false" ht="15" hidden="false" customHeight="false" outlineLevel="0" collapsed="false">
      <c r="A30" s="36" t="str">
        <f aca="false">IF(B30="","",ROW()-6)</f>
        <v/>
      </c>
      <c r="B30" s="37"/>
      <c r="C30" s="38"/>
      <c r="D30" s="38"/>
      <c r="E30" s="39"/>
      <c r="F30" s="39"/>
      <c r="G30" s="39"/>
      <c r="H30" s="40"/>
      <c r="I30" s="40"/>
      <c r="J30" s="40"/>
      <c r="K30" s="40"/>
      <c r="L30" s="39"/>
      <c r="M30" s="40"/>
      <c r="N30" s="40"/>
      <c r="O30" s="36" t="str">
        <f aca="false">IF($B30="","",INT((A30-1)/Parametros!$C$10)+1)</f>
        <v/>
      </c>
      <c r="P30" s="41" t="str">
        <f aca="false">IF($B30="","",IF(OR(C30="",D30=""),"",ROUND((D30-C30)*1440,0)))</f>
        <v/>
      </c>
      <c r="Q30" s="42" t="str">
        <f aca="false">IF($B30="","",I30*VLOOKUP(E30,Parametros!$B$18:$D$24,2,FALSE()))</f>
        <v/>
      </c>
      <c r="R30" s="42" t="str">
        <f aca="false">IF($B30="","",G30*VLOOKUP(E30,Parametros!$B$18:$D$24,3,FALSE()))</f>
        <v/>
      </c>
      <c r="S30" s="42" t="str">
        <f aca="false">IF($B30="","",Q30-R30)</f>
        <v/>
      </c>
      <c r="T30" s="43" t="str">
        <f aca="false">IF($B30="","",IF(S30&gt;0,"G","P"))</f>
        <v/>
      </c>
      <c r="U30" s="44" t="str">
        <f aca="false">IF($B30="","",S30/Parametros!$C$8)</f>
        <v/>
      </c>
      <c r="V30" s="42" t="str">
        <f aca="false">IF($B30="","",Parametros!$C$6+SUM($S$7:S30))</f>
        <v/>
      </c>
      <c r="W30" s="42" t="str">
        <f aca="false">IF($B30="","",MAX(V30,W29))</f>
        <v/>
      </c>
      <c r="X30" s="42" t="str">
        <f aca="false">IF($B30="","",V30-W30)</f>
        <v/>
      </c>
      <c r="Y30" s="45" t="str">
        <f aca="false">IF($B30="","",X30/W30)</f>
        <v/>
      </c>
      <c r="Z30" s="36" t="str">
        <f aca="false">IF($B30="","",IF(T30="G",IF(N(Z29)&gt;0,Z29+1,1),IF(N(Z29)&lt;0,Z29-1,-1)))</f>
        <v/>
      </c>
      <c r="AA30" s="46" t="str">
        <f aca="false">IF($B30="","",B30-WEEKDAY(B30,2)+1)</f>
        <v/>
      </c>
      <c r="AB30" s="47" t="str">
        <f aca="false">IF($B30="","",DATE(YEAR(B30),MONTH(B30),1))</f>
        <v/>
      </c>
      <c r="AC30" s="41" t="str">
        <f aca="false">IF($B30="","",CHOOSE(WEEKDAY(B30,2),"Lunes","Martes","Miércoles","Jueves","Viernes","Sábado","Domingo"))</f>
        <v/>
      </c>
      <c r="AD30" s="36" t="str">
        <f aca="false">IF($B30="","",HOUR(C30))</f>
        <v/>
      </c>
      <c r="AE30" s="42" t="str">
        <f aca="false">IF($B30="","",IF(O30&lt;&gt;O29,MAX(V30-S30,V30),MAX(V30,AE29)))</f>
        <v/>
      </c>
      <c r="AF30" s="42" t="str">
        <f aca="false">IF($B30="","",V30-AE30)</f>
        <v/>
      </c>
      <c r="AG30" s="36" t="str">
        <f aca="false">IF($B30="","",IF(O30&lt;&gt;O29,IF(T30="G",1,-1),IF(T30="G",IF(N(AG29)&gt;0,AG29+1,1),IF(N(AG29)&lt;0,AG29-1,-1))))</f>
        <v/>
      </c>
    </row>
    <row r="31" customFormat="false" ht="15" hidden="false" customHeight="false" outlineLevel="0" collapsed="false">
      <c r="A31" s="36" t="str">
        <f aca="false">IF(B31="","",ROW()-6)</f>
        <v/>
      </c>
      <c r="B31" s="37"/>
      <c r="C31" s="38"/>
      <c r="D31" s="38"/>
      <c r="E31" s="39"/>
      <c r="F31" s="39"/>
      <c r="G31" s="39"/>
      <c r="H31" s="40"/>
      <c r="I31" s="40"/>
      <c r="J31" s="40"/>
      <c r="K31" s="40"/>
      <c r="L31" s="39"/>
      <c r="M31" s="40"/>
      <c r="N31" s="40"/>
      <c r="O31" s="36" t="str">
        <f aca="false">IF($B31="","",INT((A31-1)/Parametros!$C$10)+1)</f>
        <v/>
      </c>
      <c r="P31" s="41" t="str">
        <f aca="false">IF($B31="","",IF(OR(C31="",D31=""),"",ROUND((D31-C31)*1440,0)))</f>
        <v/>
      </c>
      <c r="Q31" s="42" t="str">
        <f aca="false">IF($B31="","",I31*VLOOKUP(E31,Parametros!$B$18:$D$24,2,FALSE()))</f>
        <v/>
      </c>
      <c r="R31" s="42" t="str">
        <f aca="false">IF($B31="","",G31*VLOOKUP(E31,Parametros!$B$18:$D$24,3,FALSE()))</f>
        <v/>
      </c>
      <c r="S31" s="42" t="str">
        <f aca="false">IF($B31="","",Q31-R31)</f>
        <v/>
      </c>
      <c r="T31" s="43" t="str">
        <f aca="false">IF($B31="","",IF(S31&gt;0,"G","P"))</f>
        <v/>
      </c>
      <c r="U31" s="44" t="str">
        <f aca="false">IF($B31="","",S31/Parametros!$C$8)</f>
        <v/>
      </c>
      <c r="V31" s="42" t="str">
        <f aca="false">IF($B31="","",Parametros!$C$6+SUM($S$7:S31))</f>
        <v/>
      </c>
      <c r="W31" s="42" t="str">
        <f aca="false">IF($B31="","",MAX(V31,W30))</f>
        <v/>
      </c>
      <c r="X31" s="42" t="str">
        <f aca="false">IF($B31="","",V31-W31)</f>
        <v/>
      </c>
      <c r="Y31" s="45" t="str">
        <f aca="false">IF($B31="","",X31/W31)</f>
        <v/>
      </c>
      <c r="Z31" s="36" t="str">
        <f aca="false">IF($B31="","",IF(T31="G",IF(N(Z30)&gt;0,Z30+1,1),IF(N(Z30)&lt;0,Z30-1,-1)))</f>
        <v/>
      </c>
      <c r="AA31" s="46" t="str">
        <f aca="false">IF($B31="","",B31-WEEKDAY(B31,2)+1)</f>
        <v/>
      </c>
      <c r="AB31" s="47" t="str">
        <f aca="false">IF($B31="","",DATE(YEAR(B31),MONTH(B31),1))</f>
        <v/>
      </c>
      <c r="AC31" s="41" t="str">
        <f aca="false">IF($B31="","",CHOOSE(WEEKDAY(B31,2),"Lunes","Martes","Miércoles","Jueves","Viernes","Sábado","Domingo"))</f>
        <v/>
      </c>
      <c r="AD31" s="36" t="str">
        <f aca="false">IF($B31="","",HOUR(C31))</f>
        <v/>
      </c>
      <c r="AE31" s="42" t="str">
        <f aca="false">IF($B31="","",IF(O31&lt;&gt;O30,MAX(V31-S31,V31),MAX(V31,AE30)))</f>
        <v/>
      </c>
      <c r="AF31" s="42" t="str">
        <f aca="false">IF($B31="","",V31-AE31)</f>
        <v/>
      </c>
      <c r="AG31" s="36" t="str">
        <f aca="false">IF($B31="","",IF(O31&lt;&gt;O30,IF(T31="G",1,-1),IF(T31="G",IF(N(AG30)&gt;0,AG30+1,1),IF(N(AG30)&lt;0,AG30-1,-1))))</f>
        <v/>
      </c>
    </row>
    <row r="32" customFormat="false" ht="15" hidden="false" customHeight="false" outlineLevel="0" collapsed="false">
      <c r="A32" s="36" t="str">
        <f aca="false">IF(B32="","",ROW()-6)</f>
        <v/>
      </c>
      <c r="B32" s="37"/>
      <c r="C32" s="38"/>
      <c r="D32" s="38"/>
      <c r="E32" s="39"/>
      <c r="F32" s="39"/>
      <c r="G32" s="39"/>
      <c r="H32" s="40"/>
      <c r="I32" s="40"/>
      <c r="J32" s="40"/>
      <c r="K32" s="40"/>
      <c r="L32" s="39"/>
      <c r="M32" s="40"/>
      <c r="N32" s="40"/>
      <c r="O32" s="36" t="str">
        <f aca="false">IF($B32="","",INT((A32-1)/Parametros!$C$10)+1)</f>
        <v/>
      </c>
      <c r="P32" s="41" t="str">
        <f aca="false">IF($B32="","",IF(OR(C32="",D32=""),"",ROUND((D32-C32)*1440,0)))</f>
        <v/>
      </c>
      <c r="Q32" s="42" t="str">
        <f aca="false">IF($B32="","",I32*VLOOKUP(E32,Parametros!$B$18:$D$24,2,FALSE()))</f>
        <v/>
      </c>
      <c r="R32" s="42" t="str">
        <f aca="false">IF($B32="","",G32*VLOOKUP(E32,Parametros!$B$18:$D$24,3,FALSE()))</f>
        <v/>
      </c>
      <c r="S32" s="42" t="str">
        <f aca="false">IF($B32="","",Q32-R32)</f>
        <v/>
      </c>
      <c r="T32" s="43" t="str">
        <f aca="false">IF($B32="","",IF(S32&gt;0,"G","P"))</f>
        <v/>
      </c>
      <c r="U32" s="44" t="str">
        <f aca="false">IF($B32="","",S32/Parametros!$C$8)</f>
        <v/>
      </c>
      <c r="V32" s="42" t="str">
        <f aca="false">IF($B32="","",Parametros!$C$6+SUM($S$7:S32))</f>
        <v/>
      </c>
      <c r="W32" s="42" t="str">
        <f aca="false">IF($B32="","",MAX(V32,W31))</f>
        <v/>
      </c>
      <c r="X32" s="42" t="str">
        <f aca="false">IF($B32="","",V32-W32)</f>
        <v/>
      </c>
      <c r="Y32" s="45" t="str">
        <f aca="false">IF($B32="","",X32/W32)</f>
        <v/>
      </c>
      <c r="Z32" s="36" t="str">
        <f aca="false">IF($B32="","",IF(T32="G",IF(N(Z31)&gt;0,Z31+1,1),IF(N(Z31)&lt;0,Z31-1,-1)))</f>
        <v/>
      </c>
      <c r="AA32" s="46" t="str">
        <f aca="false">IF($B32="","",B32-WEEKDAY(B32,2)+1)</f>
        <v/>
      </c>
      <c r="AB32" s="47" t="str">
        <f aca="false">IF($B32="","",DATE(YEAR(B32),MONTH(B32),1))</f>
        <v/>
      </c>
      <c r="AC32" s="41" t="str">
        <f aca="false">IF($B32="","",CHOOSE(WEEKDAY(B32,2),"Lunes","Martes","Miércoles","Jueves","Viernes","Sábado","Domingo"))</f>
        <v/>
      </c>
      <c r="AD32" s="36" t="str">
        <f aca="false">IF($B32="","",HOUR(C32))</f>
        <v/>
      </c>
      <c r="AE32" s="42" t="str">
        <f aca="false">IF($B32="","",IF(O32&lt;&gt;O31,MAX(V32-S32,V32),MAX(V32,AE31)))</f>
        <v/>
      </c>
      <c r="AF32" s="42" t="str">
        <f aca="false">IF($B32="","",V32-AE32)</f>
        <v/>
      </c>
      <c r="AG32" s="36" t="str">
        <f aca="false">IF($B32="","",IF(O32&lt;&gt;O31,IF(T32="G",1,-1),IF(T32="G",IF(N(AG31)&gt;0,AG31+1,1),IF(N(AG31)&lt;0,AG31-1,-1))))</f>
        <v/>
      </c>
    </row>
    <row r="33" customFormat="false" ht="15" hidden="false" customHeight="false" outlineLevel="0" collapsed="false">
      <c r="A33" s="36" t="str">
        <f aca="false">IF(B33="","",ROW()-6)</f>
        <v/>
      </c>
      <c r="B33" s="37"/>
      <c r="C33" s="38"/>
      <c r="D33" s="38"/>
      <c r="E33" s="39"/>
      <c r="F33" s="39"/>
      <c r="G33" s="39"/>
      <c r="H33" s="40"/>
      <c r="I33" s="40"/>
      <c r="J33" s="40"/>
      <c r="K33" s="40"/>
      <c r="L33" s="39"/>
      <c r="M33" s="40"/>
      <c r="N33" s="40"/>
      <c r="O33" s="36" t="str">
        <f aca="false">IF($B33="","",INT((A33-1)/Parametros!$C$10)+1)</f>
        <v/>
      </c>
      <c r="P33" s="41" t="str">
        <f aca="false">IF($B33="","",IF(OR(C33="",D33=""),"",ROUND((D33-C33)*1440,0)))</f>
        <v/>
      </c>
      <c r="Q33" s="42" t="str">
        <f aca="false">IF($B33="","",I33*VLOOKUP(E33,Parametros!$B$18:$D$24,2,FALSE()))</f>
        <v/>
      </c>
      <c r="R33" s="42" t="str">
        <f aca="false">IF($B33="","",G33*VLOOKUP(E33,Parametros!$B$18:$D$24,3,FALSE()))</f>
        <v/>
      </c>
      <c r="S33" s="42" t="str">
        <f aca="false">IF($B33="","",Q33-R33)</f>
        <v/>
      </c>
      <c r="T33" s="43" t="str">
        <f aca="false">IF($B33="","",IF(S33&gt;0,"G","P"))</f>
        <v/>
      </c>
      <c r="U33" s="44" t="str">
        <f aca="false">IF($B33="","",S33/Parametros!$C$8)</f>
        <v/>
      </c>
      <c r="V33" s="42" t="str">
        <f aca="false">IF($B33="","",Parametros!$C$6+SUM($S$7:S33))</f>
        <v/>
      </c>
      <c r="W33" s="42" t="str">
        <f aca="false">IF($B33="","",MAX(V33,W32))</f>
        <v/>
      </c>
      <c r="X33" s="42" t="str">
        <f aca="false">IF($B33="","",V33-W33)</f>
        <v/>
      </c>
      <c r="Y33" s="45" t="str">
        <f aca="false">IF($B33="","",X33/W33)</f>
        <v/>
      </c>
      <c r="Z33" s="36" t="str">
        <f aca="false">IF($B33="","",IF(T33="G",IF(N(Z32)&gt;0,Z32+1,1),IF(N(Z32)&lt;0,Z32-1,-1)))</f>
        <v/>
      </c>
      <c r="AA33" s="46" t="str">
        <f aca="false">IF($B33="","",B33-WEEKDAY(B33,2)+1)</f>
        <v/>
      </c>
      <c r="AB33" s="47" t="str">
        <f aca="false">IF($B33="","",DATE(YEAR(B33),MONTH(B33),1))</f>
        <v/>
      </c>
      <c r="AC33" s="41" t="str">
        <f aca="false">IF($B33="","",CHOOSE(WEEKDAY(B33,2),"Lunes","Martes","Miércoles","Jueves","Viernes","Sábado","Domingo"))</f>
        <v/>
      </c>
      <c r="AD33" s="36" t="str">
        <f aca="false">IF($B33="","",HOUR(C33))</f>
        <v/>
      </c>
      <c r="AE33" s="42" t="str">
        <f aca="false">IF($B33="","",IF(O33&lt;&gt;O32,MAX(V33-S33,V33),MAX(V33,AE32)))</f>
        <v/>
      </c>
      <c r="AF33" s="42" t="str">
        <f aca="false">IF($B33="","",V33-AE33)</f>
        <v/>
      </c>
      <c r="AG33" s="36" t="str">
        <f aca="false">IF($B33="","",IF(O33&lt;&gt;O32,IF(T33="G",1,-1),IF(T33="G",IF(N(AG32)&gt;0,AG32+1,1),IF(N(AG32)&lt;0,AG32-1,-1))))</f>
        <v/>
      </c>
    </row>
    <row r="34" customFormat="false" ht="15" hidden="false" customHeight="false" outlineLevel="0" collapsed="false">
      <c r="A34" s="36" t="str">
        <f aca="false">IF(B34="","",ROW()-6)</f>
        <v/>
      </c>
      <c r="B34" s="37"/>
      <c r="C34" s="38"/>
      <c r="D34" s="38"/>
      <c r="E34" s="39"/>
      <c r="F34" s="39"/>
      <c r="G34" s="39"/>
      <c r="H34" s="40"/>
      <c r="I34" s="40"/>
      <c r="J34" s="40"/>
      <c r="K34" s="40"/>
      <c r="L34" s="39"/>
      <c r="M34" s="40"/>
      <c r="N34" s="40"/>
      <c r="O34" s="36" t="str">
        <f aca="false">IF($B34="","",INT((A34-1)/Parametros!$C$10)+1)</f>
        <v/>
      </c>
      <c r="P34" s="41" t="str">
        <f aca="false">IF($B34="","",IF(OR(C34="",D34=""),"",ROUND((D34-C34)*1440,0)))</f>
        <v/>
      </c>
      <c r="Q34" s="42" t="str">
        <f aca="false">IF($B34="","",I34*VLOOKUP(E34,Parametros!$B$18:$D$24,2,FALSE()))</f>
        <v/>
      </c>
      <c r="R34" s="42" t="str">
        <f aca="false">IF($B34="","",G34*VLOOKUP(E34,Parametros!$B$18:$D$24,3,FALSE()))</f>
        <v/>
      </c>
      <c r="S34" s="42" t="str">
        <f aca="false">IF($B34="","",Q34-R34)</f>
        <v/>
      </c>
      <c r="T34" s="43" t="str">
        <f aca="false">IF($B34="","",IF(S34&gt;0,"G","P"))</f>
        <v/>
      </c>
      <c r="U34" s="44" t="str">
        <f aca="false">IF($B34="","",S34/Parametros!$C$8)</f>
        <v/>
      </c>
      <c r="V34" s="42" t="str">
        <f aca="false">IF($B34="","",Parametros!$C$6+SUM($S$7:S34))</f>
        <v/>
      </c>
      <c r="W34" s="42" t="str">
        <f aca="false">IF($B34="","",MAX(V34,W33))</f>
        <v/>
      </c>
      <c r="X34" s="42" t="str">
        <f aca="false">IF($B34="","",V34-W34)</f>
        <v/>
      </c>
      <c r="Y34" s="45" t="str">
        <f aca="false">IF($B34="","",X34/W34)</f>
        <v/>
      </c>
      <c r="Z34" s="36" t="str">
        <f aca="false">IF($B34="","",IF(T34="G",IF(N(Z33)&gt;0,Z33+1,1),IF(N(Z33)&lt;0,Z33-1,-1)))</f>
        <v/>
      </c>
      <c r="AA34" s="46" t="str">
        <f aca="false">IF($B34="","",B34-WEEKDAY(B34,2)+1)</f>
        <v/>
      </c>
      <c r="AB34" s="47" t="str">
        <f aca="false">IF($B34="","",DATE(YEAR(B34),MONTH(B34),1))</f>
        <v/>
      </c>
      <c r="AC34" s="41" t="str">
        <f aca="false">IF($B34="","",CHOOSE(WEEKDAY(B34,2),"Lunes","Martes","Miércoles","Jueves","Viernes","Sábado","Domingo"))</f>
        <v/>
      </c>
      <c r="AD34" s="36" t="str">
        <f aca="false">IF($B34="","",HOUR(C34))</f>
        <v/>
      </c>
      <c r="AE34" s="42" t="str">
        <f aca="false">IF($B34="","",IF(O34&lt;&gt;O33,MAX(V34-S34,V34),MAX(V34,AE33)))</f>
        <v/>
      </c>
      <c r="AF34" s="42" t="str">
        <f aca="false">IF($B34="","",V34-AE34)</f>
        <v/>
      </c>
      <c r="AG34" s="36" t="str">
        <f aca="false">IF($B34="","",IF(O34&lt;&gt;O33,IF(T34="G",1,-1),IF(T34="G",IF(N(AG33)&gt;0,AG33+1,1),IF(N(AG33)&lt;0,AG33-1,-1))))</f>
        <v/>
      </c>
    </row>
    <row r="35" customFormat="false" ht="15" hidden="false" customHeight="false" outlineLevel="0" collapsed="false">
      <c r="A35" s="36" t="str">
        <f aca="false">IF(B35="","",ROW()-6)</f>
        <v/>
      </c>
      <c r="B35" s="37"/>
      <c r="C35" s="38"/>
      <c r="D35" s="38"/>
      <c r="E35" s="39"/>
      <c r="F35" s="39"/>
      <c r="G35" s="39"/>
      <c r="H35" s="40"/>
      <c r="I35" s="40"/>
      <c r="J35" s="40"/>
      <c r="K35" s="40"/>
      <c r="L35" s="39"/>
      <c r="M35" s="40"/>
      <c r="N35" s="40"/>
      <c r="O35" s="36" t="str">
        <f aca="false">IF($B35="","",INT((A35-1)/Parametros!$C$10)+1)</f>
        <v/>
      </c>
      <c r="P35" s="41" t="str">
        <f aca="false">IF($B35="","",IF(OR(C35="",D35=""),"",ROUND((D35-C35)*1440,0)))</f>
        <v/>
      </c>
      <c r="Q35" s="42" t="str">
        <f aca="false">IF($B35="","",I35*VLOOKUP(E35,Parametros!$B$18:$D$24,2,FALSE()))</f>
        <v/>
      </c>
      <c r="R35" s="42" t="str">
        <f aca="false">IF($B35="","",G35*VLOOKUP(E35,Parametros!$B$18:$D$24,3,FALSE()))</f>
        <v/>
      </c>
      <c r="S35" s="42" t="str">
        <f aca="false">IF($B35="","",Q35-R35)</f>
        <v/>
      </c>
      <c r="T35" s="43" t="str">
        <f aca="false">IF($B35="","",IF(S35&gt;0,"G","P"))</f>
        <v/>
      </c>
      <c r="U35" s="44" t="str">
        <f aca="false">IF($B35="","",S35/Parametros!$C$8)</f>
        <v/>
      </c>
      <c r="V35" s="42" t="str">
        <f aca="false">IF($B35="","",Parametros!$C$6+SUM($S$7:S35))</f>
        <v/>
      </c>
      <c r="W35" s="42" t="str">
        <f aca="false">IF($B35="","",MAX(V35,W34))</f>
        <v/>
      </c>
      <c r="X35" s="42" t="str">
        <f aca="false">IF($B35="","",V35-W35)</f>
        <v/>
      </c>
      <c r="Y35" s="45" t="str">
        <f aca="false">IF($B35="","",X35/W35)</f>
        <v/>
      </c>
      <c r="Z35" s="36" t="str">
        <f aca="false">IF($B35="","",IF(T35="G",IF(N(Z34)&gt;0,Z34+1,1),IF(N(Z34)&lt;0,Z34-1,-1)))</f>
        <v/>
      </c>
      <c r="AA35" s="46" t="str">
        <f aca="false">IF($B35="","",B35-WEEKDAY(B35,2)+1)</f>
        <v/>
      </c>
      <c r="AB35" s="47" t="str">
        <f aca="false">IF($B35="","",DATE(YEAR(B35),MONTH(B35),1))</f>
        <v/>
      </c>
      <c r="AC35" s="41" t="str">
        <f aca="false">IF($B35="","",CHOOSE(WEEKDAY(B35,2),"Lunes","Martes","Miércoles","Jueves","Viernes","Sábado","Domingo"))</f>
        <v/>
      </c>
      <c r="AD35" s="36" t="str">
        <f aca="false">IF($B35="","",HOUR(C35))</f>
        <v/>
      </c>
      <c r="AE35" s="42" t="str">
        <f aca="false">IF($B35="","",IF(O35&lt;&gt;O34,MAX(V35-S35,V35),MAX(V35,AE34)))</f>
        <v/>
      </c>
      <c r="AF35" s="42" t="str">
        <f aca="false">IF($B35="","",V35-AE35)</f>
        <v/>
      </c>
      <c r="AG35" s="36" t="str">
        <f aca="false">IF($B35="","",IF(O35&lt;&gt;O34,IF(T35="G",1,-1),IF(T35="G",IF(N(AG34)&gt;0,AG34+1,1),IF(N(AG34)&lt;0,AG34-1,-1))))</f>
        <v/>
      </c>
    </row>
    <row r="36" customFormat="false" ht="15" hidden="false" customHeight="false" outlineLevel="0" collapsed="false">
      <c r="A36" s="36" t="str">
        <f aca="false">IF(B36="","",ROW()-6)</f>
        <v/>
      </c>
      <c r="B36" s="37"/>
      <c r="C36" s="38"/>
      <c r="D36" s="38"/>
      <c r="E36" s="39"/>
      <c r="F36" s="39"/>
      <c r="G36" s="39"/>
      <c r="H36" s="40"/>
      <c r="I36" s="40"/>
      <c r="J36" s="40"/>
      <c r="K36" s="40"/>
      <c r="L36" s="39"/>
      <c r="M36" s="40"/>
      <c r="N36" s="40"/>
      <c r="O36" s="36" t="str">
        <f aca="false">IF($B36="","",INT((A36-1)/Parametros!$C$10)+1)</f>
        <v/>
      </c>
      <c r="P36" s="41" t="str">
        <f aca="false">IF($B36="","",IF(OR(C36="",D36=""),"",ROUND((D36-C36)*1440,0)))</f>
        <v/>
      </c>
      <c r="Q36" s="42" t="str">
        <f aca="false">IF($B36="","",I36*VLOOKUP(E36,Parametros!$B$18:$D$24,2,FALSE()))</f>
        <v/>
      </c>
      <c r="R36" s="42" t="str">
        <f aca="false">IF($B36="","",G36*VLOOKUP(E36,Parametros!$B$18:$D$24,3,FALSE()))</f>
        <v/>
      </c>
      <c r="S36" s="42" t="str">
        <f aca="false">IF($B36="","",Q36-R36)</f>
        <v/>
      </c>
      <c r="T36" s="43" t="str">
        <f aca="false">IF($B36="","",IF(S36&gt;0,"G","P"))</f>
        <v/>
      </c>
      <c r="U36" s="44" t="str">
        <f aca="false">IF($B36="","",S36/Parametros!$C$8)</f>
        <v/>
      </c>
      <c r="V36" s="42" t="str">
        <f aca="false">IF($B36="","",Parametros!$C$6+SUM($S$7:S36))</f>
        <v/>
      </c>
      <c r="W36" s="42" t="str">
        <f aca="false">IF($B36="","",MAX(V36,W35))</f>
        <v/>
      </c>
      <c r="X36" s="42" t="str">
        <f aca="false">IF($B36="","",V36-W36)</f>
        <v/>
      </c>
      <c r="Y36" s="45" t="str">
        <f aca="false">IF($B36="","",X36/W36)</f>
        <v/>
      </c>
      <c r="Z36" s="36" t="str">
        <f aca="false">IF($B36="","",IF(T36="G",IF(N(Z35)&gt;0,Z35+1,1),IF(N(Z35)&lt;0,Z35-1,-1)))</f>
        <v/>
      </c>
      <c r="AA36" s="46" t="str">
        <f aca="false">IF($B36="","",B36-WEEKDAY(B36,2)+1)</f>
        <v/>
      </c>
      <c r="AB36" s="47" t="str">
        <f aca="false">IF($B36="","",DATE(YEAR(B36),MONTH(B36),1))</f>
        <v/>
      </c>
      <c r="AC36" s="41" t="str">
        <f aca="false">IF($B36="","",CHOOSE(WEEKDAY(B36,2),"Lunes","Martes","Miércoles","Jueves","Viernes","Sábado","Domingo"))</f>
        <v/>
      </c>
      <c r="AD36" s="36" t="str">
        <f aca="false">IF($B36="","",HOUR(C36))</f>
        <v/>
      </c>
      <c r="AE36" s="42" t="str">
        <f aca="false">IF($B36="","",IF(O36&lt;&gt;O35,MAX(V36-S36,V36),MAX(V36,AE35)))</f>
        <v/>
      </c>
      <c r="AF36" s="42" t="str">
        <f aca="false">IF($B36="","",V36-AE36)</f>
        <v/>
      </c>
      <c r="AG36" s="36" t="str">
        <f aca="false">IF($B36="","",IF(O36&lt;&gt;O35,IF(T36="G",1,-1),IF(T36="G",IF(N(AG35)&gt;0,AG35+1,1),IF(N(AG35)&lt;0,AG35-1,-1))))</f>
        <v/>
      </c>
    </row>
    <row r="37" customFormat="false" ht="15" hidden="false" customHeight="false" outlineLevel="0" collapsed="false">
      <c r="A37" s="36" t="str">
        <f aca="false">IF(B37="","",ROW()-6)</f>
        <v/>
      </c>
      <c r="B37" s="37"/>
      <c r="C37" s="38"/>
      <c r="D37" s="38"/>
      <c r="E37" s="39"/>
      <c r="F37" s="39"/>
      <c r="G37" s="39"/>
      <c r="H37" s="40"/>
      <c r="I37" s="40"/>
      <c r="J37" s="40"/>
      <c r="K37" s="40"/>
      <c r="L37" s="39"/>
      <c r="M37" s="40"/>
      <c r="N37" s="40"/>
      <c r="O37" s="36" t="str">
        <f aca="false">IF($B37="","",INT((A37-1)/Parametros!$C$10)+1)</f>
        <v/>
      </c>
      <c r="P37" s="41" t="str">
        <f aca="false">IF($B37="","",IF(OR(C37="",D37=""),"",ROUND((D37-C37)*1440,0)))</f>
        <v/>
      </c>
      <c r="Q37" s="42" t="str">
        <f aca="false">IF($B37="","",I37*VLOOKUP(E37,Parametros!$B$18:$D$24,2,FALSE()))</f>
        <v/>
      </c>
      <c r="R37" s="42" t="str">
        <f aca="false">IF($B37="","",G37*VLOOKUP(E37,Parametros!$B$18:$D$24,3,FALSE()))</f>
        <v/>
      </c>
      <c r="S37" s="42" t="str">
        <f aca="false">IF($B37="","",Q37-R37)</f>
        <v/>
      </c>
      <c r="T37" s="43" t="str">
        <f aca="false">IF($B37="","",IF(S37&gt;0,"G","P"))</f>
        <v/>
      </c>
      <c r="U37" s="44" t="str">
        <f aca="false">IF($B37="","",S37/Parametros!$C$8)</f>
        <v/>
      </c>
      <c r="V37" s="42" t="str">
        <f aca="false">IF($B37="","",Parametros!$C$6+SUM($S$7:S37))</f>
        <v/>
      </c>
      <c r="W37" s="42" t="str">
        <f aca="false">IF($B37="","",MAX(V37,W36))</f>
        <v/>
      </c>
      <c r="X37" s="42" t="str">
        <f aca="false">IF($B37="","",V37-W37)</f>
        <v/>
      </c>
      <c r="Y37" s="45" t="str">
        <f aca="false">IF($B37="","",X37/W37)</f>
        <v/>
      </c>
      <c r="Z37" s="36" t="str">
        <f aca="false">IF($B37="","",IF(T37="G",IF(N(Z36)&gt;0,Z36+1,1),IF(N(Z36)&lt;0,Z36-1,-1)))</f>
        <v/>
      </c>
      <c r="AA37" s="46" t="str">
        <f aca="false">IF($B37="","",B37-WEEKDAY(B37,2)+1)</f>
        <v/>
      </c>
      <c r="AB37" s="47" t="str">
        <f aca="false">IF($B37="","",DATE(YEAR(B37),MONTH(B37),1))</f>
        <v/>
      </c>
      <c r="AC37" s="41" t="str">
        <f aca="false">IF($B37="","",CHOOSE(WEEKDAY(B37,2),"Lunes","Martes","Miércoles","Jueves","Viernes","Sábado","Domingo"))</f>
        <v/>
      </c>
      <c r="AD37" s="36" t="str">
        <f aca="false">IF($B37="","",HOUR(C37))</f>
        <v/>
      </c>
      <c r="AE37" s="42" t="str">
        <f aca="false">IF($B37="","",IF(O37&lt;&gt;O36,MAX(V37-S37,V37),MAX(V37,AE36)))</f>
        <v/>
      </c>
      <c r="AF37" s="42" t="str">
        <f aca="false">IF($B37="","",V37-AE37)</f>
        <v/>
      </c>
      <c r="AG37" s="36" t="str">
        <f aca="false">IF($B37="","",IF(O37&lt;&gt;O36,IF(T37="G",1,-1),IF(T37="G",IF(N(AG36)&gt;0,AG36+1,1),IF(N(AG36)&lt;0,AG36-1,-1))))</f>
        <v/>
      </c>
    </row>
    <row r="38" customFormat="false" ht="15" hidden="false" customHeight="false" outlineLevel="0" collapsed="false">
      <c r="A38" s="36" t="str">
        <f aca="false">IF(B38="","",ROW()-6)</f>
        <v/>
      </c>
      <c r="B38" s="37"/>
      <c r="C38" s="38"/>
      <c r="D38" s="38"/>
      <c r="E38" s="39"/>
      <c r="F38" s="39"/>
      <c r="G38" s="39"/>
      <c r="H38" s="40"/>
      <c r="I38" s="40"/>
      <c r="J38" s="40"/>
      <c r="K38" s="40"/>
      <c r="L38" s="39"/>
      <c r="M38" s="40"/>
      <c r="N38" s="40"/>
      <c r="O38" s="36" t="str">
        <f aca="false">IF($B38="","",INT((A38-1)/Parametros!$C$10)+1)</f>
        <v/>
      </c>
      <c r="P38" s="41" t="str">
        <f aca="false">IF($B38="","",IF(OR(C38="",D38=""),"",ROUND((D38-C38)*1440,0)))</f>
        <v/>
      </c>
      <c r="Q38" s="42" t="str">
        <f aca="false">IF($B38="","",I38*VLOOKUP(E38,Parametros!$B$18:$D$24,2,FALSE()))</f>
        <v/>
      </c>
      <c r="R38" s="42" t="str">
        <f aca="false">IF($B38="","",G38*VLOOKUP(E38,Parametros!$B$18:$D$24,3,FALSE()))</f>
        <v/>
      </c>
      <c r="S38" s="42" t="str">
        <f aca="false">IF($B38="","",Q38-R38)</f>
        <v/>
      </c>
      <c r="T38" s="43" t="str">
        <f aca="false">IF($B38="","",IF(S38&gt;0,"G","P"))</f>
        <v/>
      </c>
      <c r="U38" s="44" t="str">
        <f aca="false">IF($B38="","",S38/Parametros!$C$8)</f>
        <v/>
      </c>
      <c r="V38" s="42" t="str">
        <f aca="false">IF($B38="","",Parametros!$C$6+SUM($S$7:S38))</f>
        <v/>
      </c>
      <c r="W38" s="42" t="str">
        <f aca="false">IF($B38="","",MAX(V38,W37))</f>
        <v/>
      </c>
      <c r="X38" s="42" t="str">
        <f aca="false">IF($B38="","",V38-W38)</f>
        <v/>
      </c>
      <c r="Y38" s="45" t="str">
        <f aca="false">IF($B38="","",X38/W38)</f>
        <v/>
      </c>
      <c r="Z38" s="36" t="str">
        <f aca="false">IF($B38="","",IF(T38="G",IF(N(Z37)&gt;0,Z37+1,1),IF(N(Z37)&lt;0,Z37-1,-1)))</f>
        <v/>
      </c>
      <c r="AA38" s="46" t="str">
        <f aca="false">IF($B38="","",B38-WEEKDAY(B38,2)+1)</f>
        <v/>
      </c>
      <c r="AB38" s="47" t="str">
        <f aca="false">IF($B38="","",DATE(YEAR(B38),MONTH(B38),1))</f>
        <v/>
      </c>
      <c r="AC38" s="41" t="str">
        <f aca="false">IF($B38="","",CHOOSE(WEEKDAY(B38,2),"Lunes","Martes","Miércoles","Jueves","Viernes","Sábado","Domingo"))</f>
        <v/>
      </c>
      <c r="AD38" s="36" t="str">
        <f aca="false">IF($B38="","",HOUR(C38))</f>
        <v/>
      </c>
      <c r="AE38" s="42" t="str">
        <f aca="false">IF($B38="","",IF(O38&lt;&gt;O37,MAX(V38-S38,V38),MAX(V38,AE37)))</f>
        <v/>
      </c>
      <c r="AF38" s="42" t="str">
        <f aca="false">IF($B38="","",V38-AE38)</f>
        <v/>
      </c>
      <c r="AG38" s="36" t="str">
        <f aca="false">IF($B38="","",IF(O38&lt;&gt;O37,IF(T38="G",1,-1),IF(T38="G",IF(N(AG37)&gt;0,AG37+1,1),IF(N(AG37)&lt;0,AG37-1,-1))))</f>
        <v/>
      </c>
    </row>
    <row r="39" customFormat="false" ht="15" hidden="false" customHeight="false" outlineLevel="0" collapsed="false">
      <c r="A39" s="36" t="str">
        <f aca="false">IF(B39="","",ROW()-6)</f>
        <v/>
      </c>
      <c r="B39" s="37"/>
      <c r="C39" s="38"/>
      <c r="D39" s="38"/>
      <c r="E39" s="39"/>
      <c r="F39" s="39"/>
      <c r="G39" s="39"/>
      <c r="H39" s="40"/>
      <c r="I39" s="40"/>
      <c r="J39" s="40"/>
      <c r="K39" s="40"/>
      <c r="L39" s="39"/>
      <c r="M39" s="40"/>
      <c r="N39" s="40"/>
      <c r="O39" s="36" t="str">
        <f aca="false">IF($B39="","",INT((A39-1)/Parametros!$C$10)+1)</f>
        <v/>
      </c>
      <c r="P39" s="41" t="str">
        <f aca="false">IF($B39="","",IF(OR(C39="",D39=""),"",ROUND((D39-C39)*1440,0)))</f>
        <v/>
      </c>
      <c r="Q39" s="42" t="str">
        <f aca="false">IF($B39="","",I39*VLOOKUP(E39,Parametros!$B$18:$D$24,2,FALSE()))</f>
        <v/>
      </c>
      <c r="R39" s="42" t="str">
        <f aca="false">IF($B39="","",G39*VLOOKUP(E39,Parametros!$B$18:$D$24,3,FALSE()))</f>
        <v/>
      </c>
      <c r="S39" s="42" t="str">
        <f aca="false">IF($B39="","",Q39-R39)</f>
        <v/>
      </c>
      <c r="T39" s="43" t="str">
        <f aca="false">IF($B39="","",IF(S39&gt;0,"G","P"))</f>
        <v/>
      </c>
      <c r="U39" s="44" t="str">
        <f aca="false">IF($B39="","",S39/Parametros!$C$8)</f>
        <v/>
      </c>
      <c r="V39" s="42" t="str">
        <f aca="false">IF($B39="","",Parametros!$C$6+SUM($S$7:S39))</f>
        <v/>
      </c>
      <c r="W39" s="42" t="str">
        <f aca="false">IF($B39="","",MAX(V39,W38))</f>
        <v/>
      </c>
      <c r="X39" s="42" t="str">
        <f aca="false">IF($B39="","",V39-W39)</f>
        <v/>
      </c>
      <c r="Y39" s="45" t="str">
        <f aca="false">IF($B39="","",X39/W39)</f>
        <v/>
      </c>
      <c r="Z39" s="36" t="str">
        <f aca="false">IF($B39="","",IF(T39="G",IF(N(Z38)&gt;0,Z38+1,1),IF(N(Z38)&lt;0,Z38-1,-1)))</f>
        <v/>
      </c>
      <c r="AA39" s="46" t="str">
        <f aca="false">IF($B39="","",B39-WEEKDAY(B39,2)+1)</f>
        <v/>
      </c>
      <c r="AB39" s="47" t="str">
        <f aca="false">IF($B39="","",DATE(YEAR(B39),MONTH(B39),1))</f>
        <v/>
      </c>
      <c r="AC39" s="41" t="str">
        <f aca="false">IF($B39="","",CHOOSE(WEEKDAY(B39,2),"Lunes","Martes","Miércoles","Jueves","Viernes","Sábado","Domingo"))</f>
        <v/>
      </c>
      <c r="AD39" s="36" t="str">
        <f aca="false">IF($B39="","",HOUR(C39))</f>
        <v/>
      </c>
      <c r="AE39" s="42" t="str">
        <f aca="false">IF($B39="","",IF(O39&lt;&gt;O38,MAX(V39-S39,V39),MAX(V39,AE38)))</f>
        <v/>
      </c>
      <c r="AF39" s="42" t="str">
        <f aca="false">IF($B39="","",V39-AE39)</f>
        <v/>
      </c>
      <c r="AG39" s="36" t="str">
        <f aca="false">IF($B39="","",IF(O39&lt;&gt;O38,IF(T39="G",1,-1),IF(T39="G",IF(N(AG38)&gt;0,AG38+1,1),IF(N(AG38)&lt;0,AG38-1,-1))))</f>
        <v/>
      </c>
    </row>
    <row r="40" customFormat="false" ht="15" hidden="false" customHeight="false" outlineLevel="0" collapsed="false">
      <c r="A40" s="36" t="str">
        <f aca="false">IF(B40="","",ROW()-6)</f>
        <v/>
      </c>
      <c r="B40" s="37"/>
      <c r="C40" s="38"/>
      <c r="D40" s="38"/>
      <c r="E40" s="39"/>
      <c r="F40" s="39"/>
      <c r="G40" s="39"/>
      <c r="H40" s="40"/>
      <c r="I40" s="40"/>
      <c r="J40" s="40"/>
      <c r="K40" s="40"/>
      <c r="L40" s="39"/>
      <c r="M40" s="40"/>
      <c r="N40" s="40"/>
      <c r="O40" s="36" t="str">
        <f aca="false">IF($B40="","",INT((A40-1)/Parametros!$C$10)+1)</f>
        <v/>
      </c>
      <c r="P40" s="41" t="str">
        <f aca="false">IF($B40="","",IF(OR(C40="",D40=""),"",ROUND((D40-C40)*1440,0)))</f>
        <v/>
      </c>
      <c r="Q40" s="42" t="str">
        <f aca="false">IF($B40="","",I40*VLOOKUP(E40,Parametros!$B$18:$D$24,2,FALSE()))</f>
        <v/>
      </c>
      <c r="R40" s="42" t="str">
        <f aca="false">IF($B40="","",G40*VLOOKUP(E40,Parametros!$B$18:$D$24,3,FALSE()))</f>
        <v/>
      </c>
      <c r="S40" s="42" t="str">
        <f aca="false">IF($B40="","",Q40-R40)</f>
        <v/>
      </c>
      <c r="T40" s="43" t="str">
        <f aca="false">IF($B40="","",IF(S40&gt;0,"G","P"))</f>
        <v/>
      </c>
      <c r="U40" s="44" t="str">
        <f aca="false">IF($B40="","",S40/Parametros!$C$8)</f>
        <v/>
      </c>
      <c r="V40" s="42" t="str">
        <f aca="false">IF($B40="","",Parametros!$C$6+SUM($S$7:S40))</f>
        <v/>
      </c>
      <c r="W40" s="42" t="str">
        <f aca="false">IF($B40="","",MAX(V40,W39))</f>
        <v/>
      </c>
      <c r="X40" s="42" t="str">
        <f aca="false">IF($B40="","",V40-W40)</f>
        <v/>
      </c>
      <c r="Y40" s="45" t="str">
        <f aca="false">IF($B40="","",X40/W40)</f>
        <v/>
      </c>
      <c r="Z40" s="36" t="str">
        <f aca="false">IF($B40="","",IF(T40="G",IF(N(Z39)&gt;0,Z39+1,1),IF(N(Z39)&lt;0,Z39-1,-1)))</f>
        <v/>
      </c>
      <c r="AA40" s="46" t="str">
        <f aca="false">IF($B40="","",B40-WEEKDAY(B40,2)+1)</f>
        <v/>
      </c>
      <c r="AB40" s="47" t="str">
        <f aca="false">IF($B40="","",DATE(YEAR(B40),MONTH(B40),1))</f>
        <v/>
      </c>
      <c r="AC40" s="41" t="str">
        <f aca="false">IF($B40="","",CHOOSE(WEEKDAY(B40,2),"Lunes","Martes","Miércoles","Jueves","Viernes","Sábado","Domingo"))</f>
        <v/>
      </c>
      <c r="AD40" s="36" t="str">
        <f aca="false">IF($B40="","",HOUR(C40))</f>
        <v/>
      </c>
      <c r="AE40" s="42" t="str">
        <f aca="false">IF($B40="","",IF(O40&lt;&gt;O39,MAX(V40-S40,V40),MAX(V40,AE39)))</f>
        <v/>
      </c>
      <c r="AF40" s="42" t="str">
        <f aca="false">IF($B40="","",V40-AE40)</f>
        <v/>
      </c>
      <c r="AG40" s="36" t="str">
        <f aca="false">IF($B40="","",IF(O40&lt;&gt;O39,IF(T40="G",1,-1),IF(T40="G",IF(N(AG39)&gt;0,AG39+1,1),IF(N(AG39)&lt;0,AG39-1,-1))))</f>
        <v/>
      </c>
    </row>
    <row r="41" customFormat="false" ht="15" hidden="false" customHeight="false" outlineLevel="0" collapsed="false">
      <c r="A41" s="36" t="str">
        <f aca="false">IF(B41="","",ROW()-6)</f>
        <v/>
      </c>
      <c r="B41" s="37"/>
      <c r="C41" s="38"/>
      <c r="D41" s="38"/>
      <c r="E41" s="39"/>
      <c r="F41" s="39"/>
      <c r="G41" s="39"/>
      <c r="H41" s="40"/>
      <c r="I41" s="40"/>
      <c r="J41" s="40"/>
      <c r="K41" s="40"/>
      <c r="L41" s="39"/>
      <c r="M41" s="40"/>
      <c r="N41" s="40"/>
      <c r="O41" s="36" t="str">
        <f aca="false">IF($B41="","",INT((A41-1)/Parametros!$C$10)+1)</f>
        <v/>
      </c>
      <c r="P41" s="41" t="str">
        <f aca="false">IF($B41="","",IF(OR(C41="",D41=""),"",ROUND((D41-C41)*1440,0)))</f>
        <v/>
      </c>
      <c r="Q41" s="42" t="str">
        <f aca="false">IF($B41="","",I41*VLOOKUP(E41,Parametros!$B$18:$D$24,2,FALSE()))</f>
        <v/>
      </c>
      <c r="R41" s="42" t="str">
        <f aca="false">IF($B41="","",G41*VLOOKUP(E41,Parametros!$B$18:$D$24,3,FALSE()))</f>
        <v/>
      </c>
      <c r="S41" s="42" t="str">
        <f aca="false">IF($B41="","",Q41-R41)</f>
        <v/>
      </c>
      <c r="T41" s="43" t="str">
        <f aca="false">IF($B41="","",IF(S41&gt;0,"G","P"))</f>
        <v/>
      </c>
      <c r="U41" s="44" t="str">
        <f aca="false">IF($B41="","",S41/Parametros!$C$8)</f>
        <v/>
      </c>
      <c r="V41" s="42" t="str">
        <f aca="false">IF($B41="","",Parametros!$C$6+SUM($S$7:S41))</f>
        <v/>
      </c>
      <c r="W41" s="42" t="str">
        <f aca="false">IF($B41="","",MAX(V41,W40))</f>
        <v/>
      </c>
      <c r="X41" s="42" t="str">
        <f aca="false">IF($B41="","",V41-W41)</f>
        <v/>
      </c>
      <c r="Y41" s="45" t="str">
        <f aca="false">IF($B41="","",X41/W41)</f>
        <v/>
      </c>
      <c r="Z41" s="36" t="str">
        <f aca="false">IF($B41="","",IF(T41="G",IF(N(Z40)&gt;0,Z40+1,1),IF(N(Z40)&lt;0,Z40-1,-1)))</f>
        <v/>
      </c>
      <c r="AA41" s="46" t="str">
        <f aca="false">IF($B41="","",B41-WEEKDAY(B41,2)+1)</f>
        <v/>
      </c>
      <c r="AB41" s="47" t="str">
        <f aca="false">IF($B41="","",DATE(YEAR(B41),MONTH(B41),1))</f>
        <v/>
      </c>
      <c r="AC41" s="41" t="str">
        <f aca="false">IF($B41="","",CHOOSE(WEEKDAY(B41,2),"Lunes","Martes","Miércoles","Jueves","Viernes","Sábado","Domingo"))</f>
        <v/>
      </c>
      <c r="AD41" s="36" t="str">
        <f aca="false">IF($B41="","",HOUR(C41))</f>
        <v/>
      </c>
      <c r="AE41" s="42" t="str">
        <f aca="false">IF($B41="","",IF(O41&lt;&gt;O40,MAX(V41-S41,V41),MAX(V41,AE40)))</f>
        <v/>
      </c>
      <c r="AF41" s="42" t="str">
        <f aca="false">IF($B41="","",V41-AE41)</f>
        <v/>
      </c>
      <c r="AG41" s="36" t="str">
        <f aca="false">IF($B41="","",IF(O41&lt;&gt;O40,IF(T41="G",1,-1),IF(T41="G",IF(N(AG40)&gt;0,AG40+1,1),IF(N(AG40)&lt;0,AG40-1,-1))))</f>
        <v/>
      </c>
    </row>
    <row r="42" customFormat="false" ht="15" hidden="false" customHeight="false" outlineLevel="0" collapsed="false">
      <c r="A42" s="36" t="str">
        <f aca="false">IF(B42="","",ROW()-6)</f>
        <v/>
      </c>
      <c r="B42" s="37"/>
      <c r="C42" s="38"/>
      <c r="D42" s="38"/>
      <c r="E42" s="39"/>
      <c r="F42" s="39"/>
      <c r="G42" s="39"/>
      <c r="H42" s="40"/>
      <c r="I42" s="40"/>
      <c r="J42" s="40"/>
      <c r="K42" s="40"/>
      <c r="L42" s="39"/>
      <c r="M42" s="40"/>
      <c r="N42" s="40"/>
      <c r="O42" s="36" t="str">
        <f aca="false">IF($B42="","",INT((A42-1)/Parametros!$C$10)+1)</f>
        <v/>
      </c>
      <c r="P42" s="41" t="str">
        <f aca="false">IF($B42="","",IF(OR(C42="",D42=""),"",ROUND((D42-C42)*1440,0)))</f>
        <v/>
      </c>
      <c r="Q42" s="42" t="str">
        <f aca="false">IF($B42="","",I42*VLOOKUP(E42,Parametros!$B$18:$D$24,2,FALSE()))</f>
        <v/>
      </c>
      <c r="R42" s="42" t="str">
        <f aca="false">IF($B42="","",G42*VLOOKUP(E42,Parametros!$B$18:$D$24,3,FALSE()))</f>
        <v/>
      </c>
      <c r="S42" s="42" t="str">
        <f aca="false">IF($B42="","",Q42-R42)</f>
        <v/>
      </c>
      <c r="T42" s="43" t="str">
        <f aca="false">IF($B42="","",IF(S42&gt;0,"G","P"))</f>
        <v/>
      </c>
      <c r="U42" s="44" t="str">
        <f aca="false">IF($B42="","",S42/Parametros!$C$8)</f>
        <v/>
      </c>
      <c r="V42" s="42" t="str">
        <f aca="false">IF($B42="","",Parametros!$C$6+SUM($S$7:S42))</f>
        <v/>
      </c>
      <c r="W42" s="42" t="str">
        <f aca="false">IF($B42="","",MAX(V42,W41))</f>
        <v/>
      </c>
      <c r="X42" s="42" t="str">
        <f aca="false">IF($B42="","",V42-W42)</f>
        <v/>
      </c>
      <c r="Y42" s="45" t="str">
        <f aca="false">IF($B42="","",X42/W42)</f>
        <v/>
      </c>
      <c r="Z42" s="36" t="str">
        <f aca="false">IF($B42="","",IF(T42="G",IF(N(Z41)&gt;0,Z41+1,1),IF(N(Z41)&lt;0,Z41-1,-1)))</f>
        <v/>
      </c>
      <c r="AA42" s="46" t="str">
        <f aca="false">IF($B42="","",B42-WEEKDAY(B42,2)+1)</f>
        <v/>
      </c>
      <c r="AB42" s="47" t="str">
        <f aca="false">IF($B42="","",DATE(YEAR(B42),MONTH(B42),1))</f>
        <v/>
      </c>
      <c r="AC42" s="41" t="str">
        <f aca="false">IF($B42="","",CHOOSE(WEEKDAY(B42,2),"Lunes","Martes","Miércoles","Jueves","Viernes","Sábado","Domingo"))</f>
        <v/>
      </c>
      <c r="AD42" s="36" t="str">
        <f aca="false">IF($B42="","",HOUR(C42))</f>
        <v/>
      </c>
      <c r="AE42" s="42" t="str">
        <f aca="false">IF($B42="","",IF(O42&lt;&gt;O41,MAX(V42-S42,V42),MAX(V42,AE41)))</f>
        <v/>
      </c>
      <c r="AF42" s="42" t="str">
        <f aca="false">IF($B42="","",V42-AE42)</f>
        <v/>
      </c>
      <c r="AG42" s="36" t="str">
        <f aca="false">IF($B42="","",IF(O42&lt;&gt;O41,IF(T42="G",1,-1),IF(T42="G",IF(N(AG41)&gt;0,AG41+1,1),IF(N(AG41)&lt;0,AG41-1,-1))))</f>
        <v/>
      </c>
    </row>
    <row r="43" customFormat="false" ht="15" hidden="false" customHeight="false" outlineLevel="0" collapsed="false">
      <c r="A43" s="36" t="str">
        <f aca="false">IF(B43="","",ROW()-6)</f>
        <v/>
      </c>
      <c r="B43" s="37"/>
      <c r="C43" s="38"/>
      <c r="D43" s="38"/>
      <c r="E43" s="39"/>
      <c r="F43" s="39"/>
      <c r="G43" s="39"/>
      <c r="H43" s="40"/>
      <c r="I43" s="40"/>
      <c r="J43" s="40"/>
      <c r="K43" s="40"/>
      <c r="L43" s="39"/>
      <c r="M43" s="40"/>
      <c r="N43" s="40"/>
      <c r="O43" s="36" t="str">
        <f aca="false">IF($B43="","",INT((A43-1)/Parametros!$C$10)+1)</f>
        <v/>
      </c>
      <c r="P43" s="41" t="str">
        <f aca="false">IF($B43="","",IF(OR(C43="",D43=""),"",ROUND((D43-C43)*1440,0)))</f>
        <v/>
      </c>
      <c r="Q43" s="42" t="str">
        <f aca="false">IF($B43="","",I43*VLOOKUP(E43,Parametros!$B$18:$D$24,2,FALSE()))</f>
        <v/>
      </c>
      <c r="R43" s="42" t="str">
        <f aca="false">IF($B43="","",G43*VLOOKUP(E43,Parametros!$B$18:$D$24,3,FALSE()))</f>
        <v/>
      </c>
      <c r="S43" s="42" t="str">
        <f aca="false">IF($B43="","",Q43-R43)</f>
        <v/>
      </c>
      <c r="T43" s="43" t="str">
        <f aca="false">IF($B43="","",IF(S43&gt;0,"G","P"))</f>
        <v/>
      </c>
      <c r="U43" s="44" t="str">
        <f aca="false">IF($B43="","",S43/Parametros!$C$8)</f>
        <v/>
      </c>
      <c r="V43" s="42" t="str">
        <f aca="false">IF($B43="","",Parametros!$C$6+SUM($S$7:S43))</f>
        <v/>
      </c>
      <c r="W43" s="42" t="str">
        <f aca="false">IF($B43="","",MAX(V43,W42))</f>
        <v/>
      </c>
      <c r="X43" s="42" t="str">
        <f aca="false">IF($B43="","",V43-W43)</f>
        <v/>
      </c>
      <c r="Y43" s="45" t="str">
        <f aca="false">IF($B43="","",X43/W43)</f>
        <v/>
      </c>
      <c r="Z43" s="36" t="str">
        <f aca="false">IF($B43="","",IF(T43="G",IF(N(Z42)&gt;0,Z42+1,1),IF(N(Z42)&lt;0,Z42-1,-1)))</f>
        <v/>
      </c>
      <c r="AA43" s="46" t="str">
        <f aca="false">IF($B43="","",B43-WEEKDAY(B43,2)+1)</f>
        <v/>
      </c>
      <c r="AB43" s="47" t="str">
        <f aca="false">IF($B43="","",DATE(YEAR(B43),MONTH(B43),1))</f>
        <v/>
      </c>
      <c r="AC43" s="41" t="str">
        <f aca="false">IF($B43="","",CHOOSE(WEEKDAY(B43,2),"Lunes","Martes","Miércoles","Jueves","Viernes","Sábado","Domingo"))</f>
        <v/>
      </c>
      <c r="AD43" s="36" t="str">
        <f aca="false">IF($B43="","",HOUR(C43))</f>
        <v/>
      </c>
      <c r="AE43" s="42" t="str">
        <f aca="false">IF($B43="","",IF(O43&lt;&gt;O42,MAX(V43-S43,V43),MAX(V43,AE42)))</f>
        <v/>
      </c>
      <c r="AF43" s="42" t="str">
        <f aca="false">IF($B43="","",V43-AE43)</f>
        <v/>
      </c>
      <c r="AG43" s="36" t="str">
        <f aca="false">IF($B43="","",IF(O43&lt;&gt;O42,IF(T43="G",1,-1),IF(T43="G",IF(N(AG42)&gt;0,AG42+1,1),IF(N(AG42)&lt;0,AG42-1,-1))))</f>
        <v/>
      </c>
    </row>
    <row r="44" customFormat="false" ht="15" hidden="false" customHeight="false" outlineLevel="0" collapsed="false">
      <c r="A44" s="36" t="str">
        <f aca="false">IF(B44="","",ROW()-6)</f>
        <v/>
      </c>
      <c r="B44" s="37"/>
      <c r="C44" s="38"/>
      <c r="D44" s="38"/>
      <c r="E44" s="39"/>
      <c r="F44" s="39"/>
      <c r="G44" s="39"/>
      <c r="H44" s="40"/>
      <c r="I44" s="40"/>
      <c r="J44" s="40"/>
      <c r="K44" s="40"/>
      <c r="L44" s="39"/>
      <c r="M44" s="40"/>
      <c r="N44" s="40"/>
      <c r="O44" s="36" t="str">
        <f aca="false">IF($B44="","",INT((A44-1)/Parametros!$C$10)+1)</f>
        <v/>
      </c>
      <c r="P44" s="41" t="str">
        <f aca="false">IF($B44="","",IF(OR(C44="",D44=""),"",ROUND((D44-C44)*1440,0)))</f>
        <v/>
      </c>
      <c r="Q44" s="42" t="str">
        <f aca="false">IF($B44="","",I44*VLOOKUP(E44,Parametros!$B$18:$D$24,2,FALSE()))</f>
        <v/>
      </c>
      <c r="R44" s="42" t="str">
        <f aca="false">IF($B44="","",G44*VLOOKUP(E44,Parametros!$B$18:$D$24,3,FALSE()))</f>
        <v/>
      </c>
      <c r="S44" s="42" t="str">
        <f aca="false">IF($B44="","",Q44-R44)</f>
        <v/>
      </c>
      <c r="T44" s="43" t="str">
        <f aca="false">IF($B44="","",IF(S44&gt;0,"G","P"))</f>
        <v/>
      </c>
      <c r="U44" s="44" t="str">
        <f aca="false">IF($B44="","",S44/Parametros!$C$8)</f>
        <v/>
      </c>
      <c r="V44" s="42" t="str">
        <f aca="false">IF($B44="","",Parametros!$C$6+SUM($S$7:S44))</f>
        <v/>
      </c>
      <c r="W44" s="42" t="str">
        <f aca="false">IF($B44="","",MAX(V44,W43))</f>
        <v/>
      </c>
      <c r="X44" s="42" t="str">
        <f aca="false">IF($B44="","",V44-W44)</f>
        <v/>
      </c>
      <c r="Y44" s="45" t="str">
        <f aca="false">IF($B44="","",X44/W44)</f>
        <v/>
      </c>
      <c r="Z44" s="36" t="str">
        <f aca="false">IF($B44="","",IF(T44="G",IF(N(Z43)&gt;0,Z43+1,1),IF(N(Z43)&lt;0,Z43-1,-1)))</f>
        <v/>
      </c>
      <c r="AA44" s="46" t="str">
        <f aca="false">IF($B44="","",B44-WEEKDAY(B44,2)+1)</f>
        <v/>
      </c>
      <c r="AB44" s="47" t="str">
        <f aca="false">IF($B44="","",DATE(YEAR(B44),MONTH(B44),1))</f>
        <v/>
      </c>
      <c r="AC44" s="41" t="str">
        <f aca="false">IF($B44="","",CHOOSE(WEEKDAY(B44,2),"Lunes","Martes","Miércoles","Jueves","Viernes","Sábado","Domingo"))</f>
        <v/>
      </c>
      <c r="AD44" s="36" t="str">
        <f aca="false">IF($B44="","",HOUR(C44))</f>
        <v/>
      </c>
      <c r="AE44" s="42" t="str">
        <f aca="false">IF($B44="","",IF(O44&lt;&gt;O43,MAX(V44-S44,V44),MAX(V44,AE43)))</f>
        <v/>
      </c>
      <c r="AF44" s="42" t="str">
        <f aca="false">IF($B44="","",V44-AE44)</f>
        <v/>
      </c>
      <c r="AG44" s="36" t="str">
        <f aca="false">IF($B44="","",IF(O44&lt;&gt;O43,IF(T44="G",1,-1),IF(T44="G",IF(N(AG43)&gt;0,AG43+1,1),IF(N(AG43)&lt;0,AG43-1,-1))))</f>
        <v/>
      </c>
    </row>
    <row r="45" customFormat="false" ht="15" hidden="false" customHeight="false" outlineLevel="0" collapsed="false">
      <c r="A45" s="36" t="str">
        <f aca="false">IF(B45="","",ROW()-6)</f>
        <v/>
      </c>
      <c r="B45" s="37"/>
      <c r="C45" s="38"/>
      <c r="D45" s="38"/>
      <c r="E45" s="39"/>
      <c r="F45" s="39"/>
      <c r="G45" s="39"/>
      <c r="H45" s="40"/>
      <c r="I45" s="40"/>
      <c r="J45" s="40"/>
      <c r="K45" s="40"/>
      <c r="L45" s="39"/>
      <c r="M45" s="40"/>
      <c r="N45" s="40"/>
      <c r="O45" s="36" t="str">
        <f aca="false">IF($B45="","",INT((A45-1)/Parametros!$C$10)+1)</f>
        <v/>
      </c>
      <c r="P45" s="41" t="str">
        <f aca="false">IF($B45="","",IF(OR(C45="",D45=""),"",ROUND((D45-C45)*1440,0)))</f>
        <v/>
      </c>
      <c r="Q45" s="42" t="str">
        <f aca="false">IF($B45="","",I45*VLOOKUP(E45,Parametros!$B$18:$D$24,2,FALSE()))</f>
        <v/>
      </c>
      <c r="R45" s="42" t="str">
        <f aca="false">IF($B45="","",G45*VLOOKUP(E45,Parametros!$B$18:$D$24,3,FALSE()))</f>
        <v/>
      </c>
      <c r="S45" s="42" t="str">
        <f aca="false">IF($B45="","",Q45-R45)</f>
        <v/>
      </c>
      <c r="T45" s="43" t="str">
        <f aca="false">IF($B45="","",IF(S45&gt;0,"G","P"))</f>
        <v/>
      </c>
      <c r="U45" s="44" t="str">
        <f aca="false">IF($B45="","",S45/Parametros!$C$8)</f>
        <v/>
      </c>
      <c r="V45" s="42" t="str">
        <f aca="false">IF($B45="","",Parametros!$C$6+SUM($S$7:S45))</f>
        <v/>
      </c>
      <c r="W45" s="42" t="str">
        <f aca="false">IF($B45="","",MAX(V45,W44))</f>
        <v/>
      </c>
      <c r="X45" s="42" t="str">
        <f aca="false">IF($B45="","",V45-W45)</f>
        <v/>
      </c>
      <c r="Y45" s="45" t="str">
        <f aca="false">IF($B45="","",X45/W45)</f>
        <v/>
      </c>
      <c r="Z45" s="36" t="str">
        <f aca="false">IF($B45="","",IF(T45="G",IF(N(Z44)&gt;0,Z44+1,1),IF(N(Z44)&lt;0,Z44-1,-1)))</f>
        <v/>
      </c>
      <c r="AA45" s="46" t="str">
        <f aca="false">IF($B45="","",B45-WEEKDAY(B45,2)+1)</f>
        <v/>
      </c>
      <c r="AB45" s="47" t="str">
        <f aca="false">IF($B45="","",DATE(YEAR(B45),MONTH(B45),1))</f>
        <v/>
      </c>
      <c r="AC45" s="41" t="str">
        <f aca="false">IF($B45="","",CHOOSE(WEEKDAY(B45,2),"Lunes","Martes","Miércoles","Jueves","Viernes","Sábado","Domingo"))</f>
        <v/>
      </c>
      <c r="AD45" s="36" t="str">
        <f aca="false">IF($B45="","",HOUR(C45))</f>
        <v/>
      </c>
      <c r="AE45" s="42" t="str">
        <f aca="false">IF($B45="","",IF(O45&lt;&gt;O44,MAX(V45-S45,V45),MAX(V45,AE44)))</f>
        <v/>
      </c>
      <c r="AF45" s="42" t="str">
        <f aca="false">IF($B45="","",V45-AE45)</f>
        <v/>
      </c>
      <c r="AG45" s="36" t="str">
        <f aca="false">IF($B45="","",IF(O45&lt;&gt;O44,IF(T45="G",1,-1),IF(T45="G",IF(N(AG44)&gt;0,AG44+1,1),IF(N(AG44)&lt;0,AG44-1,-1))))</f>
        <v/>
      </c>
    </row>
    <row r="46" customFormat="false" ht="15" hidden="false" customHeight="false" outlineLevel="0" collapsed="false">
      <c r="A46" s="36" t="str">
        <f aca="false">IF(B46="","",ROW()-6)</f>
        <v/>
      </c>
      <c r="B46" s="37"/>
      <c r="C46" s="38"/>
      <c r="D46" s="38"/>
      <c r="E46" s="39"/>
      <c r="F46" s="39"/>
      <c r="G46" s="39"/>
      <c r="H46" s="40"/>
      <c r="I46" s="40"/>
      <c r="J46" s="40"/>
      <c r="K46" s="40"/>
      <c r="L46" s="39"/>
      <c r="M46" s="40"/>
      <c r="N46" s="40"/>
      <c r="O46" s="36" t="str">
        <f aca="false">IF($B46="","",INT((A46-1)/Parametros!$C$10)+1)</f>
        <v/>
      </c>
      <c r="P46" s="41" t="str">
        <f aca="false">IF($B46="","",IF(OR(C46="",D46=""),"",ROUND((D46-C46)*1440,0)))</f>
        <v/>
      </c>
      <c r="Q46" s="42" t="str">
        <f aca="false">IF($B46="","",I46*VLOOKUP(E46,Parametros!$B$18:$D$24,2,FALSE()))</f>
        <v/>
      </c>
      <c r="R46" s="42" t="str">
        <f aca="false">IF($B46="","",G46*VLOOKUP(E46,Parametros!$B$18:$D$24,3,FALSE()))</f>
        <v/>
      </c>
      <c r="S46" s="42" t="str">
        <f aca="false">IF($B46="","",Q46-R46)</f>
        <v/>
      </c>
      <c r="T46" s="43" t="str">
        <f aca="false">IF($B46="","",IF(S46&gt;0,"G","P"))</f>
        <v/>
      </c>
      <c r="U46" s="44" t="str">
        <f aca="false">IF($B46="","",S46/Parametros!$C$8)</f>
        <v/>
      </c>
      <c r="V46" s="42" t="str">
        <f aca="false">IF($B46="","",Parametros!$C$6+SUM($S$7:S46))</f>
        <v/>
      </c>
      <c r="W46" s="42" t="str">
        <f aca="false">IF($B46="","",MAX(V46,W45))</f>
        <v/>
      </c>
      <c r="X46" s="42" t="str">
        <f aca="false">IF($B46="","",V46-W46)</f>
        <v/>
      </c>
      <c r="Y46" s="45" t="str">
        <f aca="false">IF($B46="","",X46/W46)</f>
        <v/>
      </c>
      <c r="Z46" s="36" t="str">
        <f aca="false">IF($B46="","",IF(T46="G",IF(N(Z45)&gt;0,Z45+1,1),IF(N(Z45)&lt;0,Z45-1,-1)))</f>
        <v/>
      </c>
      <c r="AA46" s="46" t="str">
        <f aca="false">IF($B46="","",B46-WEEKDAY(B46,2)+1)</f>
        <v/>
      </c>
      <c r="AB46" s="47" t="str">
        <f aca="false">IF($B46="","",DATE(YEAR(B46),MONTH(B46),1))</f>
        <v/>
      </c>
      <c r="AC46" s="41" t="str">
        <f aca="false">IF($B46="","",CHOOSE(WEEKDAY(B46,2),"Lunes","Martes","Miércoles","Jueves","Viernes","Sábado","Domingo"))</f>
        <v/>
      </c>
      <c r="AD46" s="36" t="str">
        <f aca="false">IF($B46="","",HOUR(C46))</f>
        <v/>
      </c>
      <c r="AE46" s="42" t="str">
        <f aca="false">IF($B46="","",IF(O46&lt;&gt;O45,MAX(V46-S46,V46),MAX(V46,AE45)))</f>
        <v/>
      </c>
      <c r="AF46" s="42" t="str">
        <f aca="false">IF($B46="","",V46-AE46)</f>
        <v/>
      </c>
      <c r="AG46" s="36" t="str">
        <f aca="false">IF($B46="","",IF(O46&lt;&gt;O45,IF(T46="G",1,-1),IF(T46="G",IF(N(AG45)&gt;0,AG45+1,1),IF(N(AG45)&lt;0,AG45-1,-1))))</f>
        <v/>
      </c>
    </row>
    <row r="47" customFormat="false" ht="15" hidden="false" customHeight="false" outlineLevel="0" collapsed="false">
      <c r="A47" s="36" t="str">
        <f aca="false">IF(B47="","",ROW()-6)</f>
        <v/>
      </c>
      <c r="B47" s="37"/>
      <c r="C47" s="38"/>
      <c r="D47" s="38"/>
      <c r="E47" s="39"/>
      <c r="F47" s="39"/>
      <c r="G47" s="39"/>
      <c r="H47" s="40"/>
      <c r="I47" s="40"/>
      <c r="J47" s="40"/>
      <c r="K47" s="40"/>
      <c r="L47" s="39"/>
      <c r="M47" s="40"/>
      <c r="N47" s="40"/>
      <c r="O47" s="36" t="str">
        <f aca="false">IF($B47="","",INT((A47-1)/Parametros!$C$10)+1)</f>
        <v/>
      </c>
      <c r="P47" s="41" t="str">
        <f aca="false">IF($B47="","",IF(OR(C47="",D47=""),"",ROUND((D47-C47)*1440,0)))</f>
        <v/>
      </c>
      <c r="Q47" s="42" t="str">
        <f aca="false">IF($B47="","",I47*VLOOKUP(E47,Parametros!$B$18:$D$24,2,FALSE()))</f>
        <v/>
      </c>
      <c r="R47" s="42" t="str">
        <f aca="false">IF($B47="","",G47*VLOOKUP(E47,Parametros!$B$18:$D$24,3,FALSE()))</f>
        <v/>
      </c>
      <c r="S47" s="42" t="str">
        <f aca="false">IF($B47="","",Q47-R47)</f>
        <v/>
      </c>
      <c r="T47" s="43" t="str">
        <f aca="false">IF($B47="","",IF(S47&gt;0,"G","P"))</f>
        <v/>
      </c>
      <c r="U47" s="44" t="str">
        <f aca="false">IF($B47="","",S47/Parametros!$C$8)</f>
        <v/>
      </c>
      <c r="V47" s="42" t="str">
        <f aca="false">IF($B47="","",Parametros!$C$6+SUM($S$7:S47))</f>
        <v/>
      </c>
      <c r="W47" s="42" t="str">
        <f aca="false">IF($B47="","",MAX(V47,W46))</f>
        <v/>
      </c>
      <c r="X47" s="42" t="str">
        <f aca="false">IF($B47="","",V47-W47)</f>
        <v/>
      </c>
      <c r="Y47" s="45" t="str">
        <f aca="false">IF($B47="","",X47/W47)</f>
        <v/>
      </c>
      <c r="Z47" s="36" t="str">
        <f aca="false">IF($B47="","",IF(T47="G",IF(N(Z46)&gt;0,Z46+1,1),IF(N(Z46)&lt;0,Z46-1,-1)))</f>
        <v/>
      </c>
      <c r="AA47" s="46" t="str">
        <f aca="false">IF($B47="","",B47-WEEKDAY(B47,2)+1)</f>
        <v/>
      </c>
      <c r="AB47" s="47" t="str">
        <f aca="false">IF($B47="","",DATE(YEAR(B47),MONTH(B47),1))</f>
        <v/>
      </c>
      <c r="AC47" s="41" t="str">
        <f aca="false">IF($B47="","",CHOOSE(WEEKDAY(B47,2),"Lunes","Martes","Miércoles","Jueves","Viernes","Sábado","Domingo"))</f>
        <v/>
      </c>
      <c r="AD47" s="36" t="str">
        <f aca="false">IF($B47="","",HOUR(C47))</f>
        <v/>
      </c>
      <c r="AE47" s="42" t="str">
        <f aca="false">IF($B47="","",IF(O47&lt;&gt;O46,MAX(V47-S47,V47),MAX(V47,AE46)))</f>
        <v/>
      </c>
      <c r="AF47" s="42" t="str">
        <f aca="false">IF($B47="","",V47-AE47)</f>
        <v/>
      </c>
      <c r="AG47" s="36" t="str">
        <f aca="false">IF($B47="","",IF(O47&lt;&gt;O46,IF(T47="G",1,-1),IF(T47="G",IF(N(AG46)&gt;0,AG46+1,1),IF(N(AG46)&lt;0,AG46-1,-1))))</f>
        <v/>
      </c>
    </row>
    <row r="48" customFormat="false" ht="15" hidden="false" customHeight="false" outlineLevel="0" collapsed="false">
      <c r="A48" s="36" t="str">
        <f aca="false">IF(B48="","",ROW()-6)</f>
        <v/>
      </c>
      <c r="B48" s="37"/>
      <c r="C48" s="38"/>
      <c r="D48" s="38"/>
      <c r="E48" s="39"/>
      <c r="F48" s="39"/>
      <c r="G48" s="39"/>
      <c r="H48" s="40"/>
      <c r="I48" s="40"/>
      <c r="J48" s="40"/>
      <c r="K48" s="40"/>
      <c r="L48" s="39"/>
      <c r="M48" s="40"/>
      <c r="N48" s="40"/>
      <c r="O48" s="36" t="str">
        <f aca="false">IF($B48="","",INT((A48-1)/Parametros!$C$10)+1)</f>
        <v/>
      </c>
      <c r="P48" s="41" t="str">
        <f aca="false">IF($B48="","",IF(OR(C48="",D48=""),"",ROUND((D48-C48)*1440,0)))</f>
        <v/>
      </c>
      <c r="Q48" s="42" t="str">
        <f aca="false">IF($B48="","",I48*VLOOKUP(E48,Parametros!$B$18:$D$24,2,FALSE()))</f>
        <v/>
      </c>
      <c r="R48" s="42" t="str">
        <f aca="false">IF($B48="","",G48*VLOOKUP(E48,Parametros!$B$18:$D$24,3,FALSE()))</f>
        <v/>
      </c>
      <c r="S48" s="42" t="str">
        <f aca="false">IF($B48="","",Q48-R48)</f>
        <v/>
      </c>
      <c r="T48" s="43" t="str">
        <f aca="false">IF($B48="","",IF(S48&gt;0,"G","P"))</f>
        <v/>
      </c>
      <c r="U48" s="44" t="str">
        <f aca="false">IF($B48="","",S48/Parametros!$C$8)</f>
        <v/>
      </c>
      <c r="V48" s="42" t="str">
        <f aca="false">IF($B48="","",Parametros!$C$6+SUM($S$7:S48))</f>
        <v/>
      </c>
      <c r="W48" s="42" t="str">
        <f aca="false">IF($B48="","",MAX(V48,W47))</f>
        <v/>
      </c>
      <c r="X48" s="42" t="str">
        <f aca="false">IF($B48="","",V48-W48)</f>
        <v/>
      </c>
      <c r="Y48" s="45" t="str">
        <f aca="false">IF($B48="","",X48/W48)</f>
        <v/>
      </c>
      <c r="Z48" s="36" t="str">
        <f aca="false">IF($B48="","",IF(T48="G",IF(N(Z47)&gt;0,Z47+1,1),IF(N(Z47)&lt;0,Z47-1,-1)))</f>
        <v/>
      </c>
      <c r="AA48" s="46" t="str">
        <f aca="false">IF($B48="","",B48-WEEKDAY(B48,2)+1)</f>
        <v/>
      </c>
      <c r="AB48" s="47" t="str">
        <f aca="false">IF($B48="","",DATE(YEAR(B48),MONTH(B48),1))</f>
        <v/>
      </c>
      <c r="AC48" s="41" t="str">
        <f aca="false">IF($B48="","",CHOOSE(WEEKDAY(B48,2),"Lunes","Martes","Miércoles","Jueves","Viernes","Sábado","Domingo"))</f>
        <v/>
      </c>
      <c r="AD48" s="36" t="str">
        <f aca="false">IF($B48="","",HOUR(C48))</f>
        <v/>
      </c>
      <c r="AE48" s="42" t="str">
        <f aca="false">IF($B48="","",IF(O48&lt;&gt;O47,MAX(V48-S48,V48),MAX(V48,AE47)))</f>
        <v/>
      </c>
      <c r="AF48" s="42" t="str">
        <f aca="false">IF($B48="","",V48-AE48)</f>
        <v/>
      </c>
      <c r="AG48" s="36" t="str">
        <f aca="false">IF($B48="","",IF(O48&lt;&gt;O47,IF(T48="G",1,-1),IF(T48="G",IF(N(AG47)&gt;0,AG47+1,1),IF(N(AG47)&lt;0,AG47-1,-1))))</f>
        <v/>
      </c>
    </row>
    <row r="49" customFormat="false" ht="15" hidden="false" customHeight="false" outlineLevel="0" collapsed="false">
      <c r="A49" s="36" t="str">
        <f aca="false">IF(B49="","",ROW()-6)</f>
        <v/>
      </c>
      <c r="B49" s="37"/>
      <c r="C49" s="38"/>
      <c r="D49" s="38"/>
      <c r="E49" s="39"/>
      <c r="F49" s="39"/>
      <c r="G49" s="39"/>
      <c r="H49" s="40"/>
      <c r="I49" s="40"/>
      <c r="J49" s="40"/>
      <c r="K49" s="40"/>
      <c r="L49" s="39"/>
      <c r="M49" s="40"/>
      <c r="N49" s="40"/>
      <c r="O49" s="36" t="str">
        <f aca="false">IF($B49="","",INT((A49-1)/Parametros!$C$10)+1)</f>
        <v/>
      </c>
      <c r="P49" s="41" t="str">
        <f aca="false">IF($B49="","",IF(OR(C49="",D49=""),"",ROUND((D49-C49)*1440,0)))</f>
        <v/>
      </c>
      <c r="Q49" s="42" t="str">
        <f aca="false">IF($B49="","",I49*VLOOKUP(E49,Parametros!$B$18:$D$24,2,FALSE()))</f>
        <v/>
      </c>
      <c r="R49" s="42" t="str">
        <f aca="false">IF($B49="","",G49*VLOOKUP(E49,Parametros!$B$18:$D$24,3,FALSE()))</f>
        <v/>
      </c>
      <c r="S49" s="42" t="str">
        <f aca="false">IF($B49="","",Q49-R49)</f>
        <v/>
      </c>
      <c r="T49" s="43" t="str">
        <f aca="false">IF($B49="","",IF(S49&gt;0,"G","P"))</f>
        <v/>
      </c>
      <c r="U49" s="44" t="str">
        <f aca="false">IF($B49="","",S49/Parametros!$C$8)</f>
        <v/>
      </c>
      <c r="V49" s="42" t="str">
        <f aca="false">IF($B49="","",Parametros!$C$6+SUM($S$7:S49))</f>
        <v/>
      </c>
      <c r="W49" s="42" t="str">
        <f aca="false">IF($B49="","",MAX(V49,W48))</f>
        <v/>
      </c>
      <c r="X49" s="42" t="str">
        <f aca="false">IF($B49="","",V49-W49)</f>
        <v/>
      </c>
      <c r="Y49" s="45" t="str">
        <f aca="false">IF($B49="","",X49/W49)</f>
        <v/>
      </c>
      <c r="Z49" s="36" t="str">
        <f aca="false">IF($B49="","",IF(T49="G",IF(N(Z48)&gt;0,Z48+1,1),IF(N(Z48)&lt;0,Z48-1,-1)))</f>
        <v/>
      </c>
      <c r="AA49" s="46" t="str">
        <f aca="false">IF($B49="","",B49-WEEKDAY(B49,2)+1)</f>
        <v/>
      </c>
      <c r="AB49" s="47" t="str">
        <f aca="false">IF($B49="","",DATE(YEAR(B49),MONTH(B49),1))</f>
        <v/>
      </c>
      <c r="AC49" s="41" t="str">
        <f aca="false">IF($B49="","",CHOOSE(WEEKDAY(B49,2),"Lunes","Martes","Miércoles","Jueves","Viernes","Sábado","Domingo"))</f>
        <v/>
      </c>
      <c r="AD49" s="36" t="str">
        <f aca="false">IF($B49="","",HOUR(C49))</f>
        <v/>
      </c>
      <c r="AE49" s="42" t="str">
        <f aca="false">IF($B49="","",IF(O49&lt;&gt;O48,MAX(V49-S49,V49),MAX(V49,AE48)))</f>
        <v/>
      </c>
      <c r="AF49" s="42" t="str">
        <f aca="false">IF($B49="","",V49-AE49)</f>
        <v/>
      </c>
      <c r="AG49" s="36" t="str">
        <f aca="false">IF($B49="","",IF(O49&lt;&gt;O48,IF(T49="G",1,-1),IF(T49="G",IF(N(AG48)&gt;0,AG48+1,1),IF(N(AG48)&lt;0,AG48-1,-1))))</f>
        <v/>
      </c>
    </row>
    <row r="50" customFormat="false" ht="15" hidden="false" customHeight="false" outlineLevel="0" collapsed="false">
      <c r="A50" s="36" t="str">
        <f aca="false">IF(B50="","",ROW()-6)</f>
        <v/>
      </c>
      <c r="B50" s="37"/>
      <c r="C50" s="38"/>
      <c r="D50" s="38"/>
      <c r="E50" s="39"/>
      <c r="F50" s="39"/>
      <c r="G50" s="39"/>
      <c r="H50" s="40"/>
      <c r="I50" s="40"/>
      <c r="J50" s="40"/>
      <c r="K50" s="40"/>
      <c r="L50" s="39"/>
      <c r="M50" s="40"/>
      <c r="N50" s="40"/>
      <c r="O50" s="36" t="str">
        <f aca="false">IF($B50="","",INT((A50-1)/Parametros!$C$10)+1)</f>
        <v/>
      </c>
      <c r="P50" s="41" t="str">
        <f aca="false">IF($B50="","",IF(OR(C50="",D50=""),"",ROUND((D50-C50)*1440,0)))</f>
        <v/>
      </c>
      <c r="Q50" s="42" t="str">
        <f aca="false">IF($B50="","",I50*VLOOKUP(E50,Parametros!$B$18:$D$24,2,FALSE()))</f>
        <v/>
      </c>
      <c r="R50" s="42" t="str">
        <f aca="false">IF($B50="","",G50*VLOOKUP(E50,Parametros!$B$18:$D$24,3,FALSE()))</f>
        <v/>
      </c>
      <c r="S50" s="42" t="str">
        <f aca="false">IF($B50="","",Q50-R50)</f>
        <v/>
      </c>
      <c r="T50" s="43" t="str">
        <f aca="false">IF($B50="","",IF(S50&gt;0,"G","P"))</f>
        <v/>
      </c>
      <c r="U50" s="44" t="str">
        <f aca="false">IF($B50="","",S50/Parametros!$C$8)</f>
        <v/>
      </c>
      <c r="V50" s="42" t="str">
        <f aca="false">IF($B50="","",Parametros!$C$6+SUM($S$7:S50))</f>
        <v/>
      </c>
      <c r="W50" s="42" t="str">
        <f aca="false">IF($B50="","",MAX(V50,W49))</f>
        <v/>
      </c>
      <c r="X50" s="42" t="str">
        <f aca="false">IF($B50="","",V50-W50)</f>
        <v/>
      </c>
      <c r="Y50" s="45" t="str">
        <f aca="false">IF($B50="","",X50/W50)</f>
        <v/>
      </c>
      <c r="Z50" s="36" t="str">
        <f aca="false">IF($B50="","",IF(T50="G",IF(N(Z49)&gt;0,Z49+1,1),IF(N(Z49)&lt;0,Z49-1,-1)))</f>
        <v/>
      </c>
      <c r="AA50" s="46" t="str">
        <f aca="false">IF($B50="","",B50-WEEKDAY(B50,2)+1)</f>
        <v/>
      </c>
      <c r="AB50" s="47" t="str">
        <f aca="false">IF($B50="","",DATE(YEAR(B50),MONTH(B50),1))</f>
        <v/>
      </c>
      <c r="AC50" s="41" t="str">
        <f aca="false">IF($B50="","",CHOOSE(WEEKDAY(B50,2),"Lunes","Martes","Miércoles","Jueves","Viernes","Sábado","Domingo"))</f>
        <v/>
      </c>
      <c r="AD50" s="36" t="str">
        <f aca="false">IF($B50="","",HOUR(C50))</f>
        <v/>
      </c>
      <c r="AE50" s="42" t="str">
        <f aca="false">IF($B50="","",IF(O50&lt;&gt;O49,MAX(V50-S50,V50),MAX(V50,AE49)))</f>
        <v/>
      </c>
      <c r="AF50" s="42" t="str">
        <f aca="false">IF($B50="","",V50-AE50)</f>
        <v/>
      </c>
      <c r="AG50" s="36" t="str">
        <f aca="false">IF($B50="","",IF(O50&lt;&gt;O49,IF(T50="G",1,-1),IF(T50="G",IF(N(AG49)&gt;0,AG49+1,1),IF(N(AG49)&lt;0,AG49-1,-1))))</f>
        <v/>
      </c>
    </row>
    <row r="51" customFormat="false" ht="15" hidden="false" customHeight="false" outlineLevel="0" collapsed="false">
      <c r="A51" s="36" t="str">
        <f aca="false">IF(B51="","",ROW()-6)</f>
        <v/>
      </c>
      <c r="B51" s="37"/>
      <c r="C51" s="38"/>
      <c r="D51" s="38"/>
      <c r="E51" s="39"/>
      <c r="F51" s="39"/>
      <c r="G51" s="39"/>
      <c r="H51" s="40"/>
      <c r="I51" s="40"/>
      <c r="J51" s="40"/>
      <c r="K51" s="40"/>
      <c r="L51" s="39"/>
      <c r="M51" s="40"/>
      <c r="N51" s="40"/>
      <c r="O51" s="36" t="str">
        <f aca="false">IF($B51="","",INT((A51-1)/Parametros!$C$10)+1)</f>
        <v/>
      </c>
      <c r="P51" s="41" t="str">
        <f aca="false">IF($B51="","",IF(OR(C51="",D51=""),"",ROUND((D51-C51)*1440,0)))</f>
        <v/>
      </c>
      <c r="Q51" s="42" t="str">
        <f aca="false">IF($B51="","",I51*VLOOKUP(E51,Parametros!$B$18:$D$24,2,FALSE()))</f>
        <v/>
      </c>
      <c r="R51" s="42" t="str">
        <f aca="false">IF($B51="","",G51*VLOOKUP(E51,Parametros!$B$18:$D$24,3,FALSE()))</f>
        <v/>
      </c>
      <c r="S51" s="42" t="str">
        <f aca="false">IF($B51="","",Q51-R51)</f>
        <v/>
      </c>
      <c r="T51" s="43" t="str">
        <f aca="false">IF($B51="","",IF(S51&gt;0,"G","P"))</f>
        <v/>
      </c>
      <c r="U51" s="44" t="str">
        <f aca="false">IF($B51="","",S51/Parametros!$C$8)</f>
        <v/>
      </c>
      <c r="V51" s="42" t="str">
        <f aca="false">IF($B51="","",Parametros!$C$6+SUM($S$7:S51))</f>
        <v/>
      </c>
      <c r="W51" s="42" t="str">
        <f aca="false">IF($B51="","",MAX(V51,W50))</f>
        <v/>
      </c>
      <c r="X51" s="42" t="str">
        <f aca="false">IF($B51="","",V51-W51)</f>
        <v/>
      </c>
      <c r="Y51" s="45" t="str">
        <f aca="false">IF($B51="","",X51/W51)</f>
        <v/>
      </c>
      <c r="Z51" s="36" t="str">
        <f aca="false">IF($B51="","",IF(T51="G",IF(N(Z50)&gt;0,Z50+1,1),IF(N(Z50)&lt;0,Z50-1,-1)))</f>
        <v/>
      </c>
      <c r="AA51" s="46" t="str">
        <f aca="false">IF($B51="","",B51-WEEKDAY(B51,2)+1)</f>
        <v/>
      </c>
      <c r="AB51" s="47" t="str">
        <f aca="false">IF($B51="","",DATE(YEAR(B51),MONTH(B51),1))</f>
        <v/>
      </c>
      <c r="AC51" s="41" t="str">
        <f aca="false">IF($B51="","",CHOOSE(WEEKDAY(B51,2),"Lunes","Martes","Miércoles","Jueves","Viernes","Sábado","Domingo"))</f>
        <v/>
      </c>
      <c r="AD51" s="36" t="str">
        <f aca="false">IF($B51="","",HOUR(C51))</f>
        <v/>
      </c>
      <c r="AE51" s="42" t="str">
        <f aca="false">IF($B51="","",IF(O51&lt;&gt;O50,MAX(V51-S51,V51),MAX(V51,AE50)))</f>
        <v/>
      </c>
      <c r="AF51" s="42" t="str">
        <f aca="false">IF($B51="","",V51-AE51)</f>
        <v/>
      </c>
      <c r="AG51" s="36" t="str">
        <f aca="false">IF($B51="","",IF(O51&lt;&gt;O50,IF(T51="G",1,-1),IF(T51="G",IF(N(AG50)&gt;0,AG50+1,1),IF(N(AG50)&lt;0,AG50-1,-1))))</f>
        <v/>
      </c>
    </row>
    <row r="52" customFormat="false" ht="15" hidden="false" customHeight="false" outlineLevel="0" collapsed="false">
      <c r="A52" s="36" t="str">
        <f aca="false">IF(B52="","",ROW()-6)</f>
        <v/>
      </c>
      <c r="B52" s="37"/>
      <c r="C52" s="38"/>
      <c r="D52" s="38"/>
      <c r="E52" s="39"/>
      <c r="F52" s="39"/>
      <c r="G52" s="39"/>
      <c r="H52" s="40"/>
      <c r="I52" s="40"/>
      <c r="J52" s="40"/>
      <c r="K52" s="40"/>
      <c r="L52" s="39"/>
      <c r="M52" s="40"/>
      <c r="N52" s="40"/>
      <c r="O52" s="36" t="str">
        <f aca="false">IF($B52="","",INT((A52-1)/Parametros!$C$10)+1)</f>
        <v/>
      </c>
      <c r="P52" s="41" t="str">
        <f aca="false">IF($B52="","",IF(OR(C52="",D52=""),"",ROUND((D52-C52)*1440,0)))</f>
        <v/>
      </c>
      <c r="Q52" s="42" t="str">
        <f aca="false">IF($B52="","",I52*VLOOKUP(E52,Parametros!$B$18:$D$24,2,FALSE()))</f>
        <v/>
      </c>
      <c r="R52" s="42" t="str">
        <f aca="false">IF($B52="","",G52*VLOOKUP(E52,Parametros!$B$18:$D$24,3,FALSE()))</f>
        <v/>
      </c>
      <c r="S52" s="42" t="str">
        <f aca="false">IF($B52="","",Q52-R52)</f>
        <v/>
      </c>
      <c r="T52" s="43" t="str">
        <f aca="false">IF($B52="","",IF(S52&gt;0,"G","P"))</f>
        <v/>
      </c>
      <c r="U52" s="44" t="str">
        <f aca="false">IF($B52="","",S52/Parametros!$C$8)</f>
        <v/>
      </c>
      <c r="V52" s="42" t="str">
        <f aca="false">IF($B52="","",Parametros!$C$6+SUM($S$7:S52))</f>
        <v/>
      </c>
      <c r="W52" s="42" t="str">
        <f aca="false">IF($B52="","",MAX(V52,W51))</f>
        <v/>
      </c>
      <c r="X52" s="42" t="str">
        <f aca="false">IF($B52="","",V52-W52)</f>
        <v/>
      </c>
      <c r="Y52" s="45" t="str">
        <f aca="false">IF($B52="","",X52/W52)</f>
        <v/>
      </c>
      <c r="Z52" s="36" t="str">
        <f aca="false">IF($B52="","",IF(T52="G",IF(N(Z51)&gt;0,Z51+1,1),IF(N(Z51)&lt;0,Z51-1,-1)))</f>
        <v/>
      </c>
      <c r="AA52" s="46" t="str">
        <f aca="false">IF($B52="","",B52-WEEKDAY(B52,2)+1)</f>
        <v/>
      </c>
      <c r="AB52" s="47" t="str">
        <f aca="false">IF($B52="","",DATE(YEAR(B52),MONTH(B52),1))</f>
        <v/>
      </c>
      <c r="AC52" s="41" t="str">
        <f aca="false">IF($B52="","",CHOOSE(WEEKDAY(B52,2),"Lunes","Martes","Miércoles","Jueves","Viernes","Sábado","Domingo"))</f>
        <v/>
      </c>
      <c r="AD52" s="36" t="str">
        <f aca="false">IF($B52="","",HOUR(C52))</f>
        <v/>
      </c>
      <c r="AE52" s="42" t="str">
        <f aca="false">IF($B52="","",IF(O52&lt;&gt;O51,MAX(V52-S52,V52),MAX(V52,AE51)))</f>
        <v/>
      </c>
      <c r="AF52" s="42" t="str">
        <f aca="false">IF($B52="","",V52-AE52)</f>
        <v/>
      </c>
      <c r="AG52" s="36" t="str">
        <f aca="false">IF($B52="","",IF(O52&lt;&gt;O51,IF(T52="G",1,-1),IF(T52="G",IF(N(AG51)&gt;0,AG51+1,1),IF(N(AG51)&lt;0,AG51-1,-1))))</f>
        <v/>
      </c>
    </row>
    <row r="53" customFormat="false" ht="15" hidden="false" customHeight="false" outlineLevel="0" collapsed="false">
      <c r="A53" s="36" t="str">
        <f aca="false">IF(B53="","",ROW()-6)</f>
        <v/>
      </c>
      <c r="B53" s="37"/>
      <c r="C53" s="38"/>
      <c r="D53" s="38"/>
      <c r="E53" s="39"/>
      <c r="F53" s="39"/>
      <c r="G53" s="39"/>
      <c r="H53" s="40"/>
      <c r="I53" s="40"/>
      <c r="J53" s="40"/>
      <c r="K53" s="40"/>
      <c r="L53" s="39"/>
      <c r="M53" s="40"/>
      <c r="N53" s="40"/>
      <c r="O53" s="36" t="str">
        <f aca="false">IF($B53="","",INT((A53-1)/Parametros!$C$10)+1)</f>
        <v/>
      </c>
      <c r="P53" s="41" t="str">
        <f aca="false">IF($B53="","",IF(OR(C53="",D53=""),"",ROUND((D53-C53)*1440,0)))</f>
        <v/>
      </c>
      <c r="Q53" s="42" t="str">
        <f aca="false">IF($B53="","",I53*VLOOKUP(E53,Parametros!$B$18:$D$24,2,FALSE()))</f>
        <v/>
      </c>
      <c r="R53" s="42" t="str">
        <f aca="false">IF($B53="","",G53*VLOOKUP(E53,Parametros!$B$18:$D$24,3,FALSE()))</f>
        <v/>
      </c>
      <c r="S53" s="42" t="str">
        <f aca="false">IF($B53="","",Q53-R53)</f>
        <v/>
      </c>
      <c r="T53" s="43" t="str">
        <f aca="false">IF($B53="","",IF(S53&gt;0,"G","P"))</f>
        <v/>
      </c>
      <c r="U53" s="44" t="str">
        <f aca="false">IF($B53="","",S53/Parametros!$C$8)</f>
        <v/>
      </c>
      <c r="V53" s="42" t="str">
        <f aca="false">IF($B53="","",Parametros!$C$6+SUM($S$7:S53))</f>
        <v/>
      </c>
      <c r="W53" s="42" t="str">
        <f aca="false">IF($B53="","",MAX(V53,W52))</f>
        <v/>
      </c>
      <c r="X53" s="42" t="str">
        <f aca="false">IF($B53="","",V53-W53)</f>
        <v/>
      </c>
      <c r="Y53" s="45" t="str">
        <f aca="false">IF($B53="","",X53/W53)</f>
        <v/>
      </c>
      <c r="Z53" s="36" t="str">
        <f aca="false">IF($B53="","",IF(T53="G",IF(N(Z52)&gt;0,Z52+1,1),IF(N(Z52)&lt;0,Z52-1,-1)))</f>
        <v/>
      </c>
      <c r="AA53" s="46" t="str">
        <f aca="false">IF($B53="","",B53-WEEKDAY(B53,2)+1)</f>
        <v/>
      </c>
      <c r="AB53" s="47" t="str">
        <f aca="false">IF($B53="","",DATE(YEAR(B53),MONTH(B53),1))</f>
        <v/>
      </c>
      <c r="AC53" s="41" t="str">
        <f aca="false">IF($B53="","",CHOOSE(WEEKDAY(B53,2),"Lunes","Martes","Miércoles","Jueves","Viernes","Sábado","Domingo"))</f>
        <v/>
      </c>
      <c r="AD53" s="36" t="str">
        <f aca="false">IF($B53="","",HOUR(C53))</f>
        <v/>
      </c>
      <c r="AE53" s="42" t="str">
        <f aca="false">IF($B53="","",IF(O53&lt;&gt;O52,MAX(V53-S53,V53),MAX(V53,AE52)))</f>
        <v/>
      </c>
      <c r="AF53" s="42" t="str">
        <f aca="false">IF($B53="","",V53-AE53)</f>
        <v/>
      </c>
      <c r="AG53" s="36" t="str">
        <f aca="false">IF($B53="","",IF(O53&lt;&gt;O52,IF(T53="G",1,-1),IF(T53="G",IF(N(AG52)&gt;0,AG52+1,1),IF(N(AG52)&lt;0,AG52-1,-1))))</f>
        <v/>
      </c>
    </row>
    <row r="54" customFormat="false" ht="15" hidden="false" customHeight="false" outlineLevel="0" collapsed="false">
      <c r="A54" s="36" t="str">
        <f aca="false">IF(B54="","",ROW()-6)</f>
        <v/>
      </c>
      <c r="B54" s="37"/>
      <c r="C54" s="38"/>
      <c r="D54" s="38"/>
      <c r="E54" s="39"/>
      <c r="F54" s="39"/>
      <c r="G54" s="39"/>
      <c r="H54" s="40"/>
      <c r="I54" s="40"/>
      <c r="J54" s="40"/>
      <c r="K54" s="40"/>
      <c r="L54" s="39"/>
      <c r="M54" s="40"/>
      <c r="N54" s="40"/>
      <c r="O54" s="36" t="str">
        <f aca="false">IF($B54="","",INT((A54-1)/Parametros!$C$10)+1)</f>
        <v/>
      </c>
      <c r="P54" s="41" t="str">
        <f aca="false">IF($B54="","",IF(OR(C54="",D54=""),"",ROUND((D54-C54)*1440,0)))</f>
        <v/>
      </c>
      <c r="Q54" s="42" t="str">
        <f aca="false">IF($B54="","",I54*VLOOKUP(E54,Parametros!$B$18:$D$24,2,FALSE()))</f>
        <v/>
      </c>
      <c r="R54" s="42" t="str">
        <f aca="false">IF($B54="","",G54*VLOOKUP(E54,Parametros!$B$18:$D$24,3,FALSE()))</f>
        <v/>
      </c>
      <c r="S54" s="42" t="str">
        <f aca="false">IF($B54="","",Q54-R54)</f>
        <v/>
      </c>
      <c r="T54" s="43" t="str">
        <f aca="false">IF($B54="","",IF(S54&gt;0,"G","P"))</f>
        <v/>
      </c>
      <c r="U54" s="44" t="str">
        <f aca="false">IF($B54="","",S54/Parametros!$C$8)</f>
        <v/>
      </c>
      <c r="V54" s="42" t="str">
        <f aca="false">IF($B54="","",Parametros!$C$6+SUM($S$7:S54))</f>
        <v/>
      </c>
      <c r="W54" s="42" t="str">
        <f aca="false">IF($B54="","",MAX(V54,W53))</f>
        <v/>
      </c>
      <c r="X54" s="42" t="str">
        <f aca="false">IF($B54="","",V54-W54)</f>
        <v/>
      </c>
      <c r="Y54" s="45" t="str">
        <f aca="false">IF($B54="","",X54/W54)</f>
        <v/>
      </c>
      <c r="Z54" s="36" t="str">
        <f aca="false">IF($B54="","",IF(T54="G",IF(N(Z53)&gt;0,Z53+1,1),IF(N(Z53)&lt;0,Z53-1,-1)))</f>
        <v/>
      </c>
      <c r="AA54" s="46" t="str">
        <f aca="false">IF($B54="","",B54-WEEKDAY(B54,2)+1)</f>
        <v/>
      </c>
      <c r="AB54" s="47" t="str">
        <f aca="false">IF($B54="","",DATE(YEAR(B54),MONTH(B54),1))</f>
        <v/>
      </c>
      <c r="AC54" s="41" t="str">
        <f aca="false">IF($B54="","",CHOOSE(WEEKDAY(B54,2),"Lunes","Martes","Miércoles","Jueves","Viernes","Sábado","Domingo"))</f>
        <v/>
      </c>
      <c r="AD54" s="36" t="str">
        <f aca="false">IF($B54="","",HOUR(C54))</f>
        <v/>
      </c>
      <c r="AE54" s="42" t="str">
        <f aca="false">IF($B54="","",IF(O54&lt;&gt;O53,MAX(V54-S54,V54),MAX(V54,AE53)))</f>
        <v/>
      </c>
      <c r="AF54" s="42" t="str">
        <f aca="false">IF($B54="","",V54-AE54)</f>
        <v/>
      </c>
      <c r="AG54" s="36" t="str">
        <f aca="false">IF($B54="","",IF(O54&lt;&gt;O53,IF(T54="G",1,-1),IF(T54="G",IF(N(AG53)&gt;0,AG53+1,1),IF(N(AG53)&lt;0,AG53-1,-1))))</f>
        <v/>
      </c>
    </row>
    <row r="55" customFormat="false" ht="15" hidden="false" customHeight="false" outlineLevel="0" collapsed="false">
      <c r="A55" s="36" t="str">
        <f aca="false">IF(B55="","",ROW()-6)</f>
        <v/>
      </c>
      <c r="B55" s="37"/>
      <c r="C55" s="38"/>
      <c r="D55" s="38"/>
      <c r="E55" s="39"/>
      <c r="F55" s="39"/>
      <c r="G55" s="39"/>
      <c r="H55" s="40"/>
      <c r="I55" s="40"/>
      <c r="J55" s="40"/>
      <c r="K55" s="40"/>
      <c r="L55" s="39"/>
      <c r="M55" s="40"/>
      <c r="N55" s="40"/>
      <c r="O55" s="36" t="str">
        <f aca="false">IF($B55="","",INT((A55-1)/Parametros!$C$10)+1)</f>
        <v/>
      </c>
      <c r="P55" s="41" t="str">
        <f aca="false">IF($B55="","",IF(OR(C55="",D55=""),"",ROUND((D55-C55)*1440,0)))</f>
        <v/>
      </c>
      <c r="Q55" s="42" t="str">
        <f aca="false">IF($B55="","",I55*VLOOKUP(E55,Parametros!$B$18:$D$24,2,FALSE()))</f>
        <v/>
      </c>
      <c r="R55" s="42" t="str">
        <f aca="false">IF($B55="","",G55*VLOOKUP(E55,Parametros!$B$18:$D$24,3,FALSE()))</f>
        <v/>
      </c>
      <c r="S55" s="42" t="str">
        <f aca="false">IF($B55="","",Q55-R55)</f>
        <v/>
      </c>
      <c r="T55" s="43" t="str">
        <f aca="false">IF($B55="","",IF(S55&gt;0,"G","P"))</f>
        <v/>
      </c>
      <c r="U55" s="44" t="str">
        <f aca="false">IF($B55="","",S55/Parametros!$C$8)</f>
        <v/>
      </c>
      <c r="V55" s="42" t="str">
        <f aca="false">IF($B55="","",Parametros!$C$6+SUM($S$7:S55))</f>
        <v/>
      </c>
      <c r="W55" s="42" t="str">
        <f aca="false">IF($B55="","",MAX(V55,W54))</f>
        <v/>
      </c>
      <c r="X55" s="42" t="str">
        <f aca="false">IF($B55="","",V55-W55)</f>
        <v/>
      </c>
      <c r="Y55" s="45" t="str">
        <f aca="false">IF($B55="","",X55/W55)</f>
        <v/>
      </c>
      <c r="Z55" s="36" t="str">
        <f aca="false">IF($B55="","",IF(T55="G",IF(N(Z54)&gt;0,Z54+1,1),IF(N(Z54)&lt;0,Z54-1,-1)))</f>
        <v/>
      </c>
      <c r="AA55" s="46" t="str">
        <f aca="false">IF($B55="","",B55-WEEKDAY(B55,2)+1)</f>
        <v/>
      </c>
      <c r="AB55" s="47" t="str">
        <f aca="false">IF($B55="","",DATE(YEAR(B55),MONTH(B55),1))</f>
        <v/>
      </c>
      <c r="AC55" s="41" t="str">
        <f aca="false">IF($B55="","",CHOOSE(WEEKDAY(B55,2),"Lunes","Martes","Miércoles","Jueves","Viernes","Sábado","Domingo"))</f>
        <v/>
      </c>
      <c r="AD55" s="36" t="str">
        <f aca="false">IF($B55="","",HOUR(C55))</f>
        <v/>
      </c>
      <c r="AE55" s="42" t="str">
        <f aca="false">IF($B55="","",IF(O55&lt;&gt;O54,MAX(V55-S55,V55),MAX(V55,AE54)))</f>
        <v/>
      </c>
      <c r="AF55" s="42" t="str">
        <f aca="false">IF($B55="","",V55-AE55)</f>
        <v/>
      </c>
      <c r="AG55" s="36" t="str">
        <f aca="false">IF($B55="","",IF(O55&lt;&gt;O54,IF(T55="G",1,-1),IF(T55="G",IF(N(AG54)&gt;0,AG54+1,1),IF(N(AG54)&lt;0,AG54-1,-1))))</f>
        <v/>
      </c>
    </row>
    <row r="56" customFormat="false" ht="15" hidden="false" customHeight="false" outlineLevel="0" collapsed="false">
      <c r="A56" s="36" t="str">
        <f aca="false">IF(B56="","",ROW()-6)</f>
        <v/>
      </c>
      <c r="B56" s="37"/>
      <c r="C56" s="38"/>
      <c r="D56" s="38"/>
      <c r="E56" s="39"/>
      <c r="F56" s="39"/>
      <c r="G56" s="39"/>
      <c r="H56" s="40"/>
      <c r="I56" s="40"/>
      <c r="J56" s="40"/>
      <c r="K56" s="40"/>
      <c r="L56" s="39"/>
      <c r="M56" s="40"/>
      <c r="N56" s="40"/>
      <c r="O56" s="36" t="str">
        <f aca="false">IF($B56="","",INT((A56-1)/Parametros!$C$10)+1)</f>
        <v/>
      </c>
      <c r="P56" s="41" t="str">
        <f aca="false">IF($B56="","",IF(OR(C56="",D56=""),"",ROUND((D56-C56)*1440,0)))</f>
        <v/>
      </c>
      <c r="Q56" s="42" t="str">
        <f aca="false">IF($B56="","",I56*VLOOKUP(E56,Parametros!$B$18:$D$24,2,FALSE()))</f>
        <v/>
      </c>
      <c r="R56" s="42" t="str">
        <f aca="false">IF($B56="","",G56*VLOOKUP(E56,Parametros!$B$18:$D$24,3,FALSE()))</f>
        <v/>
      </c>
      <c r="S56" s="42" t="str">
        <f aca="false">IF($B56="","",Q56-R56)</f>
        <v/>
      </c>
      <c r="T56" s="43" t="str">
        <f aca="false">IF($B56="","",IF(S56&gt;0,"G","P"))</f>
        <v/>
      </c>
      <c r="U56" s="44" t="str">
        <f aca="false">IF($B56="","",S56/Parametros!$C$8)</f>
        <v/>
      </c>
      <c r="V56" s="42" t="str">
        <f aca="false">IF($B56="","",Parametros!$C$6+SUM($S$7:S56))</f>
        <v/>
      </c>
      <c r="W56" s="42" t="str">
        <f aca="false">IF($B56="","",MAX(V56,W55))</f>
        <v/>
      </c>
      <c r="X56" s="42" t="str">
        <f aca="false">IF($B56="","",V56-W56)</f>
        <v/>
      </c>
      <c r="Y56" s="45" t="str">
        <f aca="false">IF($B56="","",X56/W56)</f>
        <v/>
      </c>
      <c r="Z56" s="36" t="str">
        <f aca="false">IF($B56="","",IF(T56="G",IF(N(Z55)&gt;0,Z55+1,1),IF(N(Z55)&lt;0,Z55-1,-1)))</f>
        <v/>
      </c>
      <c r="AA56" s="46" t="str">
        <f aca="false">IF($B56="","",B56-WEEKDAY(B56,2)+1)</f>
        <v/>
      </c>
      <c r="AB56" s="47" t="str">
        <f aca="false">IF($B56="","",DATE(YEAR(B56),MONTH(B56),1))</f>
        <v/>
      </c>
      <c r="AC56" s="41" t="str">
        <f aca="false">IF($B56="","",CHOOSE(WEEKDAY(B56,2),"Lunes","Martes","Miércoles","Jueves","Viernes","Sábado","Domingo"))</f>
        <v/>
      </c>
      <c r="AD56" s="36" t="str">
        <f aca="false">IF($B56="","",HOUR(C56))</f>
        <v/>
      </c>
      <c r="AE56" s="42" t="str">
        <f aca="false">IF($B56="","",IF(O56&lt;&gt;O55,MAX(V56-S56,V56),MAX(V56,AE55)))</f>
        <v/>
      </c>
      <c r="AF56" s="42" t="str">
        <f aca="false">IF($B56="","",V56-AE56)</f>
        <v/>
      </c>
      <c r="AG56" s="36" t="str">
        <f aca="false">IF($B56="","",IF(O56&lt;&gt;O55,IF(T56="G",1,-1),IF(T56="G",IF(N(AG55)&gt;0,AG55+1,1),IF(N(AG55)&lt;0,AG55-1,-1))))</f>
        <v/>
      </c>
    </row>
    <row r="57" customFormat="false" ht="15" hidden="false" customHeight="false" outlineLevel="0" collapsed="false">
      <c r="A57" s="36" t="str">
        <f aca="false">IF(B57="","",ROW()-6)</f>
        <v/>
      </c>
      <c r="B57" s="37"/>
      <c r="C57" s="38"/>
      <c r="D57" s="38"/>
      <c r="E57" s="39"/>
      <c r="F57" s="39"/>
      <c r="G57" s="39"/>
      <c r="H57" s="40"/>
      <c r="I57" s="40"/>
      <c r="J57" s="40"/>
      <c r="K57" s="40"/>
      <c r="L57" s="39"/>
      <c r="M57" s="40"/>
      <c r="N57" s="40"/>
      <c r="O57" s="36" t="str">
        <f aca="false">IF($B57="","",INT((A57-1)/Parametros!$C$10)+1)</f>
        <v/>
      </c>
      <c r="P57" s="41" t="str">
        <f aca="false">IF($B57="","",IF(OR(C57="",D57=""),"",ROUND((D57-C57)*1440,0)))</f>
        <v/>
      </c>
      <c r="Q57" s="42" t="str">
        <f aca="false">IF($B57="","",I57*VLOOKUP(E57,Parametros!$B$18:$D$24,2,FALSE()))</f>
        <v/>
      </c>
      <c r="R57" s="42" t="str">
        <f aca="false">IF($B57="","",G57*VLOOKUP(E57,Parametros!$B$18:$D$24,3,FALSE()))</f>
        <v/>
      </c>
      <c r="S57" s="42" t="str">
        <f aca="false">IF($B57="","",Q57-R57)</f>
        <v/>
      </c>
      <c r="T57" s="43" t="str">
        <f aca="false">IF($B57="","",IF(S57&gt;0,"G","P"))</f>
        <v/>
      </c>
      <c r="U57" s="44" t="str">
        <f aca="false">IF($B57="","",S57/Parametros!$C$8)</f>
        <v/>
      </c>
      <c r="V57" s="42" t="str">
        <f aca="false">IF($B57="","",Parametros!$C$6+SUM($S$7:S57))</f>
        <v/>
      </c>
      <c r="W57" s="42" t="str">
        <f aca="false">IF($B57="","",MAX(V57,W56))</f>
        <v/>
      </c>
      <c r="X57" s="42" t="str">
        <f aca="false">IF($B57="","",V57-W57)</f>
        <v/>
      </c>
      <c r="Y57" s="45" t="str">
        <f aca="false">IF($B57="","",X57/W57)</f>
        <v/>
      </c>
      <c r="Z57" s="36" t="str">
        <f aca="false">IF($B57="","",IF(T57="G",IF(N(Z56)&gt;0,Z56+1,1),IF(N(Z56)&lt;0,Z56-1,-1)))</f>
        <v/>
      </c>
      <c r="AA57" s="46" t="str">
        <f aca="false">IF($B57="","",B57-WEEKDAY(B57,2)+1)</f>
        <v/>
      </c>
      <c r="AB57" s="47" t="str">
        <f aca="false">IF($B57="","",DATE(YEAR(B57),MONTH(B57),1))</f>
        <v/>
      </c>
      <c r="AC57" s="41" t="str">
        <f aca="false">IF($B57="","",CHOOSE(WEEKDAY(B57,2),"Lunes","Martes","Miércoles","Jueves","Viernes","Sábado","Domingo"))</f>
        <v/>
      </c>
      <c r="AD57" s="36" t="str">
        <f aca="false">IF($B57="","",HOUR(C57))</f>
        <v/>
      </c>
      <c r="AE57" s="42" t="str">
        <f aca="false">IF($B57="","",IF(O57&lt;&gt;O56,MAX(V57-S57,V57),MAX(V57,AE56)))</f>
        <v/>
      </c>
      <c r="AF57" s="42" t="str">
        <f aca="false">IF($B57="","",V57-AE57)</f>
        <v/>
      </c>
      <c r="AG57" s="36" t="str">
        <f aca="false">IF($B57="","",IF(O57&lt;&gt;O56,IF(T57="G",1,-1),IF(T57="G",IF(N(AG56)&gt;0,AG56+1,1),IF(N(AG56)&lt;0,AG56-1,-1))))</f>
        <v/>
      </c>
    </row>
    <row r="58" customFormat="false" ht="15" hidden="false" customHeight="false" outlineLevel="0" collapsed="false">
      <c r="A58" s="36" t="str">
        <f aca="false">IF(B58="","",ROW()-6)</f>
        <v/>
      </c>
      <c r="B58" s="37"/>
      <c r="C58" s="38"/>
      <c r="D58" s="38"/>
      <c r="E58" s="39"/>
      <c r="F58" s="39"/>
      <c r="G58" s="39"/>
      <c r="H58" s="40"/>
      <c r="I58" s="40"/>
      <c r="J58" s="40"/>
      <c r="K58" s="40"/>
      <c r="L58" s="39"/>
      <c r="M58" s="40"/>
      <c r="N58" s="40"/>
      <c r="O58" s="36" t="str">
        <f aca="false">IF($B58="","",INT((A58-1)/Parametros!$C$10)+1)</f>
        <v/>
      </c>
      <c r="P58" s="41" t="str">
        <f aca="false">IF($B58="","",IF(OR(C58="",D58=""),"",ROUND((D58-C58)*1440,0)))</f>
        <v/>
      </c>
      <c r="Q58" s="42" t="str">
        <f aca="false">IF($B58="","",I58*VLOOKUP(E58,Parametros!$B$18:$D$24,2,FALSE()))</f>
        <v/>
      </c>
      <c r="R58" s="42" t="str">
        <f aca="false">IF($B58="","",G58*VLOOKUP(E58,Parametros!$B$18:$D$24,3,FALSE()))</f>
        <v/>
      </c>
      <c r="S58" s="42" t="str">
        <f aca="false">IF($B58="","",Q58-R58)</f>
        <v/>
      </c>
      <c r="T58" s="43" t="str">
        <f aca="false">IF($B58="","",IF(S58&gt;0,"G","P"))</f>
        <v/>
      </c>
      <c r="U58" s="44" t="str">
        <f aca="false">IF($B58="","",S58/Parametros!$C$8)</f>
        <v/>
      </c>
      <c r="V58" s="42" t="str">
        <f aca="false">IF($B58="","",Parametros!$C$6+SUM($S$7:S58))</f>
        <v/>
      </c>
      <c r="W58" s="42" t="str">
        <f aca="false">IF($B58="","",MAX(V58,W57))</f>
        <v/>
      </c>
      <c r="X58" s="42" t="str">
        <f aca="false">IF($B58="","",V58-W58)</f>
        <v/>
      </c>
      <c r="Y58" s="45" t="str">
        <f aca="false">IF($B58="","",X58/W58)</f>
        <v/>
      </c>
      <c r="Z58" s="36" t="str">
        <f aca="false">IF($B58="","",IF(T58="G",IF(N(Z57)&gt;0,Z57+1,1),IF(N(Z57)&lt;0,Z57-1,-1)))</f>
        <v/>
      </c>
      <c r="AA58" s="46" t="str">
        <f aca="false">IF($B58="","",B58-WEEKDAY(B58,2)+1)</f>
        <v/>
      </c>
      <c r="AB58" s="47" t="str">
        <f aca="false">IF($B58="","",DATE(YEAR(B58),MONTH(B58),1))</f>
        <v/>
      </c>
      <c r="AC58" s="41" t="str">
        <f aca="false">IF($B58="","",CHOOSE(WEEKDAY(B58,2),"Lunes","Martes","Miércoles","Jueves","Viernes","Sábado","Domingo"))</f>
        <v/>
      </c>
      <c r="AD58" s="36" t="str">
        <f aca="false">IF($B58="","",HOUR(C58))</f>
        <v/>
      </c>
      <c r="AE58" s="42" t="str">
        <f aca="false">IF($B58="","",IF(O58&lt;&gt;O57,MAX(V58-S58,V58),MAX(V58,AE57)))</f>
        <v/>
      </c>
      <c r="AF58" s="42" t="str">
        <f aca="false">IF($B58="","",V58-AE58)</f>
        <v/>
      </c>
      <c r="AG58" s="36" t="str">
        <f aca="false">IF($B58="","",IF(O58&lt;&gt;O57,IF(T58="G",1,-1),IF(T58="G",IF(N(AG57)&gt;0,AG57+1,1),IF(N(AG57)&lt;0,AG57-1,-1))))</f>
        <v/>
      </c>
    </row>
    <row r="59" customFormat="false" ht="15" hidden="false" customHeight="false" outlineLevel="0" collapsed="false">
      <c r="A59" s="36" t="str">
        <f aca="false">IF(B59="","",ROW()-6)</f>
        <v/>
      </c>
      <c r="B59" s="37"/>
      <c r="C59" s="38"/>
      <c r="D59" s="38"/>
      <c r="E59" s="39"/>
      <c r="F59" s="39"/>
      <c r="G59" s="39"/>
      <c r="H59" s="40"/>
      <c r="I59" s="40"/>
      <c r="J59" s="40"/>
      <c r="K59" s="40"/>
      <c r="L59" s="39"/>
      <c r="M59" s="40"/>
      <c r="N59" s="40"/>
      <c r="O59" s="36" t="str">
        <f aca="false">IF($B59="","",INT((A59-1)/Parametros!$C$10)+1)</f>
        <v/>
      </c>
      <c r="P59" s="41" t="str">
        <f aca="false">IF($B59="","",IF(OR(C59="",D59=""),"",ROUND((D59-C59)*1440,0)))</f>
        <v/>
      </c>
      <c r="Q59" s="42" t="str">
        <f aca="false">IF($B59="","",I59*VLOOKUP(E59,Parametros!$B$18:$D$24,2,FALSE()))</f>
        <v/>
      </c>
      <c r="R59" s="42" t="str">
        <f aca="false">IF($B59="","",G59*VLOOKUP(E59,Parametros!$B$18:$D$24,3,FALSE()))</f>
        <v/>
      </c>
      <c r="S59" s="42" t="str">
        <f aca="false">IF($B59="","",Q59-R59)</f>
        <v/>
      </c>
      <c r="T59" s="43" t="str">
        <f aca="false">IF($B59="","",IF(S59&gt;0,"G","P"))</f>
        <v/>
      </c>
      <c r="U59" s="44" t="str">
        <f aca="false">IF($B59="","",S59/Parametros!$C$8)</f>
        <v/>
      </c>
      <c r="V59" s="42" t="str">
        <f aca="false">IF($B59="","",Parametros!$C$6+SUM($S$7:S59))</f>
        <v/>
      </c>
      <c r="W59" s="42" t="str">
        <f aca="false">IF($B59="","",MAX(V59,W58))</f>
        <v/>
      </c>
      <c r="X59" s="42" t="str">
        <f aca="false">IF($B59="","",V59-W59)</f>
        <v/>
      </c>
      <c r="Y59" s="45" t="str">
        <f aca="false">IF($B59="","",X59/W59)</f>
        <v/>
      </c>
      <c r="Z59" s="36" t="str">
        <f aca="false">IF($B59="","",IF(T59="G",IF(N(Z58)&gt;0,Z58+1,1),IF(N(Z58)&lt;0,Z58-1,-1)))</f>
        <v/>
      </c>
      <c r="AA59" s="46" t="str">
        <f aca="false">IF($B59="","",B59-WEEKDAY(B59,2)+1)</f>
        <v/>
      </c>
      <c r="AB59" s="47" t="str">
        <f aca="false">IF($B59="","",DATE(YEAR(B59),MONTH(B59),1))</f>
        <v/>
      </c>
      <c r="AC59" s="41" t="str">
        <f aca="false">IF($B59="","",CHOOSE(WEEKDAY(B59,2),"Lunes","Martes","Miércoles","Jueves","Viernes","Sábado","Domingo"))</f>
        <v/>
      </c>
      <c r="AD59" s="36" t="str">
        <f aca="false">IF($B59="","",HOUR(C59))</f>
        <v/>
      </c>
      <c r="AE59" s="42" t="str">
        <f aca="false">IF($B59="","",IF(O59&lt;&gt;O58,MAX(V59-S59,V59),MAX(V59,AE58)))</f>
        <v/>
      </c>
      <c r="AF59" s="42" t="str">
        <f aca="false">IF($B59="","",V59-AE59)</f>
        <v/>
      </c>
      <c r="AG59" s="36" t="str">
        <f aca="false">IF($B59="","",IF(O59&lt;&gt;O58,IF(T59="G",1,-1),IF(T59="G",IF(N(AG58)&gt;0,AG58+1,1),IF(N(AG58)&lt;0,AG58-1,-1))))</f>
        <v/>
      </c>
    </row>
    <row r="60" customFormat="false" ht="15" hidden="false" customHeight="false" outlineLevel="0" collapsed="false">
      <c r="A60" s="36" t="str">
        <f aca="false">IF(B60="","",ROW()-6)</f>
        <v/>
      </c>
      <c r="B60" s="37"/>
      <c r="C60" s="38"/>
      <c r="D60" s="38"/>
      <c r="E60" s="39"/>
      <c r="F60" s="39"/>
      <c r="G60" s="39"/>
      <c r="H60" s="40"/>
      <c r="I60" s="40"/>
      <c r="J60" s="40"/>
      <c r="K60" s="40"/>
      <c r="L60" s="39"/>
      <c r="M60" s="40"/>
      <c r="N60" s="40"/>
      <c r="O60" s="36" t="str">
        <f aca="false">IF($B60="","",INT((A60-1)/Parametros!$C$10)+1)</f>
        <v/>
      </c>
      <c r="P60" s="41" t="str">
        <f aca="false">IF($B60="","",IF(OR(C60="",D60=""),"",ROUND((D60-C60)*1440,0)))</f>
        <v/>
      </c>
      <c r="Q60" s="42" t="str">
        <f aca="false">IF($B60="","",I60*VLOOKUP(E60,Parametros!$B$18:$D$24,2,FALSE()))</f>
        <v/>
      </c>
      <c r="R60" s="42" t="str">
        <f aca="false">IF($B60="","",G60*VLOOKUP(E60,Parametros!$B$18:$D$24,3,FALSE()))</f>
        <v/>
      </c>
      <c r="S60" s="42" t="str">
        <f aca="false">IF($B60="","",Q60-R60)</f>
        <v/>
      </c>
      <c r="T60" s="43" t="str">
        <f aca="false">IF($B60="","",IF(S60&gt;0,"G","P"))</f>
        <v/>
      </c>
      <c r="U60" s="44" t="str">
        <f aca="false">IF($B60="","",S60/Parametros!$C$8)</f>
        <v/>
      </c>
      <c r="V60" s="42" t="str">
        <f aca="false">IF($B60="","",Parametros!$C$6+SUM($S$7:S60))</f>
        <v/>
      </c>
      <c r="W60" s="42" t="str">
        <f aca="false">IF($B60="","",MAX(V60,W59))</f>
        <v/>
      </c>
      <c r="X60" s="42" t="str">
        <f aca="false">IF($B60="","",V60-W60)</f>
        <v/>
      </c>
      <c r="Y60" s="45" t="str">
        <f aca="false">IF($B60="","",X60/W60)</f>
        <v/>
      </c>
      <c r="Z60" s="36" t="str">
        <f aca="false">IF($B60="","",IF(T60="G",IF(N(Z59)&gt;0,Z59+1,1),IF(N(Z59)&lt;0,Z59-1,-1)))</f>
        <v/>
      </c>
      <c r="AA60" s="46" t="str">
        <f aca="false">IF($B60="","",B60-WEEKDAY(B60,2)+1)</f>
        <v/>
      </c>
      <c r="AB60" s="47" t="str">
        <f aca="false">IF($B60="","",DATE(YEAR(B60),MONTH(B60),1))</f>
        <v/>
      </c>
      <c r="AC60" s="41" t="str">
        <f aca="false">IF($B60="","",CHOOSE(WEEKDAY(B60,2),"Lunes","Martes","Miércoles","Jueves","Viernes","Sábado","Domingo"))</f>
        <v/>
      </c>
      <c r="AD60" s="36" t="str">
        <f aca="false">IF($B60="","",HOUR(C60))</f>
        <v/>
      </c>
      <c r="AE60" s="42" t="str">
        <f aca="false">IF($B60="","",IF(O60&lt;&gt;O59,MAX(V60-S60,V60),MAX(V60,AE59)))</f>
        <v/>
      </c>
      <c r="AF60" s="42" t="str">
        <f aca="false">IF($B60="","",V60-AE60)</f>
        <v/>
      </c>
      <c r="AG60" s="36" t="str">
        <f aca="false">IF($B60="","",IF(O60&lt;&gt;O59,IF(T60="G",1,-1),IF(T60="G",IF(N(AG59)&gt;0,AG59+1,1),IF(N(AG59)&lt;0,AG59-1,-1))))</f>
        <v/>
      </c>
    </row>
    <row r="61" customFormat="false" ht="15" hidden="false" customHeight="false" outlineLevel="0" collapsed="false">
      <c r="A61" s="36" t="str">
        <f aca="false">IF(B61="","",ROW()-6)</f>
        <v/>
      </c>
      <c r="B61" s="37"/>
      <c r="C61" s="38"/>
      <c r="D61" s="38"/>
      <c r="E61" s="39"/>
      <c r="F61" s="39"/>
      <c r="G61" s="39"/>
      <c r="H61" s="40"/>
      <c r="I61" s="40"/>
      <c r="J61" s="40"/>
      <c r="K61" s="40"/>
      <c r="L61" s="39"/>
      <c r="M61" s="40"/>
      <c r="N61" s="40"/>
      <c r="O61" s="36" t="str">
        <f aca="false">IF($B61="","",INT((A61-1)/Parametros!$C$10)+1)</f>
        <v/>
      </c>
      <c r="P61" s="41" t="str">
        <f aca="false">IF($B61="","",IF(OR(C61="",D61=""),"",ROUND((D61-C61)*1440,0)))</f>
        <v/>
      </c>
      <c r="Q61" s="42" t="str">
        <f aca="false">IF($B61="","",I61*VLOOKUP(E61,Parametros!$B$18:$D$24,2,FALSE()))</f>
        <v/>
      </c>
      <c r="R61" s="42" t="str">
        <f aca="false">IF($B61="","",G61*VLOOKUP(E61,Parametros!$B$18:$D$24,3,FALSE()))</f>
        <v/>
      </c>
      <c r="S61" s="42" t="str">
        <f aca="false">IF($B61="","",Q61-R61)</f>
        <v/>
      </c>
      <c r="T61" s="43" t="str">
        <f aca="false">IF($B61="","",IF(S61&gt;0,"G","P"))</f>
        <v/>
      </c>
      <c r="U61" s="44" t="str">
        <f aca="false">IF($B61="","",S61/Parametros!$C$8)</f>
        <v/>
      </c>
      <c r="V61" s="42" t="str">
        <f aca="false">IF($B61="","",Parametros!$C$6+SUM($S$7:S61))</f>
        <v/>
      </c>
      <c r="W61" s="42" t="str">
        <f aca="false">IF($B61="","",MAX(V61,W60))</f>
        <v/>
      </c>
      <c r="X61" s="42" t="str">
        <f aca="false">IF($B61="","",V61-W61)</f>
        <v/>
      </c>
      <c r="Y61" s="45" t="str">
        <f aca="false">IF($B61="","",X61/W61)</f>
        <v/>
      </c>
      <c r="Z61" s="36" t="str">
        <f aca="false">IF($B61="","",IF(T61="G",IF(N(Z60)&gt;0,Z60+1,1),IF(N(Z60)&lt;0,Z60-1,-1)))</f>
        <v/>
      </c>
      <c r="AA61" s="46" t="str">
        <f aca="false">IF($B61="","",B61-WEEKDAY(B61,2)+1)</f>
        <v/>
      </c>
      <c r="AB61" s="47" t="str">
        <f aca="false">IF($B61="","",DATE(YEAR(B61),MONTH(B61),1))</f>
        <v/>
      </c>
      <c r="AC61" s="41" t="str">
        <f aca="false">IF($B61="","",CHOOSE(WEEKDAY(B61,2),"Lunes","Martes","Miércoles","Jueves","Viernes","Sábado","Domingo"))</f>
        <v/>
      </c>
      <c r="AD61" s="36" t="str">
        <f aca="false">IF($B61="","",HOUR(C61))</f>
        <v/>
      </c>
      <c r="AE61" s="42" t="str">
        <f aca="false">IF($B61="","",IF(O61&lt;&gt;O60,MAX(V61-S61,V61),MAX(V61,AE60)))</f>
        <v/>
      </c>
      <c r="AF61" s="42" t="str">
        <f aca="false">IF($B61="","",V61-AE61)</f>
        <v/>
      </c>
      <c r="AG61" s="36" t="str">
        <f aca="false">IF($B61="","",IF(O61&lt;&gt;O60,IF(T61="G",1,-1),IF(T61="G",IF(N(AG60)&gt;0,AG60+1,1),IF(N(AG60)&lt;0,AG60-1,-1))))</f>
        <v/>
      </c>
    </row>
    <row r="62" customFormat="false" ht="15" hidden="false" customHeight="false" outlineLevel="0" collapsed="false">
      <c r="A62" s="36" t="str">
        <f aca="false">IF(B62="","",ROW()-6)</f>
        <v/>
      </c>
      <c r="B62" s="37"/>
      <c r="C62" s="38"/>
      <c r="D62" s="38"/>
      <c r="E62" s="39"/>
      <c r="F62" s="39"/>
      <c r="G62" s="39"/>
      <c r="H62" s="40"/>
      <c r="I62" s="40"/>
      <c r="J62" s="40"/>
      <c r="K62" s="40"/>
      <c r="L62" s="39"/>
      <c r="M62" s="40"/>
      <c r="N62" s="40"/>
      <c r="O62" s="36" t="str">
        <f aca="false">IF($B62="","",INT((A62-1)/Parametros!$C$10)+1)</f>
        <v/>
      </c>
      <c r="P62" s="41" t="str">
        <f aca="false">IF($B62="","",IF(OR(C62="",D62=""),"",ROUND((D62-C62)*1440,0)))</f>
        <v/>
      </c>
      <c r="Q62" s="42" t="str">
        <f aca="false">IF($B62="","",I62*VLOOKUP(E62,Parametros!$B$18:$D$24,2,FALSE()))</f>
        <v/>
      </c>
      <c r="R62" s="42" t="str">
        <f aca="false">IF($B62="","",G62*VLOOKUP(E62,Parametros!$B$18:$D$24,3,FALSE()))</f>
        <v/>
      </c>
      <c r="S62" s="42" t="str">
        <f aca="false">IF($B62="","",Q62-R62)</f>
        <v/>
      </c>
      <c r="T62" s="43" t="str">
        <f aca="false">IF($B62="","",IF(S62&gt;0,"G","P"))</f>
        <v/>
      </c>
      <c r="U62" s="44" t="str">
        <f aca="false">IF($B62="","",S62/Parametros!$C$8)</f>
        <v/>
      </c>
      <c r="V62" s="42" t="str">
        <f aca="false">IF($B62="","",Parametros!$C$6+SUM($S$7:S62))</f>
        <v/>
      </c>
      <c r="W62" s="42" t="str">
        <f aca="false">IF($B62="","",MAX(V62,W61))</f>
        <v/>
      </c>
      <c r="X62" s="42" t="str">
        <f aca="false">IF($B62="","",V62-W62)</f>
        <v/>
      </c>
      <c r="Y62" s="45" t="str">
        <f aca="false">IF($B62="","",X62/W62)</f>
        <v/>
      </c>
      <c r="Z62" s="36" t="str">
        <f aca="false">IF($B62="","",IF(T62="G",IF(N(Z61)&gt;0,Z61+1,1),IF(N(Z61)&lt;0,Z61-1,-1)))</f>
        <v/>
      </c>
      <c r="AA62" s="46" t="str">
        <f aca="false">IF($B62="","",B62-WEEKDAY(B62,2)+1)</f>
        <v/>
      </c>
      <c r="AB62" s="47" t="str">
        <f aca="false">IF($B62="","",DATE(YEAR(B62),MONTH(B62),1))</f>
        <v/>
      </c>
      <c r="AC62" s="41" t="str">
        <f aca="false">IF($B62="","",CHOOSE(WEEKDAY(B62,2),"Lunes","Martes","Miércoles","Jueves","Viernes","Sábado","Domingo"))</f>
        <v/>
      </c>
      <c r="AD62" s="36" t="str">
        <f aca="false">IF($B62="","",HOUR(C62))</f>
        <v/>
      </c>
      <c r="AE62" s="42" t="str">
        <f aca="false">IF($B62="","",IF(O62&lt;&gt;O61,MAX(V62-S62,V62),MAX(V62,AE61)))</f>
        <v/>
      </c>
      <c r="AF62" s="42" t="str">
        <f aca="false">IF($B62="","",V62-AE62)</f>
        <v/>
      </c>
      <c r="AG62" s="36" t="str">
        <f aca="false">IF($B62="","",IF(O62&lt;&gt;O61,IF(T62="G",1,-1),IF(T62="G",IF(N(AG61)&gt;0,AG61+1,1),IF(N(AG61)&lt;0,AG61-1,-1))))</f>
        <v/>
      </c>
    </row>
    <row r="63" customFormat="false" ht="15" hidden="false" customHeight="false" outlineLevel="0" collapsed="false">
      <c r="A63" s="36" t="str">
        <f aca="false">IF(B63="","",ROW()-6)</f>
        <v/>
      </c>
      <c r="B63" s="37"/>
      <c r="C63" s="38"/>
      <c r="D63" s="38"/>
      <c r="E63" s="39"/>
      <c r="F63" s="39"/>
      <c r="G63" s="39"/>
      <c r="H63" s="40"/>
      <c r="I63" s="40"/>
      <c r="J63" s="40"/>
      <c r="K63" s="40"/>
      <c r="L63" s="39"/>
      <c r="M63" s="40"/>
      <c r="N63" s="40"/>
      <c r="O63" s="36" t="str">
        <f aca="false">IF($B63="","",INT((A63-1)/Parametros!$C$10)+1)</f>
        <v/>
      </c>
      <c r="P63" s="41" t="str">
        <f aca="false">IF($B63="","",IF(OR(C63="",D63=""),"",ROUND((D63-C63)*1440,0)))</f>
        <v/>
      </c>
      <c r="Q63" s="42" t="str">
        <f aca="false">IF($B63="","",I63*VLOOKUP(E63,Parametros!$B$18:$D$24,2,FALSE()))</f>
        <v/>
      </c>
      <c r="R63" s="42" t="str">
        <f aca="false">IF($B63="","",G63*VLOOKUP(E63,Parametros!$B$18:$D$24,3,FALSE()))</f>
        <v/>
      </c>
      <c r="S63" s="42" t="str">
        <f aca="false">IF($B63="","",Q63-R63)</f>
        <v/>
      </c>
      <c r="T63" s="43" t="str">
        <f aca="false">IF($B63="","",IF(S63&gt;0,"G","P"))</f>
        <v/>
      </c>
      <c r="U63" s="44" t="str">
        <f aca="false">IF($B63="","",S63/Parametros!$C$8)</f>
        <v/>
      </c>
      <c r="V63" s="42" t="str">
        <f aca="false">IF($B63="","",Parametros!$C$6+SUM($S$7:S63))</f>
        <v/>
      </c>
      <c r="W63" s="42" t="str">
        <f aca="false">IF($B63="","",MAX(V63,W62))</f>
        <v/>
      </c>
      <c r="X63" s="42" t="str">
        <f aca="false">IF($B63="","",V63-W63)</f>
        <v/>
      </c>
      <c r="Y63" s="45" t="str">
        <f aca="false">IF($B63="","",X63/W63)</f>
        <v/>
      </c>
      <c r="Z63" s="36" t="str">
        <f aca="false">IF($B63="","",IF(T63="G",IF(N(Z62)&gt;0,Z62+1,1),IF(N(Z62)&lt;0,Z62-1,-1)))</f>
        <v/>
      </c>
      <c r="AA63" s="46" t="str">
        <f aca="false">IF($B63="","",B63-WEEKDAY(B63,2)+1)</f>
        <v/>
      </c>
      <c r="AB63" s="47" t="str">
        <f aca="false">IF($B63="","",DATE(YEAR(B63),MONTH(B63),1))</f>
        <v/>
      </c>
      <c r="AC63" s="41" t="str">
        <f aca="false">IF($B63="","",CHOOSE(WEEKDAY(B63,2),"Lunes","Martes","Miércoles","Jueves","Viernes","Sábado","Domingo"))</f>
        <v/>
      </c>
      <c r="AD63" s="36" t="str">
        <f aca="false">IF($B63="","",HOUR(C63))</f>
        <v/>
      </c>
      <c r="AE63" s="42" t="str">
        <f aca="false">IF($B63="","",IF(O63&lt;&gt;O62,MAX(V63-S63,V63),MAX(V63,AE62)))</f>
        <v/>
      </c>
      <c r="AF63" s="42" t="str">
        <f aca="false">IF($B63="","",V63-AE63)</f>
        <v/>
      </c>
      <c r="AG63" s="36" t="str">
        <f aca="false">IF($B63="","",IF(O63&lt;&gt;O62,IF(T63="G",1,-1),IF(T63="G",IF(N(AG62)&gt;0,AG62+1,1),IF(N(AG62)&lt;0,AG62-1,-1))))</f>
        <v/>
      </c>
    </row>
    <row r="64" customFormat="false" ht="15" hidden="false" customHeight="false" outlineLevel="0" collapsed="false">
      <c r="A64" s="36" t="str">
        <f aca="false">IF(B64="","",ROW()-6)</f>
        <v/>
      </c>
      <c r="B64" s="37"/>
      <c r="C64" s="38"/>
      <c r="D64" s="38"/>
      <c r="E64" s="39"/>
      <c r="F64" s="39"/>
      <c r="G64" s="39"/>
      <c r="H64" s="40"/>
      <c r="I64" s="40"/>
      <c r="J64" s="40"/>
      <c r="K64" s="40"/>
      <c r="L64" s="39"/>
      <c r="M64" s="40"/>
      <c r="N64" s="40"/>
      <c r="O64" s="36" t="str">
        <f aca="false">IF($B64="","",INT((A64-1)/Parametros!$C$10)+1)</f>
        <v/>
      </c>
      <c r="P64" s="41" t="str">
        <f aca="false">IF($B64="","",IF(OR(C64="",D64=""),"",ROUND((D64-C64)*1440,0)))</f>
        <v/>
      </c>
      <c r="Q64" s="42" t="str">
        <f aca="false">IF($B64="","",I64*VLOOKUP(E64,Parametros!$B$18:$D$24,2,FALSE()))</f>
        <v/>
      </c>
      <c r="R64" s="42" t="str">
        <f aca="false">IF($B64="","",G64*VLOOKUP(E64,Parametros!$B$18:$D$24,3,FALSE()))</f>
        <v/>
      </c>
      <c r="S64" s="42" t="str">
        <f aca="false">IF($B64="","",Q64-R64)</f>
        <v/>
      </c>
      <c r="T64" s="43" t="str">
        <f aca="false">IF($B64="","",IF(S64&gt;0,"G","P"))</f>
        <v/>
      </c>
      <c r="U64" s="44" t="str">
        <f aca="false">IF($B64="","",S64/Parametros!$C$8)</f>
        <v/>
      </c>
      <c r="V64" s="42" t="str">
        <f aca="false">IF($B64="","",Parametros!$C$6+SUM($S$7:S64))</f>
        <v/>
      </c>
      <c r="W64" s="42" t="str">
        <f aca="false">IF($B64="","",MAX(V64,W63))</f>
        <v/>
      </c>
      <c r="X64" s="42" t="str">
        <f aca="false">IF($B64="","",V64-W64)</f>
        <v/>
      </c>
      <c r="Y64" s="45" t="str">
        <f aca="false">IF($B64="","",X64/W64)</f>
        <v/>
      </c>
      <c r="Z64" s="36" t="str">
        <f aca="false">IF($B64="","",IF(T64="G",IF(N(Z63)&gt;0,Z63+1,1),IF(N(Z63)&lt;0,Z63-1,-1)))</f>
        <v/>
      </c>
      <c r="AA64" s="46" t="str">
        <f aca="false">IF($B64="","",B64-WEEKDAY(B64,2)+1)</f>
        <v/>
      </c>
      <c r="AB64" s="47" t="str">
        <f aca="false">IF($B64="","",DATE(YEAR(B64),MONTH(B64),1))</f>
        <v/>
      </c>
      <c r="AC64" s="41" t="str">
        <f aca="false">IF($B64="","",CHOOSE(WEEKDAY(B64,2),"Lunes","Martes","Miércoles","Jueves","Viernes","Sábado","Domingo"))</f>
        <v/>
      </c>
      <c r="AD64" s="36" t="str">
        <f aca="false">IF($B64="","",HOUR(C64))</f>
        <v/>
      </c>
      <c r="AE64" s="42" t="str">
        <f aca="false">IF($B64="","",IF(O64&lt;&gt;O63,MAX(V64-S64,V64),MAX(V64,AE63)))</f>
        <v/>
      </c>
      <c r="AF64" s="42" t="str">
        <f aca="false">IF($B64="","",V64-AE64)</f>
        <v/>
      </c>
      <c r="AG64" s="36" t="str">
        <f aca="false">IF($B64="","",IF(O64&lt;&gt;O63,IF(T64="G",1,-1),IF(T64="G",IF(N(AG63)&gt;0,AG63+1,1),IF(N(AG63)&lt;0,AG63-1,-1))))</f>
        <v/>
      </c>
    </row>
    <row r="65" customFormat="false" ht="15" hidden="false" customHeight="false" outlineLevel="0" collapsed="false">
      <c r="A65" s="36" t="str">
        <f aca="false">IF(B65="","",ROW()-6)</f>
        <v/>
      </c>
      <c r="B65" s="37"/>
      <c r="C65" s="38"/>
      <c r="D65" s="38"/>
      <c r="E65" s="39"/>
      <c r="F65" s="39"/>
      <c r="G65" s="39"/>
      <c r="H65" s="40"/>
      <c r="I65" s="40"/>
      <c r="J65" s="40"/>
      <c r="K65" s="40"/>
      <c r="L65" s="39"/>
      <c r="M65" s="40"/>
      <c r="N65" s="40"/>
      <c r="O65" s="36" t="str">
        <f aca="false">IF($B65="","",INT((A65-1)/Parametros!$C$10)+1)</f>
        <v/>
      </c>
      <c r="P65" s="41" t="str">
        <f aca="false">IF($B65="","",IF(OR(C65="",D65=""),"",ROUND((D65-C65)*1440,0)))</f>
        <v/>
      </c>
      <c r="Q65" s="42" t="str">
        <f aca="false">IF($B65="","",I65*VLOOKUP(E65,Parametros!$B$18:$D$24,2,FALSE()))</f>
        <v/>
      </c>
      <c r="R65" s="42" t="str">
        <f aca="false">IF($B65="","",G65*VLOOKUP(E65,Parametros!$B$18:$D$24,3,FALSE()))</f>
        <v/>
      </c>
      <c r="S65" s="42" t="str">
        <f aca="false">IF($B65="","",Q65-R65)</f>
        <v/>
      </c>
      <c r="T65" s="43" t="str">
        <f aca="false">IF($B65="","",IF(S65&gt;0,"G","P"))</f>
        <v/>
      </c>
      <c r="U65" s="44" t="str">
        <f aca="false">IF($B65="","",S65/Parametros!$C$8)</f>
        <v/>
      </c>
      <c r="V65" s="42" t="str">
        <f aca="false">IF($B65="","",Parametros!$C$6+SUM($S$7:S65))</f>
        <v/>
      </c>
      <c r="W65" s="42" t="str">
        <f aca="false">IF($B65="","",MAX(V65,W64))</f>
        <v/>
      </c>
      <c r="X65" s="42" t="str">
        <f aca="false">IF($B65="","",V65-W65)</f>
        <v/>
      </c>
      <c r="Y65" s="45" t="str">
        <f aca="false">IF($B65="","",X65/W65)</f>
        <v/>
      </c>
      <c r="Z65" s="36" t="str">
        <f aca="false">IF($B65="","",IF(T65="G",IF(N(Z64)&gt;0,Z64+1,1),IF(N(Z64)&lt;0,Z64-1,-1)))</f>
        <v/>
      </c>
      <c r="AA65" s="46" t="str">
        <f aca="false">IF($B65="","",B65-WEEKDAY(B65,2)+1)</f>
        <v/>
      </c>
      <c r="AB65" s="47" t="str">
        <f aca="false">IF($B65="","",DATE(YEAR(B65),MONTH(B65),1))</f>
        <v/>
      </c>
      <c r="AC65" s="41" t="str">
        <f aca="false">IF($B65="","",CHOOSE(WEEKDAY(B65,2),"Lunes","Martes","Miércoles","Jueves","Viernes","Sábado","Domingo"))</f>
        <v/>
      </c>
      <c r="AD65" s="36" t="str">
        <f aca="false">IF($B65="","",HOUR(C65))</f>
        <v/>
      </c>
      <c r="AE65" s="42" t="str">
        <f aca="false">IF($B65="","",IF(O65&lt;&gt;O64,MAX(V65-S65,V65),MAX(V65,AE64)))</f>
        <v/>
      </c>
      <c r="AF65" s="42" t="str">
        <f aca="false">IF($B65="","",V65-AE65)</f>
        <v/>
      </c>
      <c r="AG65" s="36" t="str">
        <f aca="false">IF($B65="","",IF(O65&lt;&gt;O64,IF(T65="G",1,-1),IF(T65="G",IF(N(AG64)&gt;0,AG64+1,1),IF(N(AG64)&lt;0,AG64-1,-1))))</f>
        <v/>
      </c>
    </row>
    <row r="66" customFormat="false" ht="15" hidden="false" customHeight="false" outlineLevel="0" collapsed="false">
      <c r="A66" s="36" t="str">
        <f aca="false">IF(B66="","",ROW()-6)</f>
        <v/>
      </c>
      <c r="B66" s="37"/>
      <c r="C66" s="38"/>
      <c r="D66" s="38"/>
      <c r="E66" s="39"/>
      <c r="F66" s="39"/>
      <c r="G66" s="39"/>
      <c r="H66" s="40"/>
      <c r="I66" s="40"/>
      <c r="J66" s="40"/>
      <c r="K66" s="40"/>
      <c r="L66" s="39"/>
      <c r="M66" s="40"/>
      <c r="N66" s="40"/>
      <c r="O66" s="36" t="str">
        <f aca="false">IF($B66="","",INT((A66-1)/Parametros!$C$10)+1)</f>
        <v/>
      </c>
      <c r="P66" s="41" t="str">
        <f aca="false">IF($B66="","",IF(OR(C66="",D66=""),"",ROUND((D66-C66)*1440,0)))</f>
        <v/>
      </c>
      <c r="Q66" s="42" t="str">
        <f aca="false">IF($B66="","",I66*VLOOKUP(E66,Parametros!$B$18:$D$24,2,FALSE()))</f>
        <v/>
      </c>
      <c r="R66" s="42" t="str">
        <f aca="false">IF($B66="","",G66*VLOOKUP(E66,Parametros!$B$18:$D$24,3,FALSE()))</f>
        <v/>
      </c>
      <c r="S66" s="42" t="str">
        <f aca="false">IF($B66="","",Q66-R66)</f>
        <v/>
      </c>
      <c r="T66" s="43" t="str">
        <f aca="false">IF($B66="","",IF(S66&gt;0,"G","P"))</f>
        <v/>
      </c>
      <c r="U66" s="44" t="str">
        <f aca="false">IF($B66="","",S66/Parametros!$C$8)</f>
        <v/>
      </c>
      <c r="V66" s="42" t="str">
        <f aca="false">IF($B66="","",Parametros!$C$6+SUM($S$7:S66))</f>
        <v/>
      </c>
      <c r="W66" s="42" t="str">
        <f aca="false">IF($B66="","",MAX(V66,W65))</f>
        <v/>
      </c>
      <c r="X66" s="42" t="str">
        <f aca="false">IF($B66="","",V66-W66)</f>
        <v/>
      </c>
      <c r="Y66" s="45" t="str">
        <f aca="false">IF($B66="","",X66/W66)</f>
        <v/>
      </c>
      <c r="Z66" s="36" t="str">
        <f aca="false">IF($B66="","",IF(T66="G",IF(N(Z65)&gt;0,Z65+1,1),IF(N(Z65)&lt;0,Z65-1,-1)))</f>
        <v/>
      </c>
      <c r="AA66" s="46" t="str">
        <f aca="false">IF($B66="","",B66-WEEKDAY(B66,2)+1)</f>
        <v/>
      </c>
      <c r="AB66" s="47" t="str">
        <f aca="false">IF($B66="","",DATE(YEAR(B66),MONTH(B66),1))</f>
        <v/>
      </c>
      <c r="AC66" s="41" t="str">
        <f aca="false">IF($B66="","",CHOOSE(WEEKDAY(B66,2),"Lunes","Martes","Miércoles","Jueves","Viernes","Sábado","Domingo"))</f>
        <v/>
      </c>
      <c r="AD66" s="36" t="str">
        <f aca="false">IF($B66="","",HOUR(C66))</f>
        <v/>
      </c>
      <c r="AE66" s="42" t="str">
        <f aca="false">IF($B66="","",IF(O66&lt;&gt;O65,MAX(V66-S66,V66),MAX(V66,AE65)))</f>
        <v/>
      </c>
      <c r="AF66" s="42" t="str">
        <f aca="false">IF($B66="","",V66-AE66)</f>
        <v/>
      </c>
      <c r="AG66" s="36" t="str">
        <f aca="false">IF($B66="","",IF(O66&lt;&gt;O65,IF(T66="G",1,-1),IF(T66="G",IF(N(AG65)&gt;0,AG65+1,1),IF(N(AG65)&lt;0,AG65-1,-1))))</f>
        <v/>
      </c>
    </row>
    <row r="67" customFormat="false" ht="15" hidden="false" customHeight="false" outlineLevel="0" collapsed="false">
      <c r="A67" s="36" t="str">
        <f aca="false">IF(B67="","",ROW()-6)</f>
        <v/>
      </c>
      <c r="B67" s="37"/>
      <c r="C67" s="38"/>
      <c r="D67" s="38"/>
      <c r="E67" s="39"/>
      <c r="F67" s="39"/>
      <c r="G67" s="39"/>
      <c r="H67" s="40"/>
      <c r="I67" s="40"/>
      <c r="J67" s="40"/>
      <c r="K67" s="40"/>
      <c r="L67" s="39"/>
      <c r="M67" s="40"/>
      <c r="N67" s="40"/>
      <c r="O67" s="36" t="str">
        <f aca="false">IF($B67="","",INT((A67-1)/Parametros!$C$10)+1)</f>
        <v/>
      </c>
      <c r="P67" s="41" t="str">
        <f aca="false">IF($B67="","",IF(OR(C67="",D67=""),"",ROUND((D67-C67)*1440,0)))</f>
        <v/>
      </c>
      <c r="Q67" s="42" t="str">
        <f aca="false">IF($B67="","",I67*VLOOKUP(E67,Parametros!$B$18:$D$24,2,FALSE()))</f>
        <v/>
      </c>
      <c r="R67" s="42" t="str">
        <f aca="false">IF($B67="","",G67*VLOOKUP(E67,Parametros!$B$18:$D$24,3,FALSE()))</f>
        <v/>
      </c>
      <c r="S67" s="42" t="str">
        <f aca="false">IF($B67="","",Q67-R67)</f>
        <v/>
      </c>
      <c r="T67" s="43" t="str">
        <f aca="false">IF($B67="","",IF(S67&gt;0,"G","P"))</f>
        <v/>
      </c>
      <c r="U67" s="44" t="str">
        <f aca="false">IF($B67="","",S67/Parametros!$C$8)</f>
        <v/>
      </c>
      <c r="V67" s="42" t="str">
        <f aca="false">IF($B67="","",Parametros!$C$6+SUM($S$7:S67))</f>
        <v/>
      </c>
      <c r="W67" s="42" t="str">
        <f aca="false">IF($B67="","",MAX(V67,W66))</f>
        <v/>
      </c>
      <c r="X67" s="42" t="str">
        <f aca="false">IF($B67="","",V67-W67)</f>
        <v/>
      </c>
      <c r="Y67" s="45" t="str">
        <f aca="false">IF($B67="","",X67/W67)</f>
        <v/>
      </c>
      <c r="Z67" s="36" t="str">
        <f aca="false">IF($B67="","",IF(T67="G",IF(N(Z66)&gt;0,Z66+1,1),IF(N(Z66)&lt;0,Z66-1,-1)))</f>
        <v/>
      </c>
      <c r="AA67" s="46" t="str">
        <f aca="false">IF($B67="","",B67-WEEKDAY(B67,2)+1)</f>
        <v/>
      </c>
      <c r="AB67" s="47" t="str">
        <f aca="false">IF($B67="","",DATE(YEAR(B67),MONTH(B67),1))</f>
        <v/>
      </c>
      <c r="AC67" s="41" t="str">
        <f aca="false">IF($B67="","",CHOOSE(WEEKDAY(B67,2),"Lunes","Martes","Miércoles","Jueves","Viernes","Sábado","Domingo"))</f>
        <v/>
      </c>
      <c r="AD67" s="36" t="str">
        <f aca="false">IF($B67="","",HOUR(C67))</f>
        <v/>
      </c>
      <c r="AE67" s="42" t="str">
        <f aca="false">IF($B67="","",IF(O67&lt;&gt;O66,MAX(V67-S67,V67),MAX(V67,AE66)))</f>
        <v/>
      </c>
      <c r="AF67" s="42" t="str">
        <f aca="false">IF($B67="","",V67-AE67)</f>
        <v/>
      </c>
      <c r="AG67" s="36" t="str">
        <f aca="false">IF($B67="","",IF(O67&lt;&gt;O66,IF(T67="G",1,-1),IF(T67="G",IF(N(AG66)&gt;0,AG66+1,1),IF(N(AG66)&lt;0,AG66-1,-1))))</f>
        <v/>
      </c>
    </row>
    <row r="68" customFormat="false" ht="15" hidden="false" customHeight="false" outlineLevel="0" collapsed="false">
      <c r="A68" s="36" t="str">
        <f aca="false">IF(B68="","",ROW()-6)</f>
        <v/>
      </c>
      <c r="B68" s="37"/>
      <c r="C68" s="38"/>
      <c r="D68" s="38"/>
      <c r="E68" s="39"/>
      <c r="F68" s="39"/>
      <c r="G68" s="39"/>
      <c r="H68" s="40"/>
      <c r="I68" s="40"/>
      <c r="J68" s="40"/>
      <c r="K68" s="40"/>
      <c r="L68" s="39"/>
      <c r="M68" s="40"/>
      <c r="N68" s="40"/>
      <c r="O68" s="36" t="str">
        <f aca="false">IF($B68="","",INT((A68-1)/Parametros!$C$10)+1)</f>
        <v/>
      </c>
      <c r="P68" s="41" t="str">
        <f aca="false">IF($B68="","",IF(OR(C68="",D68=""),"",ROUND((D68-C68)*1440,0)))</f>
        <v/>
      </c>
      <c r="Q68" s="42" t="str">
        <f aca="false">IF($B68="","",I68*VLOOKUP(E68,Parametros!$B$18:$D$24,2,FALSE()))</f>
        <v/>
      </c>
      <c r="R68" s="42" t="str">
        <f aca="false">IF($B68="","",G68*VLOOKUP(E68,Parametros!$B$18:$D$24,3,FALSE()))</f>
        <v/>
      </c>
      <c r="S68" s="42" t="str">
        <f aca="false">IF($B68="","",Q68-R68)</f>
        <v/>
      </c>
      <c r="T68" s="43" t="str">
        <f aca="false">IF($B68="","",IF(S68&gt;0,"G","P"))</f>
        <v/>
      </c>
      <c r="U68" s="44" t="str">
        <f aca="false">IF($B68="","",S68/Parametros!$C$8)</f>
        <v/>
      </c>
      <c r="V68" s="42" t="str">
        <f aca="false">IF($B68="","",Parametros!$C$6+SUM($S$7:S68))</f>
        <v/>
      </c>
      <c r="W68" s="42" t="str">
        <f aca="false">IF($B68="","",MAX(V68,W67))</f>
        <v/>
      </c>
      <c r="X68" s="42" t="str">
        <f aca="false">IF($B68="","",V68-W68)</f>
        <v/>
      </c>
      <c r="Y68" s="45" t="str">
        <f aca="false">IF($B68="","",X68/W68)</f>
        <v/>
      </c>
      <c r="Z68" s="36" t="str">
        <f aca="false">IF($B68="","",IF(T68="G",IF(N(Z67)&gt;0,Z67+1,1),IF(N(Z67)&lt;0,Z67-1,-1)))</f>
        <v/>
      </c>
      <c r="AA68" s="46" t="str">
        <f aca="false">IF($B68="","",B68-WEEKDAY(B68,2)+1)</f>
        <v/>
      </c>
      <c r="AB68" s="47" t="str">
        <f aca="false">IF($B68="","",DATE(YEAR(B68),MONTH(B68),1))</f>
        <v/>
      </c>
      <c r="AC68" s="41" t="str">
        <f aca="false">IF($B68="","",CHOOSE(WEEKDAY(B68,2),"Lunes","Martes","Miércoles","Jueves","Viernes","Sábado","Domingo"))</f>
        <v/>
      </c>
      <c r="AD68" s="36" t="str">
        <f aca="false">IF($B68="","",HOUR(C68))</f>
        <v/>
      </c>
      <c r="AE68" s="42" t="str">
        <f aca="false">IF($B68="","",IF(O68&lt;&gt;O67,MAX(V68-S68,V68),MAX(V68,AE67)))</f>
        <v/>
      </c>
      <c r="AF68" s="42" t="str">
        <f aca="false">IF($B68="","",V68-AE68)</f>
        <v/>
      </c>
      <c r="AG68" s="36" t="str">
        <f aca="false">IF($B68="","",IF(O68&lt;&gt;O67,IF(T68="G",1,-1),IF(T68="G",IF(N(AG67)&gt;0,AG67+1,1),IF(N(AG67)&lt;0,AG67-1,-1))))</f>
        <v/>
      </c>
    </row>
    <row r="69" customFormat="false" ht="15" hidden="false" customHeight="false" outlineLevel="0" collapsed="false">
      <c r="A69" s="36" t="str">
        <f aca="false">IF(B69="","",ROW()-6)</f>
        <v/>
      </c>
      <c r="B69" s="37"/>
      <c r="C69" s="38"/>
      <c r="D69" s="38"/>
      <c r="E69" s="39"/>
      <c r="F69" s="39"/>
      <c r="G69" s="39"/>
      <c r="H69" s="40"/>
      <c r="I69" s="40"/>
      <c r="J69" s="40"/>
      <c r="K69" s="40"/>
      <c r="L69" s="39"/>
      <c r="M69" s="40"/>
      <c r="N69" s="40"/>
      <c r="O69" s="36" t="str">
        <f aca="false">IF($B69="","",INT((A69-1)/Parametros!$C$10)+1)</f>
        <v/>
      </c>
      <c r="P69" s="41" t="str">
        <f aca="false">IF($B69="","",IF(OR(C69="",D69=""),"",ROUND((D69-C69)*1440,0)))</f>
        <v/>
      </c>
      <c r="Q69" s="42" t="str">
        <f aca="false">IF($B69="","",I69*VLOOKUP(E69,Parametros!$B$18:$D$24,2,FALSE()))</f>
        <v/>
      </c>
      <c r="R69" s="42" t="str">
        <f aca="false">IF($B69="","",G69*VLOOKUP(E69,Parametros!$B$18:$D$24,3,FALSE()))</f>
        <v/>
      </c>
      <c r="S69" s="42" t="str">
        <f aca="false">IF($B69="","",Q69-R69)</f>
        <v/>
      </c>
      <c r="T69" s="43" t="str">
        <f aca="false">IF($B69="","",IF(S69&gt;0,"G","P"))</f>
        <v/>
      </c>
      <c r="U69" s="44" t="str">
        <f aca="false">IF($B69="","",S69/Parametros!$C$8)</f>
        <v/>
      </c>
      <c r="V69" s="42" t="str">
        <f aca="false">IF($B69="","",Parametros!$C$6+SUM($S$7:S69))</f>
        <v/>
      </c>
      <c r="W69" s="42" t="str">
        <f aca="false">IF($B69="","",MAX(V69,W68))</f>
        <v/>
      </c>
      <c r="X69" s="42" t="str">
        <f aca="false">IF($B69="","",V69-W69)</f>
        <v/>
      </c>
      <c r="Y69" s="45" t="str">
        <f aca="false">IF($B69="","",X69/W69)</f>
        <v/>
      </c>
      <c r="Z69" s="36" t="str">
        <f aca="false">IF($B69="","",IF(T69="G",IF(N(Z68)&gt;0,Z68+1,1),IF(N(Z68)&lt;0,Z68-1,-1)))</f>
        <v/>
      </c>
      <c r="AA69" s="46" t="str">
        <f aca="false">IF($B69="","",B69-WEEKDAY(B69,2)+1)</f>
        <v/>
      </c>
      <c r="AB69" s="47" t="str">
        <f aca="false">IF($B69="","",DATE(YEAR(B69),MONTH(B69),1))</f>
        <v/>
      </c>
      <c r="AC69" s="41" t="str">
        <f aca="false">IF($B69="","",CHOOSE(WEEKDAY(B69,2),"Lunes","Martes","Miércoles","Jueves","Viernes","Sábado","Domingo"))</f>
        <v/>
      </c>
      <c r="AD69" s="36" t="str">
        <f aca="false">IF($B69="","",HOUR(C69))</f>
        <v/>
      </c>
      <c r="AE69" s="42" t="str">
        <f aca="false">IF($B69="","",IF(O69&lt;&gt;O68,MAX(V69-S69,V69),MAX(V69,AE68)))</f>
        <v/>
      </c>
      <c r="AF69" s="42" t="str">
        <f aca="false">IF($B69="","",V69-AE69)</f>
        <v/>
      </c>
      <c r="AG69" s="36" t="str">
        <f aca="false">IF($B69="","",IF(O69&lt;&gt;O68,IF(T69="G",1,-1),IF(T69="G",IF(N(AG68)&gt;0,AG68+1,1),IF(N(AG68)&lt;0,AG68-1,-1))))</f>
        <v/>
      </c>
    </row>
    <row r="70" customFormat="false" ht="15" hidden="false" customHeight="false" outlineLevel="0" collapsed="false">
      <c r="A70" s="36" t="str">
        <f aca="false">IF(B70="","",ROW()-6)</f>
        <v/>
      </c>
      <c r="B70" s="37"/>
      <c r="C70" s="38"/>
      <c r="D70" s="38"/>
      <c r="E70" s="39"/>
      <c r="F70" s="39"/>
      <c r="G70" s="39"/>
      <c r="H70" s="40"/>
      <c r="I70" s="40"/>
      <c r="J70" s="40"/>
      <c r="K70" s="40"/>
      <c r="L70" s="39"/>
      <c r="M70" s="40"/>
      <c r="N70" s="40"/>
      <c r="O70" s="36" t="str">
        <f aca="false">IF($B70="","",INT((A70-1)/Parametros!$C$10)+1)</f>
        <v/>
      </c>
      <c r="P70" s="41" t="str">
        <f aca="false">IF($B70="","",IF(OR(C70="",D70=""),"",ROUND((D70-C70)*1440,0)))</f>
        <v/>
      </c>
      <c r="Q70" s="42" t="str">
        <f aca="false">IF($B70="","",I70*VLOOKUP(E70,Parametros!$B$18:$D$24,2,FALSE()))</f>
        <v/>
      </c>
      <c r="R70" s="42" t="str">
        <f aca="false">IF($B70="","",G70*VLOOKUP(E70,Parametros!$B$18:$D$24,3,FALSE()))</f>
        <v/>
      </c>
      <c r="S70" s="42" t="str">
        <f aca="false">IF($B70="","",Q70-R70)</f>
        <v/>
      </c>
      <c r="T70" s="43" t="str">
        <f aca="false">IF($B70="","",IF(S70&gt;0,"G","P"))</f>
        <v/>
      </c>
      <c r="U70" s="44" t="str">
        <f aca="false">IF($B70="","",S70/Parametros!$C$8)</f>
        <v/>
      </c>
      <c r="V70" s="42" t="str">
        <f aca="false">IF($B70="","",Parametros!$C$6+SUM($S$7:S70))</f>
        <v/>
      </c>
      <c r="W70" s="42" t="str">
        <f aca="false">IF($B70="","",MAX(V70,W69))</f>
        <v/>
      </c>
      <c r="X70" s="42" t="str">
        <f aca="false">IF($B70="","",V70-W70)</f>
        <v/>
      </c>
      <c r="Y70" s="45" t="str">
        <f aca="false">IF($B70="","",X70/W70)</f>
        <v/>
      </c>
      <c r="Z70" s="36" t="str">
        <f aca="false">IF($B70="","",IF(T70="G",IF(N(Z69)&gt;0,Z69+1,1),IF(N(Z69)&lt;0,Z69-1,-1)))</f>
        <v/>
      </c>
      <c r="AA70" s="46" t="str">
        <f aca="false">IF($B70="","",B70-WEEKDAY(B70,2)+1)</f>
        <v/>
      </c>
      <c r="AB70" s="47" t="str">
        <f aca="false">IF($B70="","",DATE(YEAR(B70),MONTH(B70),1))</f>
        <v/>
      </c>
      <c r="AC70" s="41" t="str">
        <f aca="false">IF($B70="","",CHOOSE(WEEKDAY(B70,2),"Lunes","Martes","Miércoles","Jueves","Viernes","Sábado","Domingo"))</f>
        <v/>
      </c>
      <c r="AD70" s="36" t="str">
        <f aca="false">IF($B70="","",HOUR(C70))</f>
        <v/>
      </c>
      <c r="AE70" s="42" t="str">
        <f aca="false">IF($B70="","",IF(O70&lt;&gt;O69,MAX(V70-S70,V70),MAX(V70,AE69)))</f>
        <v/>
      </c>
      <c r="AF70" s="42" t="str">
        <f aca="false">IF($B70="","",V70-AE70)</f>
        <v/>
      </c>
      <c r="AG70" s="36" t="str">
        <f aca="false">IF($B70="","",IF(O70&lt;&gt;O69,IF(T70="G",1,-1),IF(T70="G",IF(N(AG69)&gt;0,AG69+1,1),IF(N(AG69)&lt;0,AG69-1,-1))))</f>
        <v/>
      </c>
    </row>
    <row r="71" customFormat="false" ht="15" hidden="false" customHeight="false" outlineLevel="0" collapsed="false">
      <c r="A71" s="36" t="str">
        <f aca="false">IF(B71="","",ROW()-6)</f>
        <v/>
      </c>
      <c r="B71" s="37"/>
      <c r="C71" s="38"/>
      <c r="D71" s="38"/>
      <c r="E71" s="39"/>
      <c r="F71" s="39"/>
      <c r="G71" s="39"/>
      <c r="H71" s="40"/>
      <c r="I71" s="40"/>
      <c r="J71" s="40"/>
      <c r="K71" s="40"/>
      <c r="L71" s="39"/>
      <c r="M71" s="40"/>
      <c r="N71" s="40"/>
      <c r="O71" s="36" t="str">
        <f aca="false">IF($B71="","",INT((A71-1)/Parametros!$C$10)+1)</f>
        <v/>
      </c>
      <c r="P71" s="41" t="str">
        <f aca="false">IF($B71="","",IF(OR(C71="",D71=""),"",ROUND((D71-C71)*1440,0)))</f>
        <v/>
      </c>
      <c r="Q71" s="42" t="str">
        <f aca="false">IF($B71="","",I71*VLOOKUP(E71,Parametros!$B$18:$D$24,2,FALSE()))</f>
        <v/>
      </c>
      <c r="R71" s="42" t="str">
        <f aca="false">IF($B71="","",G71*VLOOKUP(E71,Parametros!$B$18:$D$24,3,FALSE()))</f>
        <v/>
      </c>
      <c r="S71" s="42" t="str">
        <f aca="false">IF($B71="","",Q71-R71)</f>
        <v/>
      </c>
      <c r="T71" s="43" t="str">
        <f aca="false">IF($B71="","",IF(S71&gt;0,"G","P"))</f>
        <v/>
      </c>
      <c r="U71" s="44" t="str">
        <f aca="false">IF($B71="","",S71/Parametros!$C$8)</f>
        <v/>
      </c>
      <c r="V71" s="42" t="str">
        <f aca="false">IF($B71="","",Parametros!$C$6+SUM($S$7:S71))</f>
        <v/>
      </c>
      <c r="W71" s="42" t="str">
        <f aca="false">IF($B71="","",MAX(V71,W70))</f>
        <v/>
      </c>
      <c r="X71" s="42" t="str">
        <f aca="false">IF($B71="","",V71-W71)</f>
        <v/>
      </c>
      <c r="Y71" s="45" t="str">
        <f aca="false">IF($B71="","",X71/W71)</f>
        <v/>
      </c>
      <c r="Z71" s="36" t="str">
        <f aca="false">IF($B71="","",IF(T71="G",IF(N(Z70)&gt;0,Z70+1,1),IF(N(Z70)&lt;0,Z70-1,-1)))</f>
        <v/>
      </c>
      <c r="AA71" s="46" t="str">
        <f aca="false">IF($B71="","",B71-WEEKDAY(B71,2)+1)</f>
        <v/>
      </c>
      <c r="AB71" s="47" t="str">
        <f aca="false">IF($B71="","",DATE(YEAR(B71),MONTH(B71),1))</f>
        <v/>
      </c>
      <c r="AC71" s="41" t="str">
        <f aca="false">IF($B71="","",CHOOSE(WEEKDAY(B71,2),"Lunes","Martes","Miércoles","Jueves","Viernes","Sábado","Domingo"))</f>
        <v/>
      </c>
      <c r="AD71" s="36" t="str">
        <f aca="false">IF($B71="","",HOUR(C71))</f>
        <v/>
      </c>
      <c r="AE71" s="42" t="str">
        <f aca="false">IF($B71="","",IF(O71&lt;&gt;O70,MAX(V71-S71,V71),MAX(V71,AE70)))</f>
        <v/>
      </c>
      <c r="AF71" s="42" t="str">
        <f aca="false">IF($B71="","",V71-AE71)</f>
        <v/>
      </c>
      <c r="AG71" s="36" t="str">
        <f aca="false">IF($B71="","",IF(O71&lt;&gt;O70,IF(T71="G",1,-1),IF(T71="G",IF(N(AG70)&gt;0,AG70+1,1),IF(N(AG70)&lt;0,AG70-1,-1))))</f>
        <v/>
      </c>
    </row>
    <row r="72" customFormat="false" ht="15" hidden="false" customHeight="false" outlineLevel="0" collapsed="false">
      <c r="A72" s="36" t="str">
        <f aca="false">IF(B72="","",ROW()-6)</f>
        <v/>
      </c>
      <c r="B72" s="37"/>
      <c r="C72" s="38"/>
      <c r="D72" s="38"/>
      <c r="E72" s="39"/>
      <c r="F72" s="39"/>
      <c r="G72" s="39"/>
      <c r="H72" s="40"/>
      <c r="I72" s="40"/>
      <c r="J72" s="40"/>
      <c r="K72" s="40"/>
      <c r="L72" s="39"/>
      <c r="M72" s="40"/>
      <c r="N72" s="40"/>
      <c r="O72" s="36" t="str">
        <f aca="false">IF($B72="","",INT((A72-1)/Parametros!$C$10)+1)</f>
        <v/>
      </c>
      <c r="P72" s="41" t="str">
        <f aca="false">IF($B72="","",IF(OR(C72="",D72=""),"",ROUND((D72-C72)*1440,0)))</f>
        <v/>
      </c>
      <c r="Q72" s="42" t="str">
        <f aca="false">IF($B72="","",I72*VLOOKUP(E72,Parametros!$B$18:$D$24,2,FALSE()))</f>
        <v/>
      </c>
      <c r="R72" s="42" t="str">
        <f aca="false">IF($B72="","",G72*VLOOKUP(E72,Parametros!$B$18:$D$24,3,FALSE()))</f>
        <v/>
      </c>
      <c r="S72" s="42" t="str">
        <f aca="false">IF($B72="","",Q72-R72)</f>
        <v/>
      </c>
      <c r="T72" s="43" t="str">
        <f aca="false">IF($B72="","",IF(S72&gt;0,"G","P"))</f>
        <v/>
      </c>
      <c r="U72" s="44" t="str">
        <f aca="false">IF($B72="","",S72/Parametros!$C$8)</f>
        <v/>
      </c>
      <c r="V72" s="42" t="str">
        <f aca="false">IF($B72="","",Parametros!$C$6+SUM($S$7:S72))</f>
        <v/>
      </c>
      <c r="W72" s="42" t="str">
        <f aca="false">IF($B72="","",MAX(V72,W71))</f>
        <v/>
      </c>
      <c r="X72" s="42" t="str">
        <f aca="false">IF($B72="","",V72-W72)</f>
        <v/>
      </c>
      <c r="Y72" s="45" t="str">
        <f aca="false">IF($B72="","",X72/W72)</f>
        <v/>
      </c>
      <c r="Z72" s="36" t="str">
        <f aca="false">IF($B72="","",IF(T72="G",IF(N(Z71)&gt;0,Z71+1,1),IF(N(Z71)&lt;0,Z71-1,-1)))</f>
        <v/>
      </c>
      <c r="AA72" s="46" t="str">
        <f aca="false">IF($B72="","",B72-WEEKDAY(B72,2)+1)</f>
        <v/>
      </c>
      <c r="AB72" s="47" t="str">
        <f aca="false">IF($B72="","",DATE(YEAR(B72),MONTH(B72),1))</f>
        <v/>
      </c>
      <c r="AC72" s="41" t="str">
        <f aca="false">IF($B72="","",CHOOSE(WEEKDAY(B72,2),"Lunes","Martes","Miércoles","Jueves","Viernes","Sábado","Domingo"))</f>
        <v/>
      </c>
      <c r="AD72" s="36" t="str">
        <f aca="false">IF($B72="","",HOUR(C72))</f>
        <v/>
      </c>
      <c r="AE72" s="42" t="str">
        <f aca="false">IF($B72="","",IF(O72&lt;&gt;O71,MAX(V72-S72,V72),MAX(V72,AE71)))</f>
        <v/>
      </c>
      <c r="AF72" s="42" t="str">
        <f aca="false">IF($B72="","",V72-AE72)</f>
        <v/>
      </c>
      <c r="AG72" s="36" t="str">
        <f aca="false">IF($B72="","",IF(O72&lt;&gt;O71,IF(T72="G",1,-1),IF(T72="G",IF(N(AG71)&gt;0,AG71+1,1),IF(N(AG71)&lt;0,AG71-1,-1))))</f>
        <v/>
      </c>
    </row>
    <row r="73" customFormat="false" ht="15" hidden="false" customHeight="false" outlineLevel="0" collapsed="false">
      <c r="A73" s="36" t="str">
        <f aca="false">IF(B73="","",ROW()-6)</f>
        <v/>
      </c>
      <c r="B73" s="37"/>
      <c r="C73" s="38"/>
      <c r="D73" s="38"/>
      <c r="E73" s="39"/>
      <c r="F73" s="39"/>
      <c r="G73" s="39"/>
      <c r="H73" s="40"/>
      <c r="I73" s="40"/>
      <c r="J73" s="40"/>
      <c r="K73" s="40"/>
      <c r="L73" s="39"/>
      <c r="M73" s="40"/>
      <c r="N73" s="40"/>
      <c r="O73" s="36" t="str">
        <f aca="false">IF($B73="","",INT((A73-1)/Parametros!$C$10)+1)</f>
        <v/>
      </c>
      <c r="P73" s="41" t="str">
        <f aca="false">IF($B73="","",IF(OR(C73="",D73=""),"",ROUND((D73-C73)*1440,0)))</f>
        <v/>
      </c>
      <c r="Q73" s="42" t="str">
        <f aca="false">IF($B73="","",I73*VLOOKUP(E73,Parametros!$B$18:$D$24,2,FALSE()))</f>
        <v/>
      </c>
      <c r="R73" s="42" t="str">
        <f aca="false">IF($B73="","",G73*VLOOKUP(E73,Parametros!$B$18:$D$24,3,FALSE()))</f>
        <v/>
      </c>
      <c r="S73" s="42" t="str">
        <f aca="false">IF($B73="","",Q73-R73)</f>
        <v/>
      </c>
      <c r="T73" s="43" t="str">
        <f aca="false">IF($B73="","",IF(S73&gt;0,"G","P"))</f>
        <v/>
      </c>
      <c r="U73" s="44" t="str">
        <f aca="false">IF($B73="","",S73/Parametros!$C$8)</f>
        <v/>
      </c>
      <c r="V73" s="42" t="str">
        <f aca="false">IF($B73="","",Parametros!$C$6+SUM($S$7:S73))</f>
        <v/>
      </c>
      <c r="W73" s="42" t="str">
        <f aca="false">IF($B73="","",MAX(V73,W72))</f>
        <v/>
      </c>
      <c r="X73" s="42" t="str">
        <f aca="false">IF($B73="","",V73-W73)</f>
        <v/>
      </c>
      <c r="Y73" s="45" t="str">
        <f aca="false">IF($B73="","",X73/W73)</f>
        <v/>
      </c>
      <c r="Z73" s="36" t="str">
        <f aca="false">IF($B73="","",IF(T73="G",IF(N(Z72)&gt;0,Z72+1,1),IF(N(Z72)&lt;0,Z72-1,-1)))</f>
        <v/>
      </c>
      <c r="AA73" s="46" t="str">
        <f aca="false">IF($B73="","",B73-WEEKDAY(B73,2)+1)</f>
        <v/>
      </c>
      <c r="AB73" s="47" t="str">
        <f aca="false">IF($B73="","",DATE(YEAR(B73),MONTH(B73),1))</f>
        <v/>
      </c>
      <c r="AC73" s="41" t="str">
        <f aca="false">IF($B73="","",CHOOSE(WEEKDAY(B73,2),"Lunes","Martes","Miércoles","Jueves","Viernes","Sábado","Domingo"))</f>
        <v/>
      </c>
      <c r="AD73" s="36" t="str">
        <f aca="false">IF($B73="","",HOUR(C73))</f>
        <v/>
      </c>
      <c r="AE73" s="42" t="str">
        <f aca="false">IF($B73="","",IF(O73&lt;&gt;O72,MAX(V73-S73,V73),MAX(V73,AE72)))</f>
        <v/>
      </c>
      <c r="AF73" s="42" t="str">
        <f aca="false">IF($B73="","",V73-AE73)</f>
        <v/>
      </c>
      <c r="AG73" s="36" t="str">
        <f aca="false">IF($B73="","",IF(O73&lt;&gt;O72,IF(T73="G",1,-1),IF(T73="G",IF(N(AG72)&gt;0,AG72+1,1),IF(N(AG72)&lt;0,AG72-1,-1))))</f>
        <v/>
      </c>
    </row>
    <row r="74" customFormat="false" ht="15" hidden="false" customHeight="false" outlineLevel="0" collapsed="false">
      <c r="A74" s="36" t="str">
        <f aca="false">IF(B74="","",ROW()-6)</f>
        <v/>
      </c>
      <c r="B74" s="37"/>
      <c r="C74" s="38"/>
      <c r="D74" s="38"/>
      <c r="E74" s="39"/>
      <c r="F74" s="39"/>
      <c r="G74" s="39"/>
      <c r="H74" s="40"/>
      <c r="I74" s="40"/>
      <c r="J74" s="40"/>
      <c r="K74" s="40"/>
      <c r="L74" s="39"/>
      <c r="M74" s="40"/>
      <c r="N74" s="40"/>
      <c r="O74" s="36" t="str">
        <f aca="false">IF($B74="","",INT((A74-1)/Parametros!$C$10)+1)</f>
        <v/>
      </c>
      <c r="P74" s="41" t="str">
        <f aca="false">IF($B74="","",IF(OR(C74="",D74=""),"",ROUND((D74-C74)*1440,0)))</f>
        <v/>
      </c>
      <c r="Q74" s="42" t="str">
        <f aca="false">IF($B74="","",I74*VLOOKUP(E74,Parametros!$B$18:$D$24,2,FALSE()))</f>
        <v/>
      </c>
      <c r="R74" s="42" t="str">
        <f aca="false">IF($B74="","",G74*VLOOKUP(E74,Parametros!$B$18:$D$24,3,FALSE()))</f>
        <v/>
      </c>
      <c r="S74" s="42" t="str">
        <f aca="false">IF($B74="","",Q74-R74)</f>
        <v/>
      </c>
      <c r="T74" s="43" t="str">
        <f aca="false">IF($B74="","",IF(S74&gt;0,"G","P"))</f>
        <v/>
      </c>
      <c r="U74" s="44" t="str">
        <f aca="false">IF($B74="","",S74/Parametros!$C$8)</f>
        <v/>
      </c>
      <c r="V74" s="42" t="str">
        <f aca="false">IF($B74="","",Parametros!$C$6+SUM($S$7:S74))</f>
        <v/>
      </c>
      <c r="W74" s="42" t="str">
        <f aca="false">IF($B74="","",MAX(V74,W73))</f>
        <v/>
      </c>
      <c r="X74" s="42" t="str">
        <f aca="false">IF($B74="","",V74-W74)</f>
        <v/>
      </c>
      <c r="Y74" s="45" t="str">
        <f aca="false">IF($B74="","",X74/W74)</f>
        <v/>
      </c>
      <c r="Z74" s="36" t="str">
        <f aca="false">IF($B74="","",IF(T74="G",IF(N(Z73)&gt;0,Z73+1,1),IF(N(Z73)&lt;0,Z73-1,-1)))</f>
        <v/>
      </c>
      <c r="AA74" s="46" t="str">
        <f aca="false">IF($B74="","",B74-WEEKDAY(B74,2)+1)</f>
        <v/>
      </c>
      <c r="AB74" s="47" t="str">
        <f aca="false">IF($B74="","",DATE(YEAR(B74),MONTH(B74),1))</f>
        <v/>
      </c>
      <c r="AC74" s="41" t="str">
        <f aca="false">IF($B74="","",CHOOSE(WEEKDAY(B74,2),"Lunes","Martes","Miércoles","Jueves","Viernes","Sábado","Domingo"))</f>
        <v/>
      </c>
      <c r="AD74" s="36" t="str">
        <f aca="false">IF($B74="","",HOUR(C74))</f>
        <v/>
      </c>
      <c r="AE74" s="42" t="str">
        <f aca="false">IF($B74="","",IF(O74&lt;&gt;O73,MAX(V74-S74,V74),MAX(V74,AE73)))</f>
        <v/>
      </c>
      <c r="AF74" s="42" t="str">
        <f aca="false">IF($B74="","",V74-AE74)</f>
        <v/>
      </c>
      <c r="AG74" s="36" t="str">
        <f aca="false">IF($B74="","",IF(O74&lt;&gt;O73,IF(T74="G",1,-1),IF(T74="G",IF(N(AG73)&gt;0,AG73+1,1),IF(N(AG73)&lt;0,AG73-1,-1))))</f>
        <v/>
      </c>
    </row>
    <row r="75" customFormat="false" ht="15" hidden="false" customHeight="false" outlineLevel="0" collapsed="false">
      <c r="A75" s="36" t="str">
        <f aca="false">IF(B75="","",ROW()-6)</f>
        <v/>
      </c>
      <c r="B75" s="37"/>
      <c r="C75" s="38"/>
      <c r="D75" s="38"/>
      <c r="E75" s="39"/>
      <c r="F75" s="39"/>
      <c r="G75" s="39"/>
      <c r="H75" s="40"/>
      <c r="I75" s="40"/>
      <c r="J75" s="40"/>
      <c r="K75" s="40"/>
      <c r="L75" s="39"/>
      <c r="M75" s="40"/>
      <c r="N75" s="40"/>
      <c r="O75" s="36" t="str">
        <f aca="false">IF($B75="","",INT((A75-1)/Parametros!$C$10)+1)</f>
        <v/>
      </c>
      <c r="P75" s="41" t="str">
        <f aca="false">IF($B75="","",IF(OR(C75="",D75=""),"",ROUND((D75-C75)*1440,0)))</f>
        <v/>
      </c>
      <c r="Q75" s="42" t="str">
        <f aca="false">IF($B75="","",I75*VLOOKUP(E75,Parametros!$B$18:$D$24,2,FALSE()))</f>
        <v/>
      </c>
      <c r="R75" s="42" t="str">
        <f aca="false">IF($B75="","",G75*VLOOKUP(E75,Parametros!$B$18:$D$24,3,FALSE()))</f>
        <v/>
      </c>
      <c r="S75" s="42" t="str">
        <f aca="false">IF($B75="","",Q75-R75)</f>
        <v/>
      </c>
      <c r="T75" s="43" t="str">
        <f aca="false">IF($B75="","",IF(S75&gt;0,"G","P"))</f>
        <v/>
      </c>
      <c r="U75" s="44" t="str">
        <f aca="false">IF($B75="","",S75/Parametros!$C$8)</f>
        <v/>
      </c>
      <c r="V75" s="42" t="str">
        <f aca="false">IF($B75="","",Parametros!$C$6+SUM($S$7:S75))</f>
        <v/>
      </c>
      <c r="W75" s="42" t="str">
        <f aca="false">IF($B75="","",MAX(V75,W74))</f>
        <v/>
      </c>
      <c r="X75" s="42" t="str">
        <f aca="false">IF($B75="","",V75-W75)</f>
        <v/>
      </c>
      <c r="Y75" s="45" t="str">
        <f aca="false">IF($B75="","",X75/W75)</f>
        <v/>
      </c>
      <c r="Z75" s="36" t="str">
        <f aca="false">IF($B75="","",IF(T75="G",IF(N(Z74)&gt;0,Z74+1,1),IF(N(Z74)&lt;0,Z74-1,-1)))</f>
        <v/>
      </c>
      <c r="AA75" s="46" t="str">
        <f aca="false">IF($B75="","",B75-WEEKDAY(B75,2)+1)</f>
        <v/>
      </c>
      <c r="AB75" s="47" t="str">
        <f aca="false">IF($B75="","",DATE(YEAR(B75),MONTH(B75),1))</f>
        <v/>
      </c>
      <c r="AC75" s="41" t="str">
        <f aca="false">IF($B75="","",CHOOSE(WEEKDAY(B75,2),"Lunes","Martes","Miércoles","Jueves","Viernes","Sábado","Domingo"))</f>
        <v/>
      </c>
      <c r="AD75" s="36" t="str">
        <f aca="false">IF($B75="","",HOUR(C75))</f>
        <v/>
      </c>
      <c r="AE75" s="42" t="str">
        <f aca="false">IF($B75="","",IF(O75&lt;&gt;O74,MAX(V75-S75,V75),MAX(V75,AE74)))</f>
        <v/>
      </c>
      <c r="AF75" s="42" t="str">
        <f aca="false">IF($B75="","",V75-AE75)</f>
        <v/>
      </c>
      <c r="AG75" s="36" t="str">
        <f aca="false">IF($B75="","",IF(O75&lt;&gt;O74,IF(T75="G",1,-1),IF(T75="G",IF(N(AG74)&gt;0,AG74+1,1),IF(N(AG74)&lt;0,AG74-1,-1))))</f>
        <v/>
      </c>
    </row>
    <row r="76" customFormat="false" ht="15" hidden="false" customHeight="false" outlineLevel="0" collapsed="false">
      <c r="A76" s="36" t="str">
        <f aca="false">IF(B76="","",ROW()-6)</f>
        <v/>
      </c>
      <c r="B76" s="37"/>
      <c r="C76" s="38"/>
      <c r="D76" s="38"/>
      <c r="E76" s="39"/>
      <c r="F76" s="39"/>
      <c r="G76" s="39"/>
      <c r="H76" s="40"/>
      <c r="I76" s="40"/>
      <c r="J76" s="40"/>
      <c r="K76" s="40"/>
      <c r="L76" s="39"/>
      <c r="M76" s="40"/>
      <c r="N76" s="40"/>
      <c r="O76" s="36" t="str">
        <f aca="false">IF($B76="","",INT((A76-1)/Parametros!$C$10)+1)</f>
        <v/>
      </c>
      <c r="P76" s="41" t="str">
        <f aca="false">IF($B76="","",IF(OR(C76="",D76=""),"",ROUND((D76-C76)*1440,0)))</f>
        <v/>
      </c>
      <c r="Q76" s="42" t="str">
        <f aca="false">IF($B76="","",I76*VLOOKUP(E76,Parametros!$B$18:$D$24,2,FALSE()))</f>
        <v/>
      </c>
      <c r="R76" s="42" t="str">
        <f aca="false">IF($B76="","",G76*VLOOKUP(E76,Parametros!$B$18:$D$24,3,FALSE()))</f>
        <v/>
      </c>
      <c r="S76" s="42" t="str">
        <f aca="false">IF($B76="","",Q76-R76)</f>
        <v/>
      </c>
      <c r="T76" s="43" t="str">
        <f aca="false">IF($B76="","",IF(S76&gt;0,"G","P"))</f>
        <v/>
      </c>
      <c r="U76" s="44" t="str">
        <f aca="false">IF($B76="","",S76/Parametros!$C$8)</f>
        <v/>
      </c>
      <c r="V76" s="42" t="str">
        <f aca="false">IF($B76="","",Parametros!$C$6+SUM($S$7:S76))</f>
        <v/>
      </c>
      <c r="W76" s="42" t="str">
        <f aca="false">IF($B76="","",MAX(V76,W75))</f>
        <v/>
      </c>
      <c r="X76" s="42" t="str">
        <f aca="false">IF($B76="","",V76-W76)</f>
        <v/>
      </c>
      <c r="Y76" s="45" t="str">
        <f aca="false">IF($B76="","",X76/W76)</f>
        <v/>
      </c>
      <c r="Z76" s="36" t="str">
        <f aca="false">IF($B76="","",IF(T76="G",IF(N(Z75)&gt;0,Z75+1,1),IF(N(Z75)&lt;0,Z75-1,-1)))</f>
        <v/>
      </c>
      <c r="AA76" s="46" t="str">
        <f aca="false">IF($B76="","",B76-WEEKDAY(B76,2)+1)</f>
        <v/>
      </c>
      <c r="AB76" s="47" t="str">
        <f aca="false">IF($B76="","",DATE(YEAR(B76),MONTH(B76),1))</f>
        <v/>
      </c>
      <c r="AC76" s="41" t="str">
        <f aca="false">IF($B76="","",CHOOSE(WEEKDAY(B76,2),"Lunes","Martes","Miércoles","Jueves","Viernes","Sábado","Domingo"))</f>
        <v/>
      </c>
      <c r="AD76" s="36" t="str">
        <f aca="false">IF($B76="","",HOUR(C76))</f>
        <v/>
      </c>
      <c r="AE76" s="42" t="str">
        <f aca="false">IF($B76="","",IF(O76&lt;&gt;O75,MAX(V76-S76,V76),MAX(V76,AE75)))</f>
        <v/>
      </c>
      <c r="AF76" s="42" t="str">
        <f aca="false">IF($B76="","",V76-AE76)</f>
        <v/>
      </c>
      <c r="AG76" s="36" t="str">
        <f aca="false">IF($B76="","",IF(O76&lt;&gt;O75,IF(T76="G",1,-1),IF(T76="G",IF(N(AG75)&gt;0,AG75+1,1),IF(N(AG75)&lt;0,AG75-1,-1))))</f>
        <v/>
      </c>
    </row>
    <row r="77" customFormat="false" ht="15" hidden="false" customHeight="false" outlineLevel="0" collapsed="false">
      <c r="A77" s="36" t="str">
        <f aca="false">IF(B77="","",ROW()-6)</f>
        <v/>
      </c>
      <c r="B77" s="37"/>
      <c r="C77" s="38"/>
      <c r="D77" s="38"/>
      <c r="E77" s="39"/>
      <c r="F77" s="39"/>
      <c r="G77" s="39"/>
      <c r="H77" s="40"/>
      <c r="I77" s="40"/>
      <c r="J77" s="40"/>
      <c r="K77" s="40"/>
      <c r="L77" s="39"/>
      <c r="M77" s="40"/>
      <c r="N77" s="40"/>
      <c r="O77" s="36" t="str">
        <f aca="false">IF($B77="","",INT((A77-1)/Parametros!$C$10)+1)</f>
        <v/>
      </c>
      <c r="P77" s="41" t="str">
        <f aca="false">IF($B77="","",IF(OR(C77="",D77=""),"",ROUND((D77-C77)*1440,0)))</f>
        <v/>
      </c>
      <c r="Q77" s="42" t="str">
        <f aca="false">IF($B77="","",I77*VLOOKUP(E77,Parametros!$B$18:$D$24,2,FALSE()))</f>
        <v/>
      </c>
      <c r="R77" s="42" t="str">
        <f aca="false">IF($B77="","",G77*VLOOKUP(E77,Parametros!$B$18:$D$24,3,FALSE()))</f>
        <v/>
      </c>
      <c r="S77" s="42" t="str">
        <f aca="false">IF($B77="","",Q77-R77)</f>
        <v/>
      </c>
      <c r="T77" s="43" t="str">
        <f aca="false">IF($B77="","",IF(S77&gt;0,"G","P"))</f>
        <v/>
      </c>
      <c r="U77" s="44" t="str">
        <f aca="false">IF($B77="","",S77/Parametros!$C$8)</f>
        <v/>
      </c>
      <c r="V77" s="42" t="str">
        <f aca="false">IF($B77="","",Parametros!$C$6+SUM($S$7:S77))</f>
        <v/>
      </c>
      <c r="W77" s="42" t="str">
        <f aca="false">IF($B77="","",MAX(V77,W76))</f>
        <v/>
      </c>
      <c r="X77" s="42" t="str">
        <f aca="false">IF($B77="","",V77-W77)</f>
        <v/>
      </c>
      <c r="Y77" s="45" t="str">
        <f aca="false">IF($B77="","",X77/W77)</f>
        <v/>
      </c>
      <c r="Z77" s="36" t="str">
        <f aca="false">IF($B77="","",IF(T77="G",IF(N(Z76)&gt;0,Z76+1,1),IF(N(Z76)&lt;0,Z76-1,-1)))</f>
        <v/>
      </c>
      <c r="AA77" s="46" t="str">
        <f aca="false">IF($B77="","",B77-WEEKDAY(B77,2)+1)</f>
        <v/>
      </c>
      <c r="AB77" s="47" t="str">
        <f aca="false">IF($B77="","",DATE(YEAR(B77),MONTH(B77),1))</f>
        <v/>
      </c>
      <c r="AC77" s="41" t="str">
        <f aca="false">IF($B77="","",CHOOSE(WEEKDAY(B77,2),"Lunes","Martes","Miércoles","Jueves","Viernes","Sábado","Domingo"))</f>
        <v/>
      </c>
      <c r="AD77" s="36" t="str">
        <f aca="false">IF($B77="","",HOUR(C77))</f>
        <v/>
      </c>
      <c r="AE77" s="42" t="str">
        <f aca="false">IF($B77="","",IF(O77&lt;&gt;O76,MAX(V77-S77,V77),MAX(V77,AE76)))</f>
        <v/>
      </c>
      <c r="AF77" s="42" t="str">
        <f aca="false">IF($B77="","",V77-AE77)</f>
        <v/>
      </c>
      <c r="AG77" s="36" t="str">
        <f aca="false">IF($B77="","",IF(O77&lt;&gt;O76,IF(T77="G",1,-1),IF(T77="G",IF(N(AG76)&gt;0,AG76+1,1),IF(N(AG76)&lt;0,AG76-1,-1))))</f>
        <v/>
      </c>
    </row>
    <row r="78" customFormat="false" ht="15" hidden="false" customHeight="false" outlineLevel="0" collapsed="false">
      <c r="A78" s="36" t="str">
        <f aca="false">IF(B78="","",ROW()-6)</f>
        <v/>
      </c>
      <c r="B78" s="37"/>
      <c r="C78" s="38"/>
      <c r="D78" s="38"/>
      <c r="E78" s="39"/>
      <c r="F78" s="39"/>
      <c r="G78" s="39"/>
      <c r="H78" s="40"/>
      <c r="I78" s="40"/>
      <c r="J78" s="40"/>
      <c r="K78" s="40"/>
      <c r="L78" s="39"/>
      <c r="M78" s="40"/>
      <c r="N78" s="40"/>
      <c r="O78" s="36" t="str">
        <f aca="false">IF($B78="","",INT((A78-1)/Parametros!$C$10)+1)</f>
        <v/>
      </c>
      <c r="P78" s="41" t="str">
        <f aca="false">IF($B78="","",IF(OR(C78="",D78=""),"",ROUND((D78-C78)*1440,0)))</f>
        <v/>
      </c>
      <c r="Q78" s="42" t="str">
        <f aca="false">IF($B78="","",I78*VLOOKUP(E78,Parametros!$B$18:$D$24,2,FALSE()))</f>
        <v/>
      </c>
      <c r="R78" s="42" t="str">
        <f aca="false">IF($B78="","",G78*VLOOKUP(E78,Parametros!$B$18:$D$24,3,FALSE()))</f>
        <v/>
      </c>
      <c r="S78" s="42" t="str">
        <f aca="false">IF($B78="","",Q78-R78)</f>
        <v/>
      </c>
      <c r="T78" s="43" t="str">
        <f aca="false">IF($B78="","",IF(S78&gt;0,"G","P"))</f>
        <v/>
      </c>
      <c r="U78" s="44" t="str">
        <f aca="false">IF($B78="","",S78/Parametros!$C$8)</f>
        <v/>
      </c>
      <c r="V78" s="42" t="str">
        <f aca="false">IF($B78="","",Parametros!$C$6+SUM($S$7:S78))</f>
        <v/>
      </c>
      <c r="W78" s="42" t="str">
        <f aca="false">IF($B78="","",MAX(V78,W77))</f>
        <v/>
      </c>
      <c r="X78" s="42" t="str">
        <f aca="false">IF($B78="","",V78-W78)</f>
        <v/>
      </c>
      <c r="Y78" s="45" t="str">
        <f aca="false">IF($B78="","",X78/W78)</f>
        <v/>
      </c>
      <c r="Z78" s="36" t="str">
        <f aca="false">IF($B78="","",IF(T78="G",IF(N(Z77)&gt;0,Z77+1,1),IF(N(Z77)&lt;0,Z77-1,-1)))</f>
        <v/>
      </c>
      <c r="AA78" s="46" t="str">
        <f aca="false">IF($B78="","",B78-WEEKDAY(B78,2)+1)</f>
        <v/>
      </c>
      <c r="AB78" s="47" t="str">
        <f aca="false">IF($B78="","",DATE(YEAR(B78),MONTH(B78),1))</f>
        <v/>
      </c>
      <c r="AC78" s="41" t="str">
        <f aca="false">IF($B78="","",CHOOSE(WEEKDAY(B78,2),"Lunes","Martes","Miércoles","Jueves","Viernes","Sábado","Domingo"))</f>
        <v/>
      </c>
      <c r="AD78" s="36" t="str">
        <f aca="false">IF($B78="","",HOUR(C78))</f>
        <v/>
      </c>
      <c r="AE78" s="42" t="str">
        <f aca="false">IF($B78="","",IF(O78&lt;&gt;O77,MAX(V78-S78,V78),MAX(V78,AE77)))</f>
        <v/>
      </c>
      <c r="AF78" s="42" t="str">
        <f aca="false">IF($B78="","",V78-AE78)</f>
        <v/>
      </c>
      <c r="AG78" s="36" t="str">
        <f aca="false">IF($B78="","",IF(O78&lt;&gt;O77,IF(T78="G",1,-1),IF(T78="G",IF(N(AG77)&gt;0,AG77+1,1),IF(N(AG77)&lt;0,AG77-1,-1))))</f>
        <v/>
      </c>
    </row>
    <row r="79" customFormat="false" ht="15" hidden="false" customHeight="false" outlineLevel="0" collapsed="false">
      <c r="A79" s="36" t="str">
        <f aca="false">IF(B79="","",ROW()-6)</f>
        <v/>
      </c>
      <c r="B79" s="37"/>
      <c r="C79" s="38"/>
      <c r="D79" s="38"/>
      <c r="E79" s="39"/>
      <c r="F79" s="39"/>
      <c r="G79" s="39"/>
      <c r="H79" s="40"/>
      <c r="I79" s="40"/>
      <c r="J79" s="40"/>
      <c r="K79" s="40"/>
      <c r="L79" s="39"/>
      <c r="M79" s="40"/>
      <c r="N79" s="40"/>
      <c r="O79" s="36" t="str">
        <f aca="false">IF($B79="","",INT((A79-1)/Parametros!$C$10)+1)</f>
        <v/>
      </c>
      <c r="P79" s="41" t="str">
        <f aca="false">IF($B79="","",IF(OR(C79="",D79=""),"",ROUND((D79-C79)*1440,0)))</f>
        <v/>
      </c>
      <c r="Q79" s="42" t="str">
        <f aca="false">IF($B79="","",I79*VLOOKUP(E79,Parametros!$B$18:$D$24,2,FALSE()))</f>
        <v/>
      </c>
      <c r="R79" s="42" t="str">
        <f aca="false">IF($B79="","",G79*VLOOKUP(E79,Parametros!$B$18:$D$24,3,FALSE()))</f>
        <v/>
      </c>
      <c r="S79" s="42" t="str">
        <f aca="false">IF($B79="","",Q79-R79)</f>
        <v/>
      </c>
      <c r="T79" s="43" t="str">
        <f aca="false">IF($B79="","",IF(S79&gt;0,"G","P"))</f>
        <v/>
      </c>
      <c r="U79" s="44" t="str">
        <f aca="false">IF($B79="","",S79/Parametros!$C$8)</f>
        <v/>
      </c>
      <c r="V79" s="42" t="str">
        <f aca="false">IF($B79="","",Parametros!$C$6+SUM($S$7:S79))</f>
        <v/>
      </c>
      <c r="W79" s="42" t="str">
        <f aca="false">IF($B79="","",MAX(V79,W78))</f>
        <v/>
      </c>
      <c r="X79" s="42" t="str">
        <f aca="false">IF($B79="","",V79-W79)</f>
        <v/>
      </c>
      <c r="Y79" s="45" t="str">
        <f aca="false">IF($B79="","",X79/W79)</f>
        <v/>
      </c>
      <c r="Z79" s="36" t="str">
        <f aca="false">IF($B79="","",IF(T79="G",IF(N(Z78)&gt;0,Z78+1,1),IF(N(Z78)&lt;0,Z78-1,-1)))</f>
        <v/>
      </c>
      <c r="AA79" s="46" t="str">
        <f aca="false">IF($B79="","",B79-WEEKDAY(B79,2)+1)</f>
        <v/>
      </c>
      <c r="AB79" s="47" t="str">
        <f aca="false">IF($B79="","",DATE(YEAR(B79),MONTH(B79),1))</f>
        <v/>
      </c>
      <c r="AC79" s="41" t="str">
        <f aca="false">IF($B79="","",CHOOSE(WEEKDAY(B79,2),"Lunes","Martes","Miércoles","Jueves","Viernes","Sábado","Domingo"))</f>
        <v/>
      </c>
      <c r="AD79" s="36" t="str">
        <f aca="false">IF($B79="","",HOUR(C79))</f>
        <v/>
      </c>
      <c r="AE79" s="42" t="str">
        <f aca="false">IF($B79="","",IF(O79&lt;&gt;O78,MAX(V79-S79,V79),MAX(V79,AE78)))</f>
        <v/>
      </c>
      <c r="AF79" s="42" t="str">
        <f aca="false">IF($B79="","",V79-AE79)</f>
        <v/>
      </c>
      <c r="AG79" s="36" t="str">
        <f aca="false">IF($B79="","",IF(O79&lt;&gt;O78,IF(T79="G",1,-1),IF(T79="G",IF(N(AG78)&gt;0,AG78+1,1),IF(N(AG78)&lt;0,AG78-1,-1))))</f>
        <v/>
      </c>
    </row>
    <row r="80" customFormat="false" ht="15" hidden="false" customHeight="false" outlineLevel="0" collapsed="false">
      <c r="A80" s="36" t="str">
        <f aca="false">IF(B80="","",ROW()-6)</f>
        <v/>
      </c>
      <c r="B80" s="37"/>
      <c r="C80" s="38"/>
      <c r="D80" s="38"/>
      <c r="E80" s="39"/>
      <c r="F80" s="39"/>
      <c r="G80" s="39"/>
      <c r="H80" s="40"/>
      <c r="I80" s="40"/>
      <c r="J80" s="40"/>
      <c r="K80" s="40"/>
      <c r="L80" s="39"/>
      <c r="M80" s="40"/>
      <c r="N80" s="40"/>
      <c r="O80" s="36" t="str">
        <f aca="false">IF($B80="","",INT((A80-1)/Parametros!$C$10)+1)</f>
        <v/>
      </c>
      <c r="P80" s="41" t="str">
        <f aca="false">IF($B80="","",IF(OR(C80="",D80=""),"",ROUND((D80-C80)*1440,0)))</f>
        <v/>
      </c>
      <c r="Q80" s="42" t="str">
        <f aca="false">IF($B80="","",I80*VLOOKUP(E80,Parametros!$B$18:$D$24,2,FALSE()))</f>
        <v/>
      </c>
      <c r="R80" s="42" t="str">
        <f aca="false">IF($B80="","",G80*VLOOKUP(E80,Parametros!$B$18:$D$24,3,FALSE()))</f>
        <v/>
      </c>
      <c r="S80" s="42" t="str">
        <f aca="false">IF($B80="","",Q80-R80)</f>
        <v/>
      </c>
      <c r="T80" s="43" t="str">
        <f aca="false">IF($B80="","",IF(S80&gt;0,"G","P"))</f>
        <v/>
      </c>
      <c r="U80" s="44" t="str">
        <f aca="false">IF($B80="","",S80/Parametros!$C$8)</f>
        <v/>
      </c>
      <c r="V80" s="42" t="str">
        <f aca="false">IF($B80="","",Parametros!$C$6+SUM($S$7:S80))</f>
        <v/>
      </c>
      <c r="W80" s="42" t="str">
        <f aca="false">IF($B80="","",MAX(V80,W79))</f>
        <v/>
      </c>
      <c r="X80" s="42" t="str">
        <f aca="false">IF($B80="","",V80-W80)</f>
        <v/>
      </c>
      <c r="Y80" s="45" t="str">
        <f aca="false">IF($B80="","",X80/W80)</f>
        <v/>
      </c>
      <c r="Z80" s="36" t="str">
        <f aca="false">IF($B80="","",IF(T80="G",IF(N(Z79)&gt;0,Z79+1,1),IF(N(Z79)&lt;0,Z79-1,-1)))</f>
        <v/>
      </c>
      <c r="AA80" s="46" t="str">
        <f aca="false">IF($B80="","",B80-WEEKDAY(B80,2)+1)</f>
        <v/>
      </c>
      <c r="AB80" s="47" t="str">
        <f aca="false">IF($B80="","",DATE(YEAR(B80),MONTH(B80),1))</f>
        <v/>
      </c>
      <c r="AC80" s="41" t="str">
        <f aca="false">IF($B80="","",CHOOSE(WEEKDAY(B80,2),"Lunes","Martes","Miércoles","Jueves","Viernes","Sábado","Domingo"))</f>
        <v/>
      </c>
      <c r="AD80" s="36" t="str">
        <f aca="false">IF($B80="","",HOUR(C80))</f>
        <v/>
      </c>
      <c r="AE80" s="42" t="str">
        <f aca="false">IF($B80="","",IF(O80&lt;&gt;O79,MAX(V80-S80,V80),MAX(V80,AE79)))</f>
        <v/>
      </c>
      <c r="AF80" s="42" t="str">
        <f aca="false">IF($B80="","",V80-AE80)</f>
        <v/>
      </c>
      <c r="AG80" s="36" t="str">
        <f aca="false">IF($B80="","",IF(O80&lt;&gt;O79,IF(T80="G",1,-1),IF(T80="G",IF(N(AG79)&gt;0,AG79+1,1),IF(N(AG79)&lt;0,AG79-1,-1))))</f>
        <v/>
      </c>
    </row>
    <row r="81" customFormat="false" ht="15" hidden="false" customHeight="false" outlineLevel="0" collapsed="false">
      <c r="A81" s="36" t="str">
        <f aca="false">IF(B81="","",ROW()-6)</f>
        <v/>
      </c>
      <c r="B81" s="37"/>
      <c r="C81" s="38"/>
      <c r="D81" s="38"/>
      <c r="E81" s="39"/>
      <c r="F81" s="39"/>
      <c r="G81" s="39"/>
      <c r="H81" s="40"/>
      <c r="I81" s="40"/>
      <c r="J81" s="40"/>
      <c r="K81" s="40"/>
      <c r="L81" s="39"/>
      <c r="M81" s="40"/>
      <c r="N81" s="40"/>
      <c r="O81" s="36" t="str">
        <f aca="false">IF($B81="","",INT((A81-1)/Parametros!$C$10)+1)</f>
        <v/>
      </c>
      <c r="P81" s="41" t="str">
        <f aca="false">IF($B81="","",IF(OR(C81="",D81=""),"",ROUND((D81-C81)*1440,0)))</f>
        <v/>
      </c>
      <c r="Q81" s="42" t="str">
        <f aca="false">IF($B81="","",I81*VLOOKUP(E81,Parametros!$B$18:$D$24,2,FALSE()))</f>
        <v/>
      </c>
      <c r="R81" s="42" t="str">
        <f aca="false">IF($B81="","",G81*VLOOKUP(E81,Parametros!$B$18:$D$24,3,FALSE()))</f>
        <v/>
      </c>
      <c r="S81" s="42" t="str">
        <f aca="false">IF($B81="","",Q81-R81)</f>
        <v/>
      </c>
      <c r="T81" s="43" t="str">
        <f aca="false">IF($B81="","",IF(S81&gt;0,"G","P"))</f>
        <v/>
      </c>
      <c r="U81" s="44" t="str">
        <f aca="false">IF($B81="","",S81/Parametros!$C$8)</f>
        <v/>
      </c>
      <c r="V81" s="42" t="str">
        <f aca="false">IF($B81="","",Parametros!$C$6+SUM($S$7:S81))</f>
        <v/>
      </c>
      <c r="W81" s="42" t="str">
        <f aca="false">IF($B81="","",MAX(V81,W80))</f>
        <v/>
      </c>
      <c r="X81" s="42" t="str">
        <f aca="false">IF($B81="","",V81-W81)</f>
        <v/>
      </c>
      <c r="Y81" s="45" t="str">
        <f aca="false">IF($B81="","",X81/W81)</f>
        <v/>
      </c>
      <c r="Z81" s="36" t="str">
        <f aca="false">IF($B81="","",IF(T81="G",IF(N(Z80)&gt;0,Z80+1,1),IF(N(Z80)&lt;0,Z80-1,-1)))</f>
        <v/>
      </c>
      <c r="AA81" s="46" t="str">
        <f aca="false">IF($B81="","",B81-WEEKDAY(B81,2)+1)</f>
        <v/>
      </c>
      <c r="AB81" s="47" t="str">
        <f aca="false">IF($B81="","",DATE(YEAR(B81),MONTH(B81),1))</f>
        <v/>
      </c>
      <c r="AC81" s="41" t="str">
        <f aca="false">IF($B81="","",CHOOSE(WEEKDAY(B81,2),"Lunes","Martes","Miércoles","Jueves","Viernes","Sábado","Domingo"))</f>
        <v/>
      </c>
      <c r="AD81" s="36" t="str">
        <f aca="false">IF($B81="","",HOUR(C81))</f>
        <v/>
      </c>
      <c r="AE81" s="42" t="str">
        <f aca="false">IF($B81="","",IF(O81&lt;&gt;O80,MAX(V81-S81,V81),MAX(V81,AE80)))</f>
        <v/>
      </c>
      <c r="AF81" s="42" t="str">
        <f aca="false">IF($B81="","",V81-AE81)</f>
        <v/>
      </c>
      <c r="AG81" s="36" t="str">
        <f aca="false">IF($B81="","",IF(O81&lt;&gt;O80,IF(T81="G",1,-1),IF(T81="G",IF(N(AG80)&gt;0,AG80+1,1),IF(N(AG80)&lt;0,AG80-1,-1))))</f>
        <v/>
      </c>
    </row>
    <row r="82" customFormat="false" ht="15" hidden="false" customHeight="false" outlineLevel="0" collapsed="false">
      <c r="A82" s="36" t="str">
        <f aca="false">IF(B82="","",ROW()-6)</f>
        <v/>
      </c>
      <c r="B82" s="37"/>
      <c r="C82" s="38"/>
      <c r="D82" s="38"/>
      <c r="E82" s="39"/>
      <c r="F82" s="39"/>
      <c r="G82" s="39"/>
      <c r="H82" s="40"/>
      <c r="I82" s="40"/>
      <c r="J82" s="40"/>
      <c r="K82" s="40"/>
      <c r="L82" s="39"/>
      <c r="M82" s="40"/>
      <c r="N82" s="40"/>
      <c r="O82" s="36" t="str">
        <f aca="false">IF($B82="","",INT((A82-1)/Parametros!$C$10)+1)</f>
        <v/>
      </c>
      <c r="P82" s="41" t="str">
        <f aca="false">IF($B82="","",IF(OR(C82="",D82=""),"",ROUND((D82-C82)*1440,0)))</f>
        <v/>
      </c>
      <c r="Q82" s="42" t="str">
        <f aca="false">IF($B82="","",I82*VLOOKUP(E82,Parametros!$B$18:$D$24,2,FALSE()))</f>
        <v/>
      </c>
      <c r="R82" s="42" t="str">
        <f aca="false">IF($B82="","",G82*VLOOKUP(E82,Parametros!$B$18:$D$24,3,FALSE()))</f>
        <v/>
      </c>
      <c r="S82" s="42" t="str">
        <f aca="false">IF($B82="","",Q82-R82)</f>
        <v/>
      </c>
      <c r="T82" s="43" t="str">
        <f aca="false">IF($B82="","",IF(S82&gt;0,"G","P"))</f>
        <v/>
      </c>
      <c r="U82" s="44" t="str">
        <f aca="false">IF($B82="","",S82/Parametros!$C$8)</f>
        <v/>
      </c>
      <c r="V82" s="42" t="str">
        <f aca="false">IF($B82="","",Parametros!$C$6+SUM($S$7:S82))</f>
        <v/>
      </c>
      <c r="W82" s="42" t="str">
        <f aca="false">IF($B82="","",MAX(V82,W81))</f>
        <v/>
      </c>
      <c r="X82" s="42" t="str">
        <f aca="false">IF($B82="","",V82-W82)</f>
        <v/>
      </c>
      <c r="Y82" s="45" t="str">
        <f aca="false">IF($B82="","",X82/W82)</f>
        <v/>
      </c>
      <c r="Z82" s="36" t="str">
        <f aca="false">IF($B82="","",IF(T82="G",IF(N(Z81)&gt;0,Z81+1,1),IF(N(Z81)&lt;0,Z81-1,-1)))</f>
        <v/>
      </c>
      <c r="AA82" s="46" t="str">
        <f aca="false">IF($B82="","",B82-WEEKDAY(B82,2)+1)</f>
        <v/>
      </c>
      <c r="AB82" s="47" t="str">
        <f aca="false">IF($B82="","",DATE(YEAR(B82),MONTH(B82),1))</f>
        <v/>
      </c>
      <c r="AC82" s="41" t="str">
        <f aca="false">IF($B82="","",CHOOSE(WEEKDAY(B82,2),"Lunes","Martes","Miércoles","Jueves","Viernes","Sábado","Domingo"))</f>
        <v/>
      </c>
      <c r="AD82" s="36" t="str">
        <f aca="false">IF($B82="","",HOUR(C82))</f>
        <v/>
      </c>
      <c r="AE82" s="42" t="str">
        <f aca="false">IF($B82="","",IF(O82&lt;&gt;O81,MAX(V82-S82,V82),MAX(V82,AE81)))</f>
        <v/>
      </c>
      <c r="AF82" s="42" t="str">
        <f aca="false">IF($B82="","",V82-AE82)</f>
        <v/>
      </c>
      <c r="AG82" s="36" t="str">
        <f aca="false">IF($B82="","",IF(O82&lt;&gt;O81,IF(T82="G",1,-1),IF(T82="G",IF(N(AG81)&gt;0,AG81+1,1),IF(N(AG81)&lt;0,AG81-1,-1))))</f>
        <v/>
      </c>
    </row>
    <row r="83" customFormat="false" ht="15" hidden="false" customHeight="false" outlineLevel="0" collapsed="false">
      <c r="A83" s="36" t="str">
        <f aca="false">IF(B83="","",ROW()-6)</f>
        <v/>
      </c>
      <c r="B83" s="37"/>
      <c r="C83" s="38"/>
      <c r="D83" s="38"/>
      <c r="E83" s="39"/>
      <c r="F83" s="39"/>
      <c r="G83" s="39"/>
      <c r="H83" s="40"/>
      <c r="I83" s="40"/>
      <c r="J83" s="40"/>
      <c r="K83" s="40"/>
      <c r="L83" s="39"/>
      <c r="M83" s="40"/>
      <c r="N83" s="40"/>
      <c r="O83" s="36" t="str">
        <f aca="false">IF($B83="","",INT((A83-1)/Parametros!$C$10)+1)</f>
        <v/>
      </c>
      <c r="P83" s="41" t="str">
        <f aca="false">IF($B83="","",IF(OR(C83="",D83=""),"",ROUND((D83-C83)*1440,0)))</f>
        <v/>
      </c>
      <c r="Q83" s="42" t="str">
        <f aca="false">IF($B83="","",I83*VLOOKUP(E83,Parametros!$B$18:$D$24,2,FALSE()))</f>
        <v/>
      </c>
      <c r="R83" s="42" t="str">
        <f aca="false">IF($B83="","",G83*VLOOKUP(E83,Parametros!$B$18:$D$24,3,FALSE()))</f>
        <v/>
      </c>
      <c r="S83" s="42" t="str">
        <f aca="false">IF($B83="","",Q83-R83)</f>
        <v/>
      </c>
      <c r="T83" s="43" t="str">
        <f aca="false">IF($B83="","",IF(S83&gt;0,"G","P"))</f>
        <v/>
      </c>
      <c r="U83" s="44" t="str">
        <f aca="false">IF($B83="","",S83/Parametros!$C$8)</f>
        <v/>
      </c>
      <c r="V83" s="42" t="str">
        <f aca="false">IF($B83="","",Parametros!$C$6+SUM($S$7:S83))</f>
        <v/>
      </c>
      <c r="W83" s="42" t="str">
        <f aca="false">IF($B83="","",MAX(V83,W82))</f>
        <v/>
      </c>
      <c r="X83" s="42" t="str">
        <f aca="false">IF($B83="","",V83-W83)</f>
        <v/>
      </c>
      <c r="Y83" s="45" t="str">
        <f aca="false">IF($B83="","",X83/W83)</f>
        <v/>
      </c>
      <c r="Z83" s="36" t="str">
        <f aca="false">IF($B83="","",IF(T83="G",IF(N(Z82)&gt;0,Z82+1,1),IF(N(Z82)&lt;0,Z82-1,-1)))</f>
        <v/>
      </c>
      <c r="AA83" s="46" t="str">
        <f aca="false">IF($B83="","",B83-WEEKDAY(B83,2)+1)</f>
        <v/>
      </c>
      <c r="AB83" s="47" t="str">
        <f aca="false">IF($B83="","",DATE(YEAR(B83),MONTH(B83),1))</f>
        <v/>
      </c>
      <c r="AC83" s="41" t="str">
        <f aca="false">IF($B83="","",CHOOSE(WEEKDAY(B83,2),"Lunes","Martes","Miércoles","Jueves","Viernes","Sábado","Domingo"))</f>
        <v/>
      </c>
      <c r="AD83" s="36" t="str">
        <f aca="false">IF($B83="","",HOUR(C83))</f>
        <v/>
      </c>
      <c r="AE83" s="42" t="str">
        <f aca="false">IF($B83="","",IF(O83&lt;&gt;O82,MAX(V83-S83,V83),MAX(V83,AE82)))</f>
        <v/>
      </c>
      <c r="AF83" s="42" t="str">
        <f aca="false">IF($B83="","",V83-AE83)</f>
        <v/>
      </c>
      <c r="AG83" s="36" t="str">
        <f aca="false">IF($B83="","",IF(O83&lt;&gt;O82,IF(T83="G",1,-1),IF(T83="G",IF(N(AG82)&gt;0,AG82+1,1),IF(N(AG82)&lt;0,AG82-1,-1))))</f>
        <v/>
      </c>
    </row>
    <row r="84" customFormat="false" ht="15" hidden="false" customHeight="false" outlineLevel="0" collapsed="false">
      <c r="A84" s="36" t="str">
        <f aca="false">IF(B84="","",ROW()-6)</f>
        <v/>
      </c>
      <c r="B84" s="37"/>
      <c r="C84" s="38"/>
      <c r="D84" s="38"/>
      <c r="E84" s="39"/>
      <c r="F84" s="39"/>
      <c r="G84" s="39"/>
      <c r="H84" s="40"/>
      <c r="I84" s="40"/>
      <c r="J84" s="40"/>
      <c r="K84" s="40"/>
      <c r="L84" s="39"/>
      <c r="M84" s="40"/>
      <c r="N84" s="40"/>
      <c r="O84" s="36" t="str">
        <f aca="false">IF($B84="","",INT((A84-1)/Parametros!$C$10)+1)</f>
        <v/>
      </c>
      <c r="P84" s="41" t="str">
        <f aca="false">IF($B84="","",IF(OR(C84="",D84=""),"",ROUND((D84-C84)*1440,0)))</f>
        <v/>
      </c>
      <c r="Q84" s="42" t="str">
        <f aca="false">IF($B84="","",I84*VLOOKUP(E84,Parametros!$B$18:$D$24,2,FALSE()))</f>
        <v/>
      </c>
      <c r="R84" s="42" t="str">
        <f aca="false">IF($B84="","",G84*VLOOKUP(E84,Parametros!$B$18:$D$24,3,FALSE()))</f>
        <v/>
      </c>
      <c r="S84" s="42" t="str">
        <f aca="false">IF($B84="","",Q84-R84)</f>
        <v/>
      </c>
      <c r="T84" s="43" t="str">
        <f aca="false">IF($B84="","",IF(S84&gt;0,"G","P"))</f>
        <v/>
      </c>
      <c r="U84" s="44" t="str">
        <f aca="false">IF($B84="","",S84/Parametros!$C$8)</f>
        <v/>
      </c>
      <c r="V84" s="42" t="str">
        <f aca="false">IF($B84="","",Parametros!$C$6+SUM($S$7:S84))</f>
        <v/>
      </c>
      <c r="W84" s="42" t="str">
        <f aca="false">IF($B84="","",MAX(V84,W83))</f>
        <v/>
      </c>
      <c r="X84" s="42" t="str">
        <f aca="false">IF($B84="","",V84-W84)</f>
        <v/>
      </c>
      <c r="Y84" s="45" t="str">
        <f aca="false">IF($B84="","",X84/W84)</f>
        <v/>
      </c>
      <c r="Z84" s="36" t="str">
        <f aca="false">IF($B84="","",IF(T84="G",IF(N(Z83)&gt;0,Z83+1,1),IF(N(Z83)&lt;0,Z83-1,-1)))</f>
        <v/>
      </c>
      <c r="AA84" s="46" t="str">
        <f aca="false">IF($B84="","",B84-WEEKDAY(B84,2)+1)</f>
        <v/>
      </c>
      <c r="AB84" s="47" t="str">
        <f aca="false">IF($B84="","",DATE(YEAR(B84),MONTH(B84),1))</f>
        <v/>
      </c>
      <c r="AC84" s="41" t="str">
        <f aca="false">IF($B84="","",CHOOSE(WEEKDAY(B84,2),"Lunes","Martes","Miércoles","Jueves","Viernes","Sábado","Domingo"))</f>
        <v/>
      </c>
      <c r="AD84" s="36" t="str">
        <f aca="false">IF($B84="","",HOUR(C84))</f>
        <v/>
      </c>
      <c r="AE84" s="42" t="str">
        <f aca="false">IF($B84="","",IF(O84&lt;&gt;O83,MAX(V84-S84,V84),MAX(V84,AE83)))</f>
        <v/>
      </c>
      <c r="AF84" s="42" t="str">
        <f aca="false">IF($B84="","",V84-AE84)</f>
        <v/>
      </c>
      <c r="AG84" s="36" t="str">
        <f aca="false">IF($B84="","",IF(O84&lt;&gt;O83,IF(T84="G",1,-1),IF(T84="G",IF(N(AG83)&gt;0,AG83+1,1),IF(N(AG83)&lt;0,AG83-1,-1))))</f>
        <v/>
      </c>
    </row>
    <row r="85" customFormat="false" ht="15" hidden="false" customHeight="false" outlineLevel="0" collapsed="false">
      <c r="A85" s="36" t="str">
        <f aca="false">IF(B85="","",ROW()-6)</f>
        <v/>
      </c>
      <c r="B85" s="37"/>
      <c r="C85" s="38"/>
      <c r="D85" s="38"/>
      <c r="E85" s="39"/>
      <c r="F85" s="39"/>
      <c r="G85" s="39"/>
      <c r="H85" s="40"/>
      <c r="I85" s="40"/>
      <c r="J85" s="40"/>
      <c r="K85" s="40"/>
      <c r="L85" s="39"/>
      <c r="M85" s="40"/>
      <c r="N85" s="40"/>
      <c r="O85" s="36" t="str">
        <f aca="false">IF($B85="","",INT((A85-1)/Parametros!$C$10)+1)</f>
        <v/>
      </c>
      <c r="P85" s="41" t="str">
        <f aca="false">IF($B85="","",IF(OR(C85="",D85=""),"",ROUND((D85-C85)*1440,0)))</f>
        <v/>
      </c>
      <c r="Q85" s="42" t="str">
        <f aca="false">IF($B85="","",I85*VLOOKUP(E85,Parametros!$B$18:$D$24,2,FALSE()))</f>
        <v/>
      </c>
      <c r="R85" s="42" t="str">
        <f aca="false">IF($B85="","",G85*VLOOKUP(E85,Parametros!$B$18:$D$24,3,FALSE()))</f>
        <v/>
      </c>
      <c r="S85" s="42" t="str">
        <f aca="false">IF($B85="","",Q85-R85)</f>
        <v/>
      </c>
      <c r="T85" s="43" t="str">
        <f aca="false">IF($B85="","",IF(S85&gt;0,"G","P"))</f>
        <v/>
      </c>
      <c r="U85" s="44" t="str">
        <f aca="false">IF($B85="","",S85/Parametros!$C$8)</f>
        <v/>
      </c>
      <c r="V85" s="42" t="str">
        <f aca="false">IF($B85="","",Parametros!$C$6+SUM($S$7:S85))</f>
        <v/>
      </c>
      <c r="W85" s="42" t="str">
        <f aca="false">IF($B85="","",MAX(V85,W84))</f>
        <v/>
      </c>
      <c r="X85" s="42" t="str">
        <f aca="false">IF($B85="","",V85-W85)</f>
        <v/>
      </c>
      <c r="Y85" s="45" t="str">
        <f aca="false">IF($B85="","",X85/W85)</f>
        <v/>
      </c>
      <c r="Z85" s="36" t="str">
        <f aca="false">IF($B85="","",IF(T85="G",IF(N(Z84)&gt;0,Z84+1,1),IF(N(Z84)&lt;0,Z84-1,-1)))</f>
        <v/>
      </c>
      <c r="AA85" s="46" t="str">
        <f aca="false">IF($B85="","",B85-WEEKDAY(B85,2)+1)</f>
        <v/>
      </c>
      <c r="AB85" s="47" t="str">
        <f aca="false">IF($B85="","",DATE(YEAR(B85),MONTH(B85),1))</f>
        <v/>
      </c>
      <c r="AC85" s="41" t="str">
        <f aca="false">IF($B85="","",CHOOSE(WEEKDAY(B85,2),"Lunes","Martes","Miércoles","Jueves","Viernes","Sábado","Domingo"))</f>
        <v/>
      </c>
      <c r="AD85" s="36" t="str">
        <f aca="false">IF($B85="","",HOUR(C85))</f>
        <v/>
      </c>
      <c r="AE85" s="42" t="str">
        <f aca="false">IF($B85="","",IF(O85&lt;&gt;O84,MAX(V85-S85,V85),MAX(V85,AE84)))</f>
        <v/>
      </c>
      <c r="AF85" s="42" t="str">
        <f aca="false">IF($B85="","",V85-AE85)</f>
        <v/>
      </c>
      <c r="AG85" s="36" t="str">
        <f aca="false">IF($B85="","",IF(O85&lt;&gt;O84,IF(T85="G",1,-1),IF(T85="G",IF(N(AG84)&gt;0,AG84+1,1),IF(N(AG84)&lt;0,AG84-1,-1))))</f>
        <v/>
      </c>
    </row>
    <row r="86" customFormat="false" ht="15" hidden="false" customHeight="false" outlineLevel="0" collapsed="false">
      <c r="A86" s="36" t="str">
        <f aca="false">IF(B86="","",ROW()-6)</f>
        <v/>
      </c>
      <c r="B86" s="37"/>
      <c r="C86" s="38"/>
      <c r="D86" s="38"/>
      <c r="E86" s="39"/>
      <c r="F86" s="39"/>
      <c r="G86" s="39"/>
      <c r="H86" s="40"/>
      <c r="I86" s="40"/>
      <c r="J86" s="40"/>
      <c r="K86" s="40"/>
      <c r="L86" s="39"/>
      <c r="M86" s="40"/>
      <c r="N86" s="40"/>
      <c r="O86" s="36" t="str">
        <f aca="false">IF($B86="","",INT((A86-1)/Parametros!$C$10)+1)</f>
        <v/>
      </c>
      <c r="P86" s="41" t="str">
        <f aca="false">IF($B86="","",IF(OR(C86="",D86=""),"",ROUND((D86-C86)*1440,0)))</f>
        <v/>
      </c>
      <c r="Q86" s="42" t="str">
        <f aca="false">IF($B86="","",I86*VLOOKUP(E86,Parametros!$B$18:$D$24,2,FALSE()))</f>
        <v/>
      </c>
      <c r="R86" s="42" t="str">
        <f aca="false">IF($B86="","",G86*VLOOKUP(E86,Parametros!$B$18:$D$24,3,FALSE()))</f>
        <v/>
      </c>
      <c r="S86" s="42" t="str">
        <f aca="false">IF($B86="","",Q86-R86)</f>
        <v/>
      </c>
      <c r="T86" s="43" t="str">
        <f aca="false">IF($B86="","",IF(S86&gt;0,"G","P"))</f>
        <v/>
      </c>
      <c r="U86" s="44" t="str">
        <f aca="false">IF($B86="","",S86/Parametros!$C$8)</f>
        <v/>
      </c>
      <c r="V86" s="42" t="str">
        <f aca="false">IF($B86="","",Parametros!$C$6+SUM($S$7:S86))</f>
        <v/>
      </c>
      <c r="W86" s="42" t="str">
        <f aca="false">IF($B86="","",MAX(V86,W85))</f>
        <v/>
      </c>
      <c r="X86" s="42" t="str">
        <f aca="false">IF($B86="","",V86-W86)</f>
        <v/>
      </c>
      <c r="Y86" s="45" t="str">
        <f aca="false">IF($B86="","",X86/W86)</f>
        <v/>
      </c>
      <c r="Z86" s="36" t="str">
        <f aca="false">IF($B86="","",IF(T86="G",IF(N(Z85)&gt;0,Z85+1,1),IF(N(Z85)&lt;0,Z85-1,-1)))</f>
        <v/>
      </c>
      <c r="AA86" s="46" t="str">
        <f aca="false">IF($B86="","",B86-WEEKDAY(B86,2)+1)</f>
        <v/>
      </c>
      <c r="AB86" s="47" t="str">
        <f aca="false">IF($B86="","",DATE(YEAR(B86),MONTH(B86),1))</f>
        <v/>
      </c>
      <c r="AC86" s="41" t="str">
        <f aca="false">IF($B86="","",CHOOSE(WEEKDAY(B86,2),"Lunes","Martes","Miércoles","Jueves","Viernes","Sábado","Domingo"))</f>
        <v/>
      </c>
      <c r="AD86" s="36" t="str">
        <f aca="false">IF($B86="","",HOUR(C86))</f>
        <v/>
      </c>
      <c r="AE86" s="42" t="str">
        <f aca="false">IF($B86="","",IF(O86&lt;&gt;O85,MAX(V86-S86,V86),MAX(V86,AE85)))</f>
        <v/>
      </c>
      <c r="AF86" s="42" t="str">
        <f aca="false">IF($B86="","",V86-AE86)</f>
        <v/>
      </c>
      <c r="AG86" s="36" t="str">
        <f aca="false">IF($B86="","",IF(O86&lt;&gt;O85,IF(T86="G",1,-1),IF(T86="G",IF(N(AG85)&gt;0,AG85+1,1),IF(N(AG85)&lt;0,AG85-1,-1))))</f>
        <v/>
      </c>
    </row>
    <row r="87" customFormat="false" ht="15" hidden="false" customHeight="false" outlineLevel="0" collapsed="false">
      <c r="A87" s="36" t="str">
        <f aca="false">IF(B87="","",ROW()-6)</f>
        <v/>
      </c>
      <c r="B87" s="37"/>
      <c r="C87" s="38"/>
      <c r="D87" s="38"/>
      <c r="E87" s="39"/>
      <c r="F87" s="39"/>
      <c r="G87" s="39"/>
      <c r="H87" s="40"/>
      <c r="I87" s="40"/>
      <c r="J87" s="40"/>
      <c r="K87" s="40"/>
      <c r="L87" s="39"/>
      <c r="M87" s="40"/>
      <c r="N87" s="40"/>
      <c r="O87" s="36" t="str">
        <f aca="false">IF($B87="","",INT((A87-1)/Parametros!$C$10)+1)</f>
        <v/>
      </c>
      <c r="P87" s="41" t="str">
        <f aca="false">IF($B87="","",IF(OR(C87="",D87=""),"",ROUND((D87-C87)*1440,0)))</f>
        <v/>
      </c>
      <c r="Q87" s="42" t="str">
        <f aca="false">IF($B87="","",I87*VLOOKUP(E87,Parametros!$B$18:$D$24,2,FALSE()))</f>
        <v/>
      </c>
      <c r="R87" s="42" t="str">
        <f aca="false">IF($B87="","",G87*VLOOKUP(E87,Parametros!$B$18:$D$24,3,FALSE()))</f>
        <v/>
      </c>
      <c r="S87" s="42" t="str">
        <f aca="false">IF($B87="","",Q87-R87)</f>
        <v/>
      </c>
      <c r="T87" s="43" t="str">
        <f aca="false">IF($B87="","",IF(S87&gt;0,"G","P"))</f>
        <v/>
      </c>
      <c r="U87" s="44" t="str">
        <f aca="false">IF($B87="","",S87/Parametros!$C$8)</f>
        <v/>
      </c>
      <c r="V87" s="42" t="str">
        <f aca="false">IF($B87="","",Parametros!$C$6+SUM($S$7:S87))</f>
        <v/>
      </c>
      <c r="W87" s="42" t="str">
        <f aca="false">IF($B87="","",MAX(V87,W86))</f>
        <v/>
      </c>
      <c r="X87" s="42" t="str">
        <f aca="false">IF($B87="","",V87-W87)</f>
        <v/>
      </c>
      <c r="Y87" s="45" t="str">
        <f aca="false">IF($B87="","",X87/W87)</f>
        <v/>
      </c>
      <c r="Z87" s="36" t="str">
        <f aca="false">IF($B87="","",IF(T87="G",IF(N(Z86)&gt;0,Z86+1,1),IF(N(Z86)&lt;0,Z86-1,-1)))</f>
        <v/>
      </c>
      <c r="AA87" s="46" t="str">
        <f aca="false">IF($B87="","",B87-WEEKDAY(B87,2)+1)</f>
        <v/>
      </c>
      <c r="AB87" s="47" t="str">
        <f aca="false">IF($B87="","",DATE(YEAR(B87),MONTH(B87),1))</f>
        <v/>
      </c>
      <c r="AC87" s="41" t="str">
        <f aca="false">IF($B87="","",CHOOSE(WEEKDAY(B87,2),"Lunes","Martes","Miércoles","Jueves","Viernes","Sábado","Domingo"))</f>
        <v/>
      </c>
      <c r="AD87" s="36" t="str">
        <f aca="false">IF($B87="","",HOUR(C87))</f>
        <v/>
      </c>
      <c r="AE87" s="42" t="str">
        <f aca="false">IF($B87="","",IF(O87&lt;&gt;O86,MAX(V87-S87,V87),MAX(V87,AE86)))</f>
        <v/>
      </c>
      <c r="AF87" s="42" t="str">
        <f aca="false">IF($B87="","",V87-AE87)</f>
        <v/>
      </c>
      <c r="AG87" s="36" t="str">
        <f aca="false">IF($B87="","",IF(O87&lt;&gt;O86,IF(T87="G",1,-1),IF(T87="G",IF(N(AG86)&gt;0,AG86+1,1),IF(N(AG86)&lt;0,AG86-1,-1))))</f>
        <v/>
      </c>
    </row>
    <row r="88" customFormat="false" ht="15" hidden="false" customHeight="false" outlineLevel="0" collapsed="false">
      <c r="A88" s="36" t="str">
        <f aca="false">IF(B88="","",ROW()-6)</f>
        <v/>
      </c>
      <c r="B88" s="37"/>
      <c r="C88" s="38"/>
      <c r="D88" s="38"/>
      <c r="E88" s="39"/>
      <c r="F88" s="39"/>
      <c r="G88" s="39"/>
      <c r="H88" s="40"/>
      <c r="I88" s="40"/>
      <c r="J88" s="40"/>
      <c r="K88" s="40"/>
      <c r="L88" s="39"/>
      <c r="M88" s="40"/>
      <c r="N88" s="40"/>
      <c r="O88" s="36" t="str">
        <f aca="false">IF($B88="","",INT((A88-1)/Parametros!$C$10)+1)</f>
        <v/>
      </c>
      <c r="P88" s="41" t="str">
        <f aca="false">IF($B88="","",IF(OR(C88="",D88=""),"",ROUND((D88-C88)*1440,0)))</f>
        <v/>
      </c>
      <c r="Q88" s="42" t="str">
        <f aca="false">IF($B88="","",I88*VLOOKUP(E88,Parametros!$B$18:$D$24,2,FALSE()))</f>
        <v/>
      </c>
      <c r="R88" s="42" t="str">
        <f aca="false">IF($B88="","",G88*VLOOKUP(E88,Parametros!$B$18:$D$24,3,FALSE()))</f>
        <v/>
      </c>
      <c r="S88" s="42" t="str">
        <f aca="false">IF($B88="","",Q88-R88)</f>
        <v/>
      </c>
      <c r="T88" s="43" t="str">
        <f aca="false">IF($B88="","",IF(S88&gt;0,"G","P"))</f>
        <v/>
      </c>
      <c r="U88" s="44" t="str">
        <f aca="false">IF($B88="","",S88/Parametros!$C$8)</f>
        <v/>
      </c>
      <c r="V88" s="42" t="str">
        <f aca="false">IF($B88="","",Parametros!$C$6+SUM($S$7:S88))</f>
        <v/>
      </c>
      <c r="W88" s="42" t="str">
        <f aca="false">IF($B88="","",MAX(V88,W87))</f>
        <v/>
      </c>
      <c r="X88" s="42" t="str">
        <f aca="false">IF($B88="","",V88-W88)</f>
        <v/>
      </c>
      <c r="Y88" s="45" t="str">
        <f aca="false">IF($B88="","",X88/W88)</f>
        <v/>
      </c>
      <c r="Z88" s="36" t="str">
        <f aca="false">IF($B88="","",IF(T88="G",IF(N(Z87)&gt;0,Z87+1,1),IF(N(Z87)&lt;0,Z87-1,-1)))</f>
        <v/>
      </c>
      <c r="AA88" s="46" t="str">
        <f aca="false">IF($B88="","",B88-WEEKDAY(B88,2)+1)</f>
        <v/>
      </c>
      <c r="AB88" s="47" t="str">
        <f aca="false">IF($B88="","",DATE(YEAR(B88),MONTH(B88),1))</f>
        <v/>
      </c>
      <c r="AC88" s="41" t="str">
        <f aca="false">IF($B88="","",CHOOSE(WEEKDAY(B88,2),"Lunes","Martes","Miércoles","Jueves","Viernes","Sábado","Domingo"))</f>
        <v/>
      </c>
      <c r="AD88" s="36" t="str">
        <f aca="false">IF($B88="","",HOUR(C88))</f>
        <v/>
      </c>
      <c r="AE88" s="42" t="str">
        <f aca="false">IF($B88="","",IF(O88&lt;&gt;O87,MAX(V88-S88,V88),MAX(V88,AE87)))</f>
        <v/>
      </c>
      <c r="AF88" s="42" t="str">
        <f aca="false">IF($B88="","",V88-AE88)</f>
        <v/>
      </c>
      <c r="AG88" s="36" t="str">
        <f aca="false">IF($B88="","",IF(O88&lt;&gt;O87,IF(T88="G",1,-1),IF(T88="G",IF(N(AG87)&gt;0,AG87+1,1),IF(N(AG87)&lt;0,AG87-1,-1))))</f>
        <v/>
      </c>
    </row>
    <row r="89" customFormat="false" ht="15" hidden="false" customHeight="false" outlineLevel="0" collapsed="false">
      <c r="A89" s="36" t="str">
        <f aca="false">IF(B89="","",ROW()-6)</f>
        <v/>
      </c>
      <c r="B89" s="37"/>
      <c r="C89" s="38"/>
      <c r="D89" s="38"/>
      <c r="E89" s="39"/>
      <c r="F89" s="39"/>
      <c r="G89" s="39"/>
      <c r="H89" s="40"/>
      <c r="I89" s="40"/>
      <c r="J89" s="40"/>
      <c r="K89" s="40"/>
      <c r="L89" s="39"/>
      <c r="M89" s="40"/>
      <c r="N89" s="40"/>
      <c r="O89" s="36" t="str">
        <f aca="false">IF($B89="","",INT((A89-1)/Parametros!$C$10)+1)</f>
        <v/>
      </c>
      <c r="P89" s="41" t="str">
        <f aca="false">IF($B89="","",IF(OR(C89="",D89=""),"",ROUND((D89-C89)*1440,0)))</f>
        <v/>
      </c>
      <c r="Q89" s="42" t="str">
        <f aca="false">IF($B89="","",I89*VLOOKUP(E89,Parametros!$B$18:$D$24,2,FALSE()))</f>
        <v/>
      </c>
      <c r="R89" s="42" t="str">
        <f aca="false">IF($B89="","",G89*VLOOKUP(E89,Parametros!$B$18:$D$24,3,FALSE()))</f>
        <v/>
      </c>
      <c r="S89" s="42" t="str">
        <f aca="false">IF($B89="","",Q89-R89)</f>
        <v/>
      </c>
      <c r="T89" s="43" t="str">
        <f aca="false">IF($B89="","",IF(S89&gt;0,"G","P"))</f>
        <v/>
      </c>
      <c r="U89" s="44" t="str">
        <f aca="false">IF($B89="","",S89/Parametros!$C$8)</f>
        <v/>
      </c>
      <c r="V89" s="42" t="str">
        <f aca="false">IF($B89="","",Parametros!$C$6+SUM($S$7:S89))</f>
        <v/>
      </c>
      <c r="W89" s="42" t="str">
        <f aca="false">IF($B89="","",MAX(V89,W88))</f>
        <v/>
      </c>
      <c r="X89" s="42" t="str">
        <f aca="false">IF($B89="","",V89-W89)</f>
        <v/>
      </c>
      <c r="Y89" s="45" t="str">
        <f aca="false">IF($B89="","",X89/W89)</f>
        <v/>
      </c>
      <c r="Z89" s="36" t="str">
        <f aca="false">IF($B89="","",IF(T89="G",IF(N(Z88)&gt;0,Z88+1,1),IF(N(Z88)&lt;0,Z88-1,-1)))</f>
        <v/>
      </c>
      <c r="AA89" s="46" t="str">
        <f aca="false">IF($B89="","",B89-WEEKDAY(B89,2)+1)</f>
        <v/>
      </c>
      <c r="AB89" s="47" t="str">
        <f aca="false">IF($B89="","",DATE(YEAR(B89),MONTH(B89),1))</f>
        <v/>
      </c>
      <c r="AC89" s="41" t="str">
        <f aca="false">IF($B89="","",CHOOSE(WEEKDAY(B89,2),"Lunes","Martes","Miércoles","Jueves","Viernes","Sábado","Domingo"))</f>
        <v/>
      </c>
      <c r="AD89" s="36" t="str">
        <f aca="false">IF($B89="","",HOUR(C89))</f>
        <v/>
      </c>
      <c r="AE89" s="42" t="str">
        <f aca="false">IF($B89="","",IF(O89&lt;&gt;O88,MAX(V89-S89,V89),MAX(V89,AE88)))</f>
        <v/>
      </c>
      <c r="AF89" s="42" t="str">
        <f aca="false">IF($B89="","",V89-AE89)</f>
        <v/>
      </c>
      <c r="AG89" s="36" t="str">
        <f aca="false">IF($B89="","",IF(O89&lt;&gt;O88,IF(T89="G",1,-1),IF(T89="G",IF(N(AG88)&gt;0,AG88+1,1),IF(N(AG88)&lt;0,AG88-1,-1))))</f>
        <v/>
      </c>
    </row>
    <row r="90" customFormat="false" ht="15" hidden="false" customHeight="false" outlineLevel="0" collapsed="false">
      <c r="A90" s="36" t="str">
        <f aca="false">IF(B90="","",ROW()-6)</f>
        <v/>
      </c>
      <c r="B90" s="37"/>
      <c r="C90" s="38"/>
      <c r="D90" s="38"/>
      <c r="E90" s="39"/>
      <c r="F90" s="39"/>
      <c r="G90" s="39"/>
      <c r="H90" s="40"/>
      <c r="I90" s="40"/>
      <c r="J90" s="40"/>
      <c r="K90" s="40"/>
      <c r="L90" s="39"/>
      <c r="M90" s="40"/>
      <c r="N90" s="40"/>
      <c r="O90" s="36" t="str">
        <f aca="false">IF($B90="","",INT((A90-1)/Parametros!$C$10)+1)</f>
        <v/>
      </c>
      <c r="P90" s="41" t="str">
        <f aca="false">IF($B90="","",IF(OR(C90="",D90=""),"",ROUND((D90-C90)*1440,0)))</f>
        <v/>
      </c>
      <c r="Q90" s="42" t="str">
        <f aca="false">IF($B90="","",I90*VLOOKUP(E90,Parametros!$B$18:$D$24,2,FALSE()))</f>
        <v/>
      </c>
      <c r="R90" s="42" t="str">
        <f aca="false">IF($B90="","",G90*VLOOKUP(E90,Parametros!$B$18:$D$24,3,FALSE()))</f>
        <v/>
      </c>
      <c r="S90" s="42" t="str">
        <f aca="false">IF($B90="","",Q90-R90)</f>
        <v/>
      </c>
      <c r="T90" s="43" t="str">
        <f aca="false">IF($B90="","",IF(S90&gt;0,"G","P"))</f>
        <v/>
      </c>
      <c r="U90" s="44" t="str">
        <f aca="false">IF($B90="","",S90/Parametros!$C$8)</f>
        <v/>
      </c>
      <c r="V90" s="42" t="str">
        <f aca="false">IF($B90="","",Parametros!$C$6+SUM($S$7:S90))</f>
        <v/>
      </c>
      <c r="W90" s="42" t="str">
        <f aca="false">IF($B90="","",MAX(V90,W89))</f>
        <v/>
      </c>
      <c r="X90" s="42" t="str">
        <f aca="false">IF($B90="","",V90-W90)</f>
        <v/>
      </c>
      <c r="Y90" s="45" t="str">
        <f aca="false">IF($B90="","",X90/W90)</f>
        <v/>
      </c>
      <c r="Z90" s="36" t="str">
        <f aca="false">IF($B90="","",IF(T90="G",IF(N(Z89)&gt;0,Z89+1,1),IF(N(Z89)&lt;0,Z89-1,-1)))</f>
        <v/>
      </c>
      <c r="AA90" s="46" t="str">
        <f aca="false">IF($B90="","",B90-WEEKDAY(B90,2)+1)</f>
        <v/>
      </c>
      <c r="AB90" s="47" t="str">
        <f aca="false">IF($B90="","",DATE(YEAR(B90),MONTH(B90),1))</f>
        <v/>
      </c>
      <c r="AC90" s="41" t="str">
        <f aca="false">IF($B90="","",CHOOSE(WEEKDAY(B90,2),"Lunes","Martes","Miércoles","Jueves","Viernes","Sábado","Domingo"))</f>
        <v/>
      </c>
      <c r="AD90" s="36" t="str">
        <f aca="false">IF($B90="","",HOUR(C90))</f>
        <v/>
      </c>
      <c r="AE90" s="42" t="str">
        <f aca="false">IF($B90="","",IF(O90&lt;&gt;O89,MAX(V90-S90,V90),MAX(V90,AE89)))</f>
        <v/>
      </c>
      <c r="AF90" s="42" t="str">
        <f aca="false">IF($B90="","",V90-AE90)</f>
        <v/>
      </c>
      <c r="AG90" s="36" t="str">
        <f aca="false">IF($B90="","",IF(O90&lt;&gt;O89,IF(T90="G",1,-1),IF(T90="G",IF(N(AG89)&gt;0,AG89+1,1),IF(N(AG89)&lt;0,AG89-1,-1))))</f>
        <v/>
      </c>
    </row>
    <row r="91" customFormat="false" ht="15" hidden="false" customHeight="false" outlineLevel="0" collapsed="false">
      <c r="A91" s="36" t="str">
        <f aca="false">IF(B91="","",ROW()-6)</f>
        <v/>
      </c>
      <c r="B91" s="37"/>
      <c r="C91" s="38"/>
      <c r="D91" s="38"/>
      <c r="E91" s="39"/>
      <c r="F91" s="39"/>
      <c r="G91" s="39"/>
      <c r="H91" s="40"/>
      <c r="I91" s="40"/>
      <c r="J91" s="40"/>
      <c r="K91" s="40"/>
      <c r="L91" s="39"/>
      <c r="M91" s="40"/>
      <c r="N91" s="40"/>
      <c r="O91" s="36" t="str">
        <f aca="false">IF($B91="","",INT((A91-1)/Parametros!$C$10)+1)</f>
        <v/>
      </c>
      <c r="P91" s="41" t="str">
        <f aca="false">IF($B91="","",IF(OR(C91="",D91=""),"",ROUND((D91-C91)*1440,0)))</f>
        <v/>
      </c>
      <c r="Q91" s="42" t="str">
        <f aca="false">IF($B91="","",I91*VLOOKUP(E91,Parametros!$B$18:$D$24,2,FALSE()))</f>
        <v/>
      </c>
      <c r="R91" s="42" t="str">
        <f aca="false">IF($B91="","",G91*VLOOKUP(E91,Parametros!$B$18:$D$24,3,FALSE()))</f>
        <v/>
      </c>
      <c r="S91" s="42" t="str">
        <f aca="false">IF($B91="","",Q91-R91)</f>
        <v/>
      </c>
      <c r="T91" s="43" t="str">
        <f aca="false">IF($B91="","",IF(S91&gt;0,"G","P"))</f>
        <v/>
      </c>
      <c r="U91" s="44" t="str">
        <f aca="false">IF($B91="","",S91/Parametros!$C$8)</f>
        <v/>
      </c>
      <c r="V91" s="42" t="str">
        <f aca="false">IF($B91="","",Parametros!$C$6+SUM($S$7:S91))</f>
        <v/>
      </c>
      <c r="W91" s="42" t="str">
        <f aca="false">IF($B91="","",MAX(V91,W90))</f>
        <v/>
      </c>
      <c r="X91" s="42" t="str">
        <f aca="false">IF($B91="","",V91-W91)</f>
        <v/>
      </c>
      <c r="Y91" s="45" t="str">
        <f aca="false">IF($B91="","",X91/W91)</f>
        <v/>
      </c>
      <c r="Z91" s="36" t="str">
        <f aca="false">IF($B91="","",IF(T91="G",IF(N(Z90)&gt;0,Z90+1,1),IF(N(Z90)&lt;0,Z90-1,-1)))</f>
        <v/>
      </c>
      <c r="AA91" s="46" t="str">
        <f aca="false">IF($B91="","",B91-WEEKDAY(B91,2)+1)</f>
        <v/>
      </c>
      <c r="AB91" s="47" t="str">
        <f aca="false">IF($B91="","",DATE(YEAR(B91),MONTH(B91),1))</f>
        <v/>
      </c>
      <c r="AC91" s="41" t="str">
        <f aca="false">IF($B91="","",CHOOSE(WEEKDAY(B91,2),"Lunes","Martes","Miércoles","Jueves","Viernes","Sábado","Domingo"))</f>
        <v/>
      </c>
      <c r="AD91" s="36" t="str">
        <f aca="false">IF($B91="","",HOUR(C91))</f>
        <v/>
      </c>
      <c r="AE91" s="42" t="str">
        <f aca="false">IF($B91="","",IF(O91&lt;&gt;O90,MAX(V91-S91,V91),MAX(V91,AE90)))</f>
        <v/>
      </c>
      <c r="AF91" s="42" t="str">
        <f aca="false">IF($B91="","",V91-AE91)</f>
        <v/>
      </c>
      <c r="AG91" s="36" t="str">
        <f aca="false">IF($B91="","",IF(O91&lt;&gt;O90,IF(T91="G",1,-1),IF(T91="G",IF(N(AG90)&gt;0,AG90+1,1),IF(N(AG90)&lt;0,AG90-1,-1))))</f>
        <v/>
      </c>
    </row>
    <row r="92" customFormat="false" ht="15" hidden="false" customHeight="false" outlineLevel="0" collapsed="false">
      <c r="A92" s="36" t="str">
        <f aca="false">IF(B92="","",ROW()-6)</f>
        <v/>
      </c>
      <c r="B92" s="37"/>
      <c r="C92" s="38"/>
      <c r="D92" s="38"/>
      <c r="E92" s="39"/>
      <c r="F92" s="39"/>
      <c r="G92" s="39"/>
      <c r="H92" s="40"/>
      <c r="I92" s="40"/>
      <c r="J92" s="40"/>
      <c r="K92" s="40"/>
      <c r="L92" s="39"/>
      <c r="M92" s="40"/>
      <c r="N92" s="40"/>
      <c r="O92" s="36" t="str">
        <f aca="false">IF($B92="","",INT((A92-1)/Parametros!$C$10)+1)</f>
        <v/>
      </c>
      <c r="P92" s="41" t="str">
        <f aca="false">IF($B92="","",IF(OR(C92="",D92=""),"",ROUND((D92-C92)*1440,0)))</f>
        <v/>
      </c>
      <c r="Q92" s="42" t="str">
        <f aca="false">IF($B92="","",I92*VLOOKUP(E92,Parametros!$B$18:$D$24,2,FALSE()))</f>
        <v/>
      </c>
      <c r="R92" s="42" t="str">
        <f aca="false">IF($B92="","",G92*VLOOKUP(E92,Parametros!$B$18:$D$24,3,FALSE()))</f>
        <v/>
      </c>
      <c r="S92" s="42" t="str">
        <f aca="false">IF($B92="","",Q92-R92)</f>
        <v/>
      </c>
      <c r="T92" s="43" t="str">
        <f aca="false">IF($B92="","",IF(S92&gt;0,"G","P"))</f>
        <v/>
      </c>
      <c r="U92" s="44" t="str">
        <f aca="false">IF($B92="","",S92/Parametros!$C$8)</f>
        <v/>
      </c>
      <c r="V92" s="42" t="str">
        <f aca="false">IF($B92="","",Parametros!$C$6+SUM($S$7:S92))</f>
        <v/>
      </c>
      <c r="W92" s="42" t="str">
        <f aca="false">IF($B92="","",MAX(V92,W91))</f>
        <v/>
      </c>
      <c r="X92" s="42" t="str">
        <f aca="false">IF($B92="","",V92-W92)</f>
        <v/>
      </c>
      <c r="Y92" s="45" t="str">
        <f aca="false">IF($B92="","",X92/W92)</f>
        <v/>
      </c>
      <c r="Z92" s="36" t="str">
        <f aca="false">IF($B92="","",IF(T92="G",IF(N(Z91)&gt;0,Z91+1,1),IF(N(Z91)&lt;0,Z91-1,-1)))</f>
        <v/>
      </c>
      <c r="AA92" s="46" t="str">
        <f aca="false">IF($B92="","",B92-WEEKDAY(B92,2)+1)</f>
        <v/>
      </c>
      <c r="AB92" s="47" t="str">
        <f aca="false">IF($B92="","",DATE(YEAR(B92),MONTH(B92),1))</f>
        <v/>
      </c>
      <c r="AC92" s="41" t="str">
        <f aca="false">IF($B92="","",CHOOSE(WEEKDAY(B92,2),"Lunes","Martes","Miércoles","Jueves","Viernes","Sábado","Domingo"))</f>
        <v/>
      </c>
      <c r="AD92" s="36" t="str">
        <f aca="false">IF($B92="","",HOUR(C92))</f>
        <v/>
      </c>
      <c r="AE92" s="42" t="str">
        <f aca="false">IF($B92="","",IF(O92&lt;&gt;O91,MAX(V92-S92,V92),MAX(V92,AE91)))</f>
        <v/>
      </c>
      <c r="AF92" s="42" t="str">
        <f aca="false">IF($B92="","",V92-AE92)</f>
        <v/>
      </c>
      <c r="AG92" s="36" t="str">
        <f aca="false">IF($B92="","",IF(O92&lt;&gt;O91,IF(T92="G",1,-1),IF(T92="G",IF(N(AG91)&gt;0,AG91+1,1),IF(N(AG91)&lt;0,AG91-1,-1))))</f>
        <v/>
      </c>
    </row>
    <row r="93" customFormat="false" ht="15" hidden="false" customHeight="false" outlineLevel="0" collapsed="false">
      <c r="A93" s="36" t="str">
        <f aca="false">IF(B93="","",ROW()-6)</f>
        <v/>
      </c>
      <c r="B93" s="37"/>
      <c r="C93" s="38"/>
      <c r="D93" s="38"/>
      <c r="E93" s="39"/>
      <c r="F93" s="39"/>
      <c r="G93" s="39"/>
      <c r="H93" s="40"/>
      <c r="I93" s="40"/>
      <c r="J93" s="40"/>
      <c r="K93" s="40"/>
      <c r="L93" s="39"/>
      <c r="M93" s="40"/>
      <c r="N93" s="40"/>
      <c r="O93" s="36" t="str">
        <f aca="false">IF($B93="","",INT((A93-1)/Parametros!$C$10)+1)</f>
        <v/>
      </c>
      <c r="P93" s="41" t="str">
        <f aca="false">IF($B93="","",IF(OR(C93="",D93=""),"",ROUND((D93-C93)*1440,0)))</f>
        <v/>
      </c>
      <c r="Q93" s="42" t="str">
        <f aca="false">IF($B93="","",I93*VLOOKUP(E93,Parametros!$B$18:$D$24,2,FALSE()))</f>
        <v/>
      </c>
      <c r="R93" s="42" t="str">
        <f aca="false">IF($B93="","",G93*VLOOKUP(E93,Parametros!$B$18:$D$24,3,FALSE()))</f>
        <v/>
      </c>
      <c r="S93" s="42" t="str">
        <f aca="false">IF($B93="","",Q93-R93)</f>
        <v/>
      </c>
      <c r="T93" s="43" t="str">
        <f aca="false">IF($B93="","",IF(S93&gt;0,"G","P"))</f>
        <v/>
      </c>
      <c r="U93" s="44" t="str">
        <f aca="false">IF($B93="","",S93/Parametros!$C$8)</f>
        <v/>
      </c>
      <c r="V93" s="42" t="str">
        <f aca="false">IF($B93="","",Parametros!$C$6+SUM($S$7:S93))</f>
        <v/>
      </c>
      <c r="W93" s="42" t="str">
        <f aca="false">IF($B93="","",MAX(V93,W92))</f>
        <v/>
      </c>
      <c r="X93" s="42" t="str">
        <f aca="false">IF($B93="","",V93-W93)</f>
        <v/>
      </c>
      <c r="Y93" s="45" t="str">
        <f aca="false">IF($B93="","",X93/W93)</f>
        <v/>
      </c>
      <c r="Z93" s="36" t="str">
        <f aca="false">IF($B93="","",IF(T93="G",IF(N(Z92)&gt;0,Z92+1,1),IF(N(Z92)&lt;0,Z92-1,-1)))</f>
        <v/>
      </c>
      <c r="AA93" s="46" t="str">
        <f aca="false">IF($B93="","",B93-WEEKDAY(B93,2)+1)</f>
        <v/>
      </c>
      <c r="AB93" s="47" t="str">
        <f aca="false">IF($B93="","",DATE(YEAR(B93),MONTH(B93),1))</f>
        <v/>
      </c>
      <c r="AC93" s="41" t="str">
        <f aca="false">IF($B93="","",CHOOSE(WEEKDAY(B93,2),"Lunes","Martes","Miércoles","Jueves","Viernes","Sábado","Domingo"))</f>
        <v/>
      </c>
      <c r="AD93" s="36" t="str">
        <f aca="false">IF($B93="","",HOUR(C93))</f>
        <v/>
      </c>
      <c r="AE93" s="42" t="str">
        <f aca="false">IF($B93="","",IF(O93&lt;&gt;O92,MAX(V93-S93,V93),MAX(V93,AE92)))</f>
        <v/>
      </c>
      <c r="AF93" s="42" t="str">
        <f aca="false">IF($B93="","",V93-AE93)</f>
        <v/>
      </c>
      <c r="AG93" s="36" t="str">
        <f aca="false">IF($B93="","",IF(O93&lt;&gt;O92,IF(T93="G",1,-1),IF(T93="G",IF(N(AG92)&gt;0,AG92+1,1),IF(N(AG92)&lt;0,AG92-1,-1))))</f>
        <v/>
      </c>
    </row>
    <row r="94" customFormat="false" ht="15" hidden="false" customHeight="false" outlineLevel="0" collapsed="false">
      <c r="A94" s="36" t="str">
        <f aca="false">IF(B94="","",ROW()-6)</f>
        <v/>
      </c>
      <c r="B94" s="37"/>
      <c r="C94" s="38"/>
      <c r="D94" s="38"/>
      <c r="E94" s="39"/>
      <c r="F94" s="39"/>
      <c r="G94" s="39"/>
      <c r="H94" s="40"/>
      <c r="I94" s="40"/>
      <c r="J94" s="40"/>
      <c r="K94" s="40"/>
      <c r="L94" s="39"/>
      <c r="M94" s="40"/>
      <c r="N94" s="40"/>
      <c r="O94" s="36" t="str">
        <f aca="false">IF($B94="","",INT((A94-1)/Parametros!$C$10)+1)</f>
        <v/>
      </c>
      <c r="P94" s="41" t="str">
        <f aca="false">IF($B94="","",IF(OR(C94="",D94=""),"",ROUND((D94-C94)*1440,0)))</f>
        <v/>
      </c>
      <c r="Q94" s="42" t="str">
        <f aca="false">IF($B94="","",I94*VLOOKUP(E94,Parametros!$B$18:$D$24,2,FALSE()))</f>
        <v/>
      </c>
      <c r="R94" s="42" t="str">
        <f aca="false">IF($B94="","",G94*VLOOKUP(E94,Parametros!$B$18:$D$24,3,FALSE()))</f>
        <v/>
      </c>
      <c r="S94" s="42" t="str">
        <f aca="false">IF($B94="","",Q94-R94)</f>
        <v/>
      </c>
      <c r="T94" s="43" t="str">
        <f aca="false">IF($B94="","",IF(S94&gt;0,"G","P"))</f>
        <v/>
      </c>
      <c r="U94" s="44" t="str">
        <f aca="false">IF($B94="","",S94/Parametros!$C$8)</f>
        <v/>
      </c>
      <c r="V94" s="42" t="str">
        <f aca="false">IF($B94="","",Parametros!$C$6+SUM($S$7:S94))</f>
        <v/>
      </c>
      <c r="W94" s="42" t="str">
        <f aca="false">IF($B94="","",MAX(V94,W93))</f>
        <v/>
      </c>
      <c r="X94" s="42" t="str">
        <f aca="false">IF($B94="","",V94-W94)</f>
        <v/>
      </c>
      <c r="Y94" s="45" t="str">
        <f aca="false">IF($B94="","",X94/W94)</f>
        <v/>
      </c>
      <c r="Z94" s="36" t="str">
        <f aca="false">IF($B94="","",IF(T94="G",IF(N(Z93)&gt;0,Z93+1,1),IF(N(Z93)&lt;0,Z93-1,-1)))</f>
        <v/>
      </c>
      <c r="AA94" s="46" t="str">
        <f aca="false">IF($B94="","",B94-WEEKDAY(B94,2)+1)</f>
        <v/>
      </c>
      <c r="AB94" s="47" t="str">
        <f aca="false">IF($B94="","",DATE(YEAR(B94),MONTH(B94),1))</f>
        <v/>
      </c>
      <c r="AC94" s="41" t="str">
        <f aca="false">IF($B94="","",CHOOSE(WEEKDAY(B94,2),"Lunes","Martes","Miércoles","Jueves","Viernes","Sábado","Domingo"))</f>
        <v/>
      </c>
      <c r="AD94" s="36" t="str">
        <f aca="false">IF($B94="","",HOUR(C94))</f>
        <v/>
      </c>
      <c r="AE94" s="42" t="str">
        <f aca="false">IF($B94="","",IF(O94&lt;&gt;O93,MAX(V94-S94,V94),MAX(V94,AE93)))</f>
        <v/>
      </c>
      <c r="AF94" s="42" t="str">
        <f aca="false">IF($B94="","",V94-AE94)</f>
        <v/>
      </c>
      <c r="AG94" s="36" t="str">
        <f aca="false">IF($B94="","",IF(O94&lt;&gt;O93,IF(T94="G",1,-1),IF(T94="G",IF(N(AG93)&gt;0,AG93+1,1),IF(N(AG93)&lt;0,AG93-1,-1))))</f>
        <v/>
      </c>
    </row>
    <row r="95" customFormat="false" ht="15" hidden="false" customHeight="false" outlineLevel="0" collapsed="false">
      <c r="A95" s="36" t="str">
        <f aca="false">IF(B95="","",ROW()-6)</f>
        <v/>
      </c>
      <c r="B95" s="37"/>
      <c r="C95" s="38"/>
      <c r="D95" s="38"/>
      <c r="E95" s="39"/>
      <c r="F95" s="39"/>
      <c r="G95" s="39"/>
      <c r="H95" s="40"/>
      <c r="I95" s="40"/>
      <c r="J95" s="40"/>
      <c r="K95" s="40"/>
      <c r="L95" s="39"/>
      <c r="M95" s="40"/>
      <c r="N95" s="40"/>
      <c r="O95" s="36" t="str">
        <f aca="false">IF($B95="","",INT((A95-1)/Parametros!$C$10)+1)</f>
        <v/>
      </c>
      <c r="P95" s="41" t="str">
        <f aca="false">IF($B95="","",IF(OR(C95="",D95=""),"",ROUND((D95-C95)*1440,0)))</f>
        <v/>
      </c>
      <c r="Q95" s="42" t="str">
        <f aca="false">IF($B95="","",I95*VLOOKUP(E95,Parametros!$B$18:$D$24,2,FALSE()))</f>
        <v/>
      </c>
      <c r="R95" s="42" t="str">
        <f aca="false">IF($B95="","",G95*VLOOKUP(E95,Parametros!$B$18:$D$24,3,FALSE()))</f>
        <v/>
      </c>
      <c r="S95" s="42" t="str">
        <f aca="false">IF($B95="","",Q95-R95)</f>
        <v/>
      </c>
      <c r="T95" s="43" t="str">
        <f aca="false">IF($B95="","",IF(S95&gt;0,"G","P"))</f>
        <v/>
      </c>
      <c r="U95" s="44" t="str">
        <f aca="false">IF($B95="","",S95/Parametros!$C$8)</f>
        <v/>
      </c>
      <c r="V95" s="42" t="str">
        <f aca="false">IF($B95="","",Parametros!$C$6+SUM($S$7:S95))</f>
        <v/>
      </c>
      <c r="W95" s="42" t="str">
        <f aca="false">IF($B95="","",MAX(V95,W94))</f>
        <v/>
      </c>
      <c r="X95" s="42" t="str">
        <f aca="false">IF($B95="","",V95-W95)</f>
        <v/>
      </c>
      <c r="Y95" s="45" t="str">
        <f aca="false">IF($B95="","",X95/W95)</f>
        <v/>
      </c>
      <c r="Z95" s="36" t="str">
        <f aca="false">IF($B95="","",IF(T95="G",IF(N(Z94)&gt;0,Z94+1,1),IF(N(Z94)&lt;0,Z94-1,-1)))</f>
        <v/>
      </c>
      <c r="AA95" s="46" t="str">
        <f aca="false">IF($B95="","",B95-WEEKDAY(B95,2)+1)</f>
        <v/>
      </c>
      <c r="AB95" s="47" t="str">
        <f aca="false">IF($B95="","",DATE(YEAR(B95),MONTH(B95),1))</f>
        <v/>
      </c>
      <c r="AC95" s="41" t="str">
        <f aca="false">IF($B95="","",CHOOSE(WEEKDAY(B95,2),"Lunes","Martes","Miércoles","Jueves","Viernes","Sábado","Domingo"))</f>
        <v/>
      </c>
      <c r="AD95" s="36" t="str">
        <f aca="false">IF($B95="","",HOUR(C95))</f>
        <v/>
      </c>
      <c r="AE95" s="42" t="str">
        <f aca="false">IF($B95="","",IF(O95&lt;&gt;O94,MAX(V95-S95,V95),MAX(V95,AE94)))</f>
        <v/>
      </c>
      <c r="AF95" s="42" t="str">
        <f aca="false">IF($B95="","",V95-AE95)</f>
        <v/>
      </c>
      <c r="AG95" s="36" t="str">
        <f aca="false">IF($B95="","",IF(O95&lt;&gt;O94,IF(T95="G",1,-1),IF(T95="G",IF(N(AG94)&gt;0,AG94+1,1),IF(N(AG94)&lt;0,AG94-1,-1))))</f>
        <v/>
      </c>
    </row>
    <row r="96" customFormat="false" ht="15" hidden="false" customHeight="false" outlineLevel="0" collapsed="false">
      <c r="A96" s="36" t="str">
        <f aca="false">IF(B96="","",ROW()-6)</f>
        <v/>
      </c>
      <c r="B96" s="37"/>
      <c r="C96" s="38"/>
      <c r="D96" s="38"/>
      <c r="E96" s="39"/>
      <c r="F96" s="39"/>
      <c r="G96" s="39"/>
      <c r="H96" s="40"/>
      <c r="I96" s="40"/>
      <c r="J96" s="40"/>
      <c r="K96" s="40"/>
      <c r="L96" s="39"/>
      <c r="M96" s="40"/>
      <c r="N96" s="40"/>
      <c r="O96" s="36" t="str">
        <f aca="false">IF($B96="","",INT((A96-1)/Parametros!$C$10)+1)</f>
        <v/>
      </c>
      <c r="P96" s="41" t="str">
        <f aca="false">IF($B96="","",IF(OR(C96="",D96=""),"",ROUND((D96-C96)*1440,0)))</f>
        <v/>
      </c>
      <c r="Q96" s="42" t="str">
        <f aca="false">IF($B96="","",I96*VLOOKUP(E96,Parametros!$B$18:$D$24,2,FALSE()))</f>
        <v/>
      </c>
      <c r="R96" s="42" t="str">
        <f aca="false">IF($B96="","",G96*VLOOKUP(E96,Parametros!$B$18:$D$24,3,FALSE()))</f>
        <v/>
      </c>
      <c r="S96" s="42" t="str">
        <f aca="false">IF($B96="","",Q96-R96)</f>
        <v/>
      </c>
      <c r="T96" s="43" t="str">
        <f aca="false">IF($B96="","",IF(S96&gt;0,"G","P"))</f>
        <v/>
      </c>
      <c r="U96" s="44" t="str">
        <f aca="false">IF($B96="","",S96/Parametros!$C$8)</f>
        <v/>
      </c>
      <c r="V96" s="42" t="str">
        <f aca="false">IF($B96="","",Parametros!$C$6+SUM($S$7:S96))</f>
        <v/>
      </c>
      <c r="W96" s="42" t="str">
        <f aca="false">IF($B96="","",MAX(V96,W95))</f>
        <v/>
      </c>
      <c r="X96" s="42" t="str">
        <f aca="false">IF($B96="","",V96-W96)</f>
        <v/>
      </c>
      <c r="Y96" s="45" t="str">
        <f aca="false">IF($B96="","",X96/W96)</f>
        <v/>
      </c>
      <c r="Z96" s="36" t="str">
        <f aca="false">IF($B96="","",IF(T96="G",IF(N(Z95)&gt;0,Z95+1,1),IF(N(Z95)&lt;0,Z95-1,-1)))</f>
        <v/>
      </c>
      <c r="AA96" s="46" t="str">
        <f aca="false">IF($B96="","",B96-WEEKDAY(B96,2)+1)</f>
        <v/>
      </c>
      <c r="AB96" s="47" t="str">
        <f aca="false">IF($B96="","",DATE(YEAR(B96),MONTH(B96),1))</f>
        <v/>
      </c>
      <c r="AC96" s="41" t="str">
        <f aca="false">IF($B96="","",CHOOSE(WEEKDAY(B96,2),"Lunes","Martes","Miércoles","Jueves","Viernes","Sábado","Domingo"))</f>
        <v/>
      </c>
      <c r="AD96" s="36" t="str">
        <f aca="false">IF($B96="","",HOUR(C96))</f>
        <v/>
      </c>
      <c r="AE96" s="42" t="str">
        <f aca="false">IF($B96="","",IF(O96&lt;&gt;O95,MAX(V96-S96,V96),MAX(V96,AE95)))</f>
        <v/>
      </c>
      <c r="AF96" s="42" t="str">
        <f aca="false">IF($B96="","",V96-AE96)</f>
        <v/>
      </c>
      <c r="AG96" s="36" t="str">
        <f aca="false">IF($B96="","",IF(O96&lt;&gt;O95,IF(T96="G",1,-1),IF(T96="G",IF(N(AG95)&gt;0,AG95+1,1),IF(N(AG95)&lt;0,AG95-1,-1))))</f>
        <v/>
      </c>
    </row>
    <row r="97" customFormat="false" ht="15" hidden="false" customHeight="false" outlineLevel="0" collapsed="false">
      <c r="A97" s="36" t="str">
        <f aca="false">IF(B97="","",ROW()-6)</f>
        <v/>
      </c>
      <c r="B97" s="37"/>
      <c r="C97" s="38"/>
      <c r="D97" s="38"/>
      <c r="E97" s="39"/>
      <c r="F97" s="39"/>
      <c r="G97" s="39"/>
      <c r="H97" s="40"/>
      <c r="I97" s="40"/>
      <c r="J97" s="40"/>
      <c r="K97" s="40"/>
      <c r="L97" s="39"/>
      <c r="M97" s="40"/>
      <c r="N97" s="40"/>
      <c r="O97" s="36" t="str">
        <f aca="false">IF($B97="","",INT((A97-1)/Parametros!$C$10)+1)</f>
        <v/>
      </c>
      <c r="P97" s="41" t="str">
        <f aca="false">IF($B97="","",IF(OR(C97="",D97=""),"",ROUND((D97-C97)*1440,0)))</f>
        <v/>
      </c>
      <c r="Q97" s="42" t="str">
        <f aca="false">IF($B97="","",I97*VLOOKUP(E97,Parametros!$B$18:$D$24,2,FALSE()))</f>
        <v/>
      </c>
      <c r="R97" s="42" t="str">
        <f aca="false">IF($B97="","",G97*VLOOKUP(E97,Parametros!$B$18:$D$24,3,FALSE()))</f>
        <v/>
      </c>
      <c r="S97" s="42" t="str">
        <f aca="false">IF($B97="","",Q97-R97)</f>
        <v/>
      </c>
      <c r="T97" s="43" t="str">
        <f aca="false">IF($B97="","",IF(S97&gt;0,"G","P"))</f>
        <v/>
      </c>
      <c r="U97" s="44" t="str">
        <f aca="false">IF($B97="","",S97/Parametros!$C$8)</f>
        <v/>
      </c>
      <c r="V97" s="42" t="str">
        <f aca="false">IF($B97="","",Parametros!$C$6+SUM($S$7:S97))</f>
        <v/>
      </c>
      <c r="W97" s="42" t="str">
        <f aca="false">IF($B97="","",MAX(V97,W96))</f>
        <v/>
      </c>
      <c r="X97" s="42" t="str">
        <f aca="false">IF($B97="","",V97-W97)</f>
        <v/>
      </c>
      <c r="Y97" s="45" t="str">
        <f aca="false">IF($B97="","",X97/W97)</f>
        <v/>
      </c>
      <c r="Z97" s="36" t="str">
        <f aca="false">IF($B97="","",IF(T97="G",IF(N(Z96)&gt;0,Z96+1,1),IF(N(Z96)&lt;0,Z96-1,-1)))</f>
        <v/>
      </c>
      <c r="AA97" s="46" t="str">
        <f aca="false">IF($B97="","",B97-WEEKDAY(B97,2)+1)</f>
        <v/>
      </c>
      <c r="AB97" s="47" t="str">
        <f aca="false">IF($B97="","",DATE(YEAR(B97),MONTH(B97),1))</f>
        <v/>
      </c>
      <c r="AC97" s="41" t="str">
        <f aca="false">IF($B97="","",CHOOSE(WEEKDAY(B97,2),"Lunes","Martes","Miércoles","Jueves","Viernes","Sábado","Domingo"))</f>
        <v/>
      </c>
      <c r="AD97" s="36" t="str">
        <f aca="false">IF($B97="","",HOUR(C97))</f>
        <v/>
      </c>
      <c r="AE97" s="42" t="str">
        <f aca="false">IF($B97="","",IF(O97&lt;&gt;O96,MAX(V97-S97,V97),MAX(V97,AE96)))</f>
        <v/>
      </c>
      <c r="AF97" s="42" t="str">
        <f aca="false">IF($B97="","",V97-AE97)</f>
        <v/>
      </c>
      <c r="AG97" s="36" t="str">
        <f aca="false">IF($B97="","",IF(O97&lt;&gt;O96,IF(T97="G",1,-1),IF(T97="G",IF(N(AG96)&gt;0,AG96+1,1),IF(N(AG96)&lt;0,AG96-1,-1))))</f>
        <v/>
      </c>
    </row>
    <row r="98" customFormat="false" ht="15" hidden="false" customHeight="false" outlineLevel="0" collapsed="false">
      <c r="A98" s="36" t="str">
        <f aca="false">IF(B98="","",ROW()-6)</f>
        <v/>
      </c>
      <c r="B98" s="37"/>
      <c r="C98" s="38"/>
      <c r="D98" s="38"/>
      <c r="E98" s="39"/>
      <c r="F98" s="39"/>
      <c r="G98" s="39"/>
      <c r="H98" s="40"/>
      <c r="I98" s="40"/>
      <c r="J98" s="40"/>
      <c r="K98" s="40"/>
      <c r="L98" s="39"/>
      <c r="M98" s="40"/>
      <c r="N98" s="40"/>
      <c r="O98" s="36" t="str">
        <f aca="false">IF($B98="","",INT((A98-1)/Parametros!$C$10)+1)</f>
        <v/>
      </c>
      <c r="P98" s="41" t="str">
        <f aca="false">IF($B98="","",IF(OR(C98="",D98=""),"",ROUND((D98-C98)*1440,0)))</f>
        <v/>
      </c>
      <c r="Q98" s="42" t="str">
        <f aca="false">IF($B98="","",I98*VLOOKUP(E98,Parametros!$B$18:$D$24,2,FALSE()))</f>
        <v/>
      </c>
      <c r="R98" s="42" t="str">
        <f aca="false">IF($B98="","",G98*VLOOKUP(E98,Parametros!$B$18:$D$24,3,FALSE()))</f>
        <v/>
      </c>
      <c r="S98" s="42" t="str">
        <f aca="false">IF($B98="","",Q98-R98)</f>
        <v/>
      </c>
      <c r="T98" s="43" t="str">
        <f aca="false">IF($B98="","",IF(S98&gt;0,"G","P"))</f>
        <v/>
      </c>
      <c r="U98" s="44" t="str">
        <f aca="false">IF($B98="","",S98/Parametros!$C$8)</f>
        <v/>
      </c>
      <c r="V98" s="42" t="str">
        <f aca="false">IF($B98="","",Parametros!$C$6+SUM($S$7:S98))</f>
        <v/>
      </c>
      <c r="W98" s="42" t="str">
        <f aca="false">IF($B98="","",MAX(V98,W97))</f>
        <v/>
      </c>
      <c r="X98" s="42" t="str">
        <f aca="false">IF($B98="","",V98-W98)</f>
        <v/>
      </c>
      <c r="Y98" s="45" t="str">
        <f aca="false">IF($B98="","",X98/W98)</f>
        <v/>
      </c>
      <c r="Z98" s="36" t="str">
        <f aca="false">IF($B98="","",IF(T98="G",IF(N(Z97)&gt;0,Z97+1,1),IF(N(Z97)&lt;0,Z97-1,-1)))</f>
        <v/>
      </c>
      <c r="AA98" s="46" t="str">
        <f aca="false">IF($B98="","",B98-WEEKDAY(B98,2)+1)</f>
        <v/>
      </c>
      <c r="AB98" s="47" t="str">
        <f aca="false">IF($B98="","",DATE(YEAR(B98),MONTH(B98),1))</f>
        <v/>
      </c>
      <c r="AC98" s="41" t="str">
        <f aca="false">IF($B98="","",CHOOSE(WEEKDAY(B98,2),"Lunes","Martes","Miércoles","Jueves","Viernes","Sábado","Domingo"))</f>
        <v/>
      </c>
      <c r="AD98" s="36" t="str">
        <f aca="false">IF($B98="","",HOUR(C98))</f>
        <v/>
      </c>
      <c r="AE98" s="42" t="str">
        <f aca="false">IF($B98="","",IF(O98&lt;&gt;O97,MAX(V98-S98,V98),MAX(V98,AE97)))</f>
        <v/>
      </c>
      <c r="AF98" s="42" t="str">
        <f aca="false">IF($B98="","",V98-AE98)</f>
        <v/>
      </c>
      <c r="AG98" s="36" t="str">
        <f aca="false">IF($B98="","",IF(O98&lt;&gt;O97,IF(T98="G",1,-1),IF(T98="G",IF(N(AG97)&gt;0,AG97+1,1),IF(N(AG97)&lt;0,AG97-1,-1))))</f>
        <v/>
      </c>
    </row>
    <row r="99" customFormat="false" ht="15" hidden="false" customHeight="false" outlineLevel="0" collapsed="false">
      <c r="A99" s="36" t="str">
        <f aca="false">IF(B99="","",ROW()-6)</f>
        <v/>
      </c>
      <c r="B99" s="37"/>
      <c r="C99" s="38"/>
      <c r="D99" s="38"/>
      <c r="E99" s="39"/>
      <c r="F99" s="39"/>
      <c r="G99" s="39"/>
      <c r="H99" s="40"/>
      <c r="I99" s="40"/>
      <c r="J99" s="40"/>
      <c r="K99" s="40"/>
      <c r="L99" s="39"/>
      <c r="M99" s="40"/>
      <c r="N99" s="40"/>
      <c r="O99" s="36" t="str">
        <f aca="false">IF($B99="","",INT((A99-1)/Parametros!$C$10)+1)</f>
        <v/>
      </c>
      <c r="P99" s="41" t="str">
        <f aca="false">IF($B99="","",IF(OR(C99="",D99=""),"",ROUND((D99-C99)*1440,0)))</f>
        <v/>
      </c>
      <c r="Q99" s="42" t="str">
        <f aca="false">IF($B99="","",I99*VLOOKUP(E99,Parametros!$B$18:$D$24,2,FALSE()))</f>
        <v/>
      </c>
      <c r="R99" s="42" t="str">
        <f aca="false">IF($B99="","",G99*VLOOKUP(E99,Parametros!$B$18:$D$24,3,FALSE()))</f>
        <v/>
      </c>
      <c r="S99" s="42" t="str">
        <f aca="false">IF($B99="","",Q99-R99)</f>
        <v/>
      </c>
      <c r="T99" s="43" t="str">
        <f aca="false">IF($B99="","",IF(S99&gt;0,"G","P"))</f>
        <v/>
      </c>
      <c r="U99" s="44" t="str">
        <f aca="false">IF($B99="","",S99/Parametros!$C$8)</f>
        <v/>
      </c>
      <c r="V99" s="42" t="str">
        <f aca="false">IF($B99="","",Parametros!$C$6+SUM($S$7:S99))</f>
        <v/>
      </c>
      <c r="W99" s="42" t="str">
        <f aca="false">IF($B99="","",MAX(V99,W98))</f>
        <v/>
      </c>
      <c r="X99" s="42" t="str">
        <f aca="false">IF($B99="","",V99-W99)</f>
        <v/>
      </c>
      <c r="Y99" s="45" t="str">
        <f aca="false">IF($B99="","",X99/W99)</f>
        <v/>
      </c>
      <c r="Z99" s="36" t="str">
        <f aca="false">IF($B99="","",IF(T99="G",IF(N(Z98)&gt;0,Z98+1,1),IF(N(Z98)&lt;0,Z98-1,-1)))</f>
        <v/>
      </c>
      <c r="AA99" s="46" t="str">
        <f aca="false">IF($B99="","",B99-WEEKDAY(B99,2)+1)</f>
        <v/>
      </c>
      <c r="AB99" s="47" t="str">
        <f aca="false">IF($B99="","",DATE(YEAR(B99),MONTH(B99),1))</f>
        <v/>
      </c>
      <c r="AC99" s="41" t="str">
        <f aca="false">IF($B99="","",CHOOSE(WEEKDAY(B99,2),"Lunes","Martes","Miércoles","Jueves","Viernes","Sábado","Domingo"))</f>
        <v/>
      </c>
      <c r="AD99" s="36" t="str">
        <f aca="false">IF($B99="","",HOUR(C99))</f>
        <v/>
      </c>
      <c r="AE99" s="42" t="str">
        <f aca="false">IF($B99="","",IF(O99&lt;&gt;O98,MAX(V99-S99,V99),MAX(V99,AE98)))</f>
        <v/>
      </c>
      <c r="AF99" s="42" t="str">
        <f aca="false">IF($B99="","",V99-AE99)</f>
        <v/>
      </c>
      <c r="AG99" s="36" t="str">
        <f aca="false">IF($B99="","",IF(O99&lt;&gt;O98,IF(T99="G",1,-1),IF(T99="G",IF(N(AG98)&gt;0,AG98+1,1),IF(N(AG98)&lt;0,AG98-1,-1))))</f>
        <v/>
      </c>
    </row>
    <row r="100" customFormat="false" ht="15" hidden="false" customHeight="false" outlineLevel="0" collapsed="false">
      <c r="A100" s="36" t="str">
        <f aca="false">IF(B100="","",ROW()-6)</f>
        <v/>
      </c>
      <c r="B100" s="37"/>
      <c r="C100" s="38"/>
      <c r="D100" s="38"/>
      <c r="E100" s="39"/>
      <c r="F100" s="39"/>
      <c r="G100" s="39"/>
      <c r="H100" s="40"/>
      <c r="I100" s="40"/>
      <c r="J100" s="40"/>
      <c r="K100" s="40"/>
      <c r="L100" s="39"/>
      <c r="M100" s="40"/>
      <c r="N100" s="40"/>
      <c r="O100" s="36" t="str">
        <f aca="false">IF($B100="","",INT((A100-1)/Parametros!$C$10)+1)</f>
        <v/>
      </c>
      <c r="P100" s="41" t="str">
        <f aca="false">IF($B100="","",IF(OR(C100="",D100=""),"",ROUND((D100-C100)*1440,0)))</f>
        <v/>
      </c>
      <c r="Q100" s="42" t="str">
        <f aca="false">IF($B100="","",I100*VLOOKUP(E100,Parametros!$B$18:$D$24,2,FALSE()))</f>
        <v/>
      </c>
      <c r="R100" s="42" t="str">
        <f aca="false">IF($B100="","",G100*VLOOKUP(E100,Parametros!$B$18:$D$24,3,FALSE()))</f>
        <v/>
      </c>
      <c r="S100" s="42" t="str">
        <f aca="false">IF($B100="","",Q100-R100)</f>
        <v/>
      </c>
      <c r="T100" s="43" t="str">
        <f aca="false">IF($B100="","",IF(S100&gt;0,"G","P"))</f>
        <v/>
      </c>
      <c r="U100" s="44" t="str">
        <f aca="false">IF($B100="","",S100/Parametros!$C$8)</f>
        <v/>
      </c>
      <c r="V100" s="42" t="str">
        <f aca="false">IF($B100="","",Parametros!$C$6+SUM($S$7:S100))</f>
        <v/>
      </c>
      <c r="W100" s="42" t="str">
        <f aca="false">IF($B100="","",MAX(V100,W99))</f>
        <v/>
      </c>
      <c r="X100" s="42" t="str">
        <f aca="false">IF($B100="","",V100-W100)</f>
        <v/>
      </c>
      <c r="Y100" s="45" t="str">
        <f aca="false">IF($B100="","",X100/W100)</f>
        <v/>
      </c>
      <c r="Z100" s="36" t="str">
        <f aca="false">IF($B100="","",IF(T100="G",IF(N(Z99)&gt;0,Z99+1,1),IF(N(Z99)&lt;0,Z99-1,-1)))</f>
        <v/>
      </c>
      <c r="AA100" s="46" t="str">
        <f aca="false">IF($B100="","",B100-WEEKDAY(B100,2)+1)</f>
        <v/>
      </c>
      <c r="AB100" s="47" t="str">
        <f aca="false">IF($B100="","",DATE(YEAR(B100),MONTH(B100),1))</f>
        <v/>
      </c>
      <c r="AC100" s="41" t="str">
        <f aca="false">IF($B100="","",CHOOSE(WEEKDAY(B100,2),"Lunes","Martes","Miércoles","Jueves","Viernes","Sábado","Domingo"))</f>
        <v/>
      </c>
      <c r="AD100" s="36" t="str">
        <f aca="false">IF($B100="","",HOUR(C100))</f>
        <v/>
      </c>
      <c r="AE100" s="42" t="str">
        <f aca="false">IF($B100="","",IF(O100&lt;&gt;O99,MAX(V100-S100,V100),MAX(V100,AE99)))</f>
        <v/>
      </c>
      <c r="AF100" s="42" t="str">
        <f aca="false">IF($B100="","",V100-AE100)</f>
        <v/>
      </c>
      <c r="AG100" s="36" t="str">
        <f aca="false">IF($B100="","",IF(O100&lt;&gt;O99,IF(T100="G",1,-1),IF(T100="G",IF(N(AG99)&gt;0,AG99+1,1),IF(N(AG99)&lt;0,AG99-1,-1))))</f>
        <v/>
      </c>
    </row>
    <row r="101" customFormat="false" ht="15" hidden="false" customHeight="false" outlineLevel="0" collapsed="false">
      <c r="A101" s="36" t="str">
        <f aca="false">IF(B101="","",ROW()-6)</f>
        <v/>
      </c>
      <c r="B101" s="37"/>
      <c r="C101" s="38"/>
      <c r="D101" s="38"/>
      <c r="E101" s="39"/>
      <c r="F101" s="39"/>
      <c r="G101" s="39"/>
      <c r="H101" s="40"/>
      <c r="I101" s="40"/>
      <c r="J101" s="40"/>
      <c r="K101" s="40"/>
      <c r="L101" s="39"/>
      <c r="M101" s="40"/>
      <c r="N101" s="40"/>
      <c r="O101" s="36" t="str">
        <f aca="false">IF($B101="","",INT((A101-1)/Parametros!$C$10)+1)</f>
        <v/>
      </c>
      <c r="P101" s="41" t="str">
        <f aca="false">IF($B101="","",IF(OR(C101="",D101=""),"",ROUND((D101-C101)*1440,0)))</f>
        <v/>
      </c>
      <c r="Q101" s="42" t="str">
        <f aca="false">IF($B101="","",I101*VLOOKUP(E101,Parametros!$B$18:$D$24,2,FALSE()))</f>
        <v/>
      </c>
      <c r="R101" s="42" t="str">
        <f aca="false">IF($B101="","",G101*VLOOKUP(E101,Parametros!$B$18:$D$24,3,FALSE()))</f>
        <v/>
      </c>
      <c r="S101" s="42" t="str">
        <f aca="false">IF($B101="","",Q101-R101)</f>
        <v/>
      </c>
      <c r="T101" s="43" t="str">
        <f aca="false">IF($B101="","",IF(S101&gt;0,"G","P"))</f>
        <v/>
      </c>
      <c r="U101" s="44" t="str">
        <f aca="false">IF($B101="","",S101/Parametros!$C$8)</f>
        <v/>
      </c>
      <c r="V101" s="42" t="str">
        <f aca="false">IF($B101="","",Parametros!$C$6+SUM($S$7:S101))</f>
        <v/>
      </c>
      <c r="W101" s="42" t="str">
        <f aca="false">IF($B101="","",MAX(V101,W100))</f>
        <v/>
      </c>
      <c r="X101" s="42" t="str">
        <f aca="false">IF($B101="","",V101-W101)</f>
        <v/>
      </c>
      <c r="Y101" s="45" t="str">
        <f aca="false">IF($B101="","",X101/W101)</f>
        <v/>
      </c>
      <c r="Z101" s="36" t="str">
        <f aca="false">IF($B101="","",IF(T101="G",IF(N(Z100)&gt;0,Z100+1,1),IF(N(Z100)&lt;0,Z100-1,-1)))</f>
        <v/>
      </c>
      <c r="AA101" s="46" t="str">
        <f aca="false">IF($B101="","",B101-WEEKDAY(B101,2)+1)</f>
        <v/>
      </c>
      <c r="AB101" s="47" t="str">
        <f aca="false">IF($B101="","",DATE(YEAR(B101),MONTH(B101),1))</f>
        <v/>
      </c>
      <c r="AC101" s="41" t="str">
        <f aca="false">IF($B101="","",CHOOSE(WEEKDAY(B101,2),"Lunes","Martes","Miércoles","Jueves","Viernes","Sábado","Domingo"))</f>
        <v/>
      </c>
      <c r="AD101" s="36" t="str">
        <f aca="false">IF($B101="","",HOUR(C101))</f>
        <v/>
      </c>
      <c r="AE101" s="42" t="str">
        <f aca="false">IF($B101="","",IF(O101&lt;&gt;O100,MAX(V101-S101,V101),MAX(V101,AE100)))</f>
        <v/>
      </c>
      <c r="AF101" s="42" t="str">
        <f aca="false">IF($B101="","",V101-AE101)</f>
        <v/>
      </c>
      <c r="AG101" s="36" t="str">
        <f aca="false">IF($B101="","",IF(O101&lt;&gt;O100,IF(T101="G",1,-1),IF(T101="G",IF(N(AG100)&gt;0,AG100+1,1),IF(N(AG100)&lt;0,AG100-1,-1))))</f>
        <v/>
      </c>
    </row>
    <row r="102" customFormat="false" ht="15" hidden="false" customHeight="false" outlineLevel="0" collapsed="false">
      <c r="A102" s="36" t="str">
        <f aca="false">IF(B102="","",ROW()-6)</f>
        <v/>
      </c>
      <c r="B102" s="37"/>
      <c r="C102" s="38"/>
      <c r="D102" s="38"/>
      <c r="E102" s="39"/>
      <c r="F102" s="39"/>
      <c r="G102" s="39"/>
      <c r="H102" s="40"/>
      <c r="I102" s="40"/>
      <c r="J102" s="40"/>
      <c r="K102" s="40"/>
      <c r="L102" s="39"/>
      <c r="M102" s="40"/>
      <c r="N102" s="40"/>
      <c r="O102" s="36" t="str">
        <f aca="false">IF($B102="","",INT((A102-1)/Parametros!$C$10)+1)</f>
        <v/>
      </c>
      <c r="P102" s="41" t="str">
        <f aca="false">IF($B102="","",IF(OR(C102="",D102=""),"",ROUND((D102-C102)*1440,0)))</f>
        <v/>
      </c>
      <c r="Q102" s="42" t="str">
        <f aca="false">IF($B102="","",I102*VLOOKUP(E102,Parametros!$B$18:$D$24,2,FALSE()))</f>
        <v/>
      </c>
      <c r="R102" s="42" t="str">
        <f aca="false">IF($B102="","",G102*VLOOKUP(E102,Parametros!$B$18:$D$24,3,FALSE()))</f>
        <v/>
      </c>
      <c r="S102" s="42" t="str">
        <f aca="false">IF($B102="","",Q102-R102)</f>
        <v/>
      </c>
      <c r="T102" s="43" t="str">
        <f aca="false">IF($B102="","",IF(S102&gt;0,"G","P"))</f>
        <v/>
      </c>
      <c r="U102" s="44" t="str">
        <f aca="false">IF($B102="","",S102/Parametros!$C$8)</f>
        <v/>
      </c>
      <c r="V102" s="42" t="str">
        <f aca="false">IF($B102="","",Parametros!$C$6+SUM($S$7:S102))</f>
        <v/>
      </c>
      <c r="W102" s="42" t="str">
        <f aca="false">IF($B102="","",MAX(V102,W101))</f>
        <v/>
      </c>
      <c r="X102" s="42" t="str">
        <f aca="false">IF($B102="","",V102-W102)</f>
        <v/>
      </c>
      <c r="Y102" s="45" t="str">
        <f aca="false">IF($B102="","",X102/W102)</f>
        <v/>
      </c>
      <c r="Z102" s="36" t="str">
        <f aca="false">IF($B102="","",IF(T102="G",IF(N(Z101)&gt;0,Z101+1,1),IF(N(Z101)&lt;0,Z101-1,-1)))</f>
        <v/>
      </c>
      <c r="AA102" s="46" t="str">
        <f aca="false">IF($B102="","",B102-WEEKDAY(B102,2)+1)</f>
        <v/>
      </c>
      <c r="AB102" s="47" t="str">
        <f aca="false">IF($B102="","",DATE(YEAR(B102),MONTH(B102),1))</f>
        <v/>
      </c>
      <c r="AC102" s="41" t="str">
        <f aca="false">IF($B102="","",CHOOSE(WEEKDAY(B102,2),"Lunes","Martes","Miércoles","Jueves","Viernes","Sábado","Domingo"))</f>
        <v/>
      </c>
      <c r="AD102" s="36" t="str">
        <f aca="false">IF($B102="","",HOUR(C102))</f>
        <v/>
      </c>
      <c r="AE102" s="42" t="str">
        <f aca="false">IF($B102="","",IF(O102&lt;&gt;O101,MAX(V102-S102,V102),MAX(V102,AE101)))</f>
        <v/>
      </c>
      <c r="AF102" s="42" t="str">
        <f aca="false">IF($B102="","",V102-AE102)</f>
        <v/>
      </c>
      <c r="AG102" s="36" t="str">
        <f aca="false">IF($B102="","",IF(O102&lt;&gt;O101,IF(T102="G",1,-1),IF(T102="G",IF(N(AG101)&gt;0,AG101+1,1),IF(N(AG101)&lt;0,AG101-1,-1))))</f>
        <v/>
      </c>
    </row>
    <row r="103" customFormat="false" ht="15" hidden="false" customHeight="false" outlineLevel="0" collapsed="false">
      <c r="A103" s="36" t="str">
        <f aca="false">IF(B103="","",ROW()-6)</f>
        <v/>
      </c>
      <c r="B103" s="37"/>
      <c r="C103" s="38"/>
      <c r="D103" s="38"/>
      <c r="E103" s="39"/>
      <c r="F103" s="39"/>
      <c r="G103" s="39"/>
      <c r="H103" s="40"/>
      <c r="I103" s="40"/>
      <c r="J103" s="40"/>
      <c r="K103" s="40"/>
      <c r="L103" s="39"/>
      <c r="M103" s="40"/>
      <c r="N103" s="40"/>
      <c r="O103" s="36" t="str">
        <f aca="false">IF($B103="","",INT((A103-1)/Parametros!$C$10)+1)</f>
        <v/>
      </c>
      <c r="P103" s="41" t="str">
        <f aca="false">IF($B103="","",IF(OR(C103="",D103=""),"",ROUND((D103-C103)*1440,0)))</f>
        <v/>
      </c>
      <c r="Q103" s="42" t="str">
        <f aca="false">IF($B103="","",I103*VLOOKUP(E103,Parametros!$B$18:$D$24,2,FALSE()))</f>
        <v/>
      </c>
      <c r="R103" s="42" t="str">
        <f aca="false">IF($B103="","",G103*VLOOKUP(E103,Parametros!$B$18:$D$24,3,FALSE()))</f>
        <v/>
      </c>
      <c r="S103" s="42" t="str">
        <f aca="false">IF($B103="","",Q103-R103)</f>
        <v/>
      </c>
      <c r="T103" s="43" t="str">
        <f aca="false">IF($B103="","",IF(S103&gt;0,"G","P"))</f>
        <v/>
      </c>
      <c r="U103" s="44" t="str">
        <f aca="false">IF($B103="","",S103/Parametros!$C$8)</f>
        <v/>
      </c>
      <c r="V103" s="42" t="str">
        <f aca="false">IF($B103="","",Parametros!$C$6+SUM($S$7:S103))</f>
        <v/>
      </c>
      <c r="W103" s="42" t="str">
        <f aca="false">IF($B103="","",MAX(V103,W102))</f>
        <v/>
      </c>
      <c r="X103" s="42" t="str">
        <f aca="false">IF($B103="","",V103-W103)</f>
        <v/>
      </c>
      <c r="Y103" s="45" t="str">
        <f aca="false">IF($B103="","",X103/W103)</f>
        <v/>
      </c>
      <c r="Z103" s="36" t="str">
        <f aca="false">IF($B103="","",IF(T103="G",IF(N(Z102)&gt;0,Z102+1,1),IF(N(Z102)&lt;0,Z102-1,-1)))</f>
        <v/>
      </c>
      <c r="AA103" s="46" t="str">
        <f aca="false">IF($B103="","",B103-WEEKDAY(B103,2)+1)</f>
        <v/>
      </c>
      <c r="AB103" s="47" t="str">
        <f aca="false">IF($B103="","",DATE(YEAR(B103),MONTH(B103),1))</f>
        <v/>
      </c>
      <c r="AC103" s="41" t="str">
        <f aca="false">IF($B103="","",CHOOSE(WEEKDAY(B103,2),"Lunes","Martes","Miércoles","Jueves","Viernes","Sábado","Domingo"))</f>
        <v/>
      </c>
      <c r="AD103" s="36" t="str">
        <f aca="false">IF($B103="","",HOUR(C103))</f>
        <v/>
      </c>
      <c r="AE103" s="42" t="str">
        <f aca="false">IF($B103="","",IF(O103&lt;&gt;O102,MAX(V103-S103,V103),MAX(V103,AE102)))</f>
        <v/>
      </c>
      <c r="AF103" s="42" t="str">
        <f aca="false">IF($B103="","",V103-AE103)</f>
        <v/>
      </c>
      <c r="AG103" s="36" t="str">
        <f aca="false">IF($B103="","",IF(O103&lt;&gt;O102,IF(T103="G",1,-1),IF(T103="G",IF(N(AG102)&gt;0,AG102+1,1),IF(N(AG102)&lt;0,AG102-1,-1))))</f>
        <v/>
      </c>
    </row>
    <row r="104" customFormat="false" ht="15" hidden="false" customHeight="false" outlineLevel="0" collapsed="false">
      <c r="A104" s="36" t="str">
        <f aca="false">IF(B104="","",ROW()-6)</f>
        <v/>
      </c>
      <c r="B104" s="37"/>
      <c r="C104" s="38"/>
      <c r="D104" s="38"/>
      <c r="E104" s="39"/>
      <c r="F104" s="39"/>
      <c r="G104" s="39"/>
      <c r="H104" s="40"/>
      <c r="I104" s="40"/>
      <c r="J104" s="40"/>
      <c r="K104" s="40"/>
      <c r="L104" s="39"/>
      <c r="M104" s="40"/>
      <c r="N104" s="40"/>
      <c r="O104" s="36" t="str">
        <f aca="false">IF($B104="","",INT((A104-1)/Parametros!$C$10)+1)</f>
        <v/>
      </c>
      <c r="P104" s="41" t="str">
        <f aca="false">IF($B104="","",IF(OR(C104="",D104=""),"",ROUND((D104-C104)*1440,0)))</f>
        <v/>
      </c>
      <c r="Q104" s="42" t="str">
        <f aca="false">IF($B104="","",I104*VLOOKUP(E104,Parametros!$B$18:$D$24,2,FALSE()))</f>
        <v/>
      </c>
      <c r="R104" s="42" t="str">
        <f aca="false">IF($B104="","",G104*VLOOKUP(E104,Parametros!$B$18:$D$24,3,FALSE()))</f>
        <v/>
      </c>
      <c r="S104" s="42" t="str">
        <f aca="false">IF($B104="","",Q104-R104)</f>
        <v/>
      </c>
      <c r="T104" s="43" t="str">
        <f aca="false">IF($B104="","",IF(S104&gt;0,"G","P"))</f>
        <v/>
      </c>
      <c r="U104" s="44" t="str">
        <f aca="false">IF($B104="","",S104/Parametros!$C$8)</f>
        <v/>
      </c>
      <c r="V104" s="42" t="str">
        <f aca="false">IF($B104="","",Parametros!$C$6+SUM($S$7:S104))</f>
        <v/>
      </c>
      <c r="W104" s="42" t="str">
        <f aca="false">IF($B104="","",MAX(V104,W103))</f>
        <v/>
      </c>
      <c r="X104" s="42" t="str">
        <f aca="false">IF($B104="","",V104-W104)</f>
        <v/>
      </c>
      <c r="Y104" s="45" t="str">
        <f aca="false">IF($B104="","",X104/W104)</f>
        <v/>
      </c>
      <c r="Z104" s="36" t="str">
        <f aca="false">IF($B104="","",IF(T104="G",IF(N(Z103)&gt;0,Z103+1,1),IF(N(Z103)&lt;0,Z103-1,-1)))</f>
        <v/>
      </c>
      <c r="AA104" s="46" t="str">
        <f aca="false">IF($B104="","",B104-WEEKDAY(B104,2)+1)</f>
        <v/>
      </c>
      <c r="AB104" s="47" t="str">
        <f aca="false">IF($B104="","",DATE(YEAR(B104),MONTH(B104),1))</f>
        <v/>
      </c>
      <c r="AC104" s="41" t="str">
        <f aca="false">IF($B104="","",CHOOSE(WEEKDAY(B104,2),"Lunes","Martes","Miércoles","Jueves","Viernes","Sábado","Domingo"))</f>
        <v/>
      </c>
      <c r="AD104" s="36" t="str">
        <f aca="false">IF($B104="","",HOUR(C104))</f>
        <v/>
      </c>
      <c r="AE104" s="42" t="str">
        <f aca="false">IF($B104="","",IF(O104&lt;&gt;O103,MAX(V104-S104,V104),MAX(V104,AE103)))</f>
        <v/>
      </c>
      <c r="AF104" s="42" t="str">
        <f aca="false">IF($B104="","",V104-AE104)</f>
        <v/>
      </c>
      <c r="AG104" s="36" t="str">
        <f aca="false">IF($B104="","",IF(O104&lt;&gt;O103,IF(T104="G",1,-1),IF(T104="G",IF(N(AG103)&gt;0,AG103+1,1),IF(N(AG103)&lt;0,AG103-1,-1))))</f>
        <v/>
      </c>
    </row>
    <row r="105" customFormat="false" ht="15" hidden="false" customHeight="false" outlineLevel="0" collapsed="false">
      <c r="A105" s="36" t="str">
        <f aca="false">IF(B105="","",ROW()-6)</f>
        <v/>
      </c>
      <c r="B105" s="37"/>
      <c r="C105" s="38"/>
      <c r="D105" s="38"/>
      <c r="E105" s="39"/>
      <c r="F105" s="39"/>
      <c r="G105" s="39"/>
      <c r="H105" s="40"/>
      <c r="I105" s="40"/>
      <c r="J105" s="40"/>
      <c r="K105" s="40"/>
      <c r="L105" s="39"/>
      <c r="M105" s="40"/>
      <c r="N105" s="40"/>
      <c r="O105" s="36" t="str">
        <f aca="false">IF($B105="","",INT((A105-1)/Parametros!$C$10)+1)</f>
        <v/>
      </c>
      <c r="P105" s="41" t="str">
        <f aca="false">IF($B105="","",IF(OR(C105="",D105=""),"",ROUND((D105-C105)*1440,0)))</f>
        <v/>
      </c>
      <c r="Q105" s="42" t="str">
        <f aca="false">IF($B105="","",I105*VLOOKUP(E105,Parametros!$B$18:$D$24,2,FALSE()))</f>
        <v/>
      </c>
      <c r="R105" s="42" t="str">
        <f aca="false">IF($B105="","",G105*VLOOKUP(E105,Parametros!$B$18:$D$24,3,FALSE()))</f>
        <v/>
      </c>
      <c r="S105" s="42" t="str">
        <f aca="false">IF($B105="","",Q105-R105)</f>
        <v/>
      </c>
      <c r="T105" s="43" t="str">
        <f aca="false">IF($B105="","",IF(S105&gt;0,"G","P"))</f>
        <v/>
      </c>
      <c r="U105" s="44" t="str">
        <f aca="false">IF($B105="","",S105/Parametros!$C$8)</f>
        <v/>
      </c>
      <c r="V105" s="42" t="str">
        <f aca="false">IF($B105="","",Parametros!$C$6+SUM($S$7:S105))</f>
        <v/>
      </c>
      <c r="W105" s="42" t="str">
        <f aca="false">IF($B105="","",MAX(V105,W104))</f>
        <v/>
      </c>
      <c r="X105" s="42" t="str">
        <f aca="false">IF($B105="","",V105-W105)</f>
        <v/>
      </c>
      <c r="Y105" s="45" t="str">
        <f aca="false">IF($B105="","",X105/W105)</f>
        <v/>
      </c>
      <c r="Z105" s="36" t="str">
        <f aca="false">IF($B105="","",IF(T105="G",IF(N(Z104)&gt;0,Z104+1,1),IF(N(Z104)&lt;0,Z104-1,-1)))</f>
        <v/>
      </c>
      <c r="AA105" s="46" t="str">
        <f aca="false">IF($B105="","",B105-WEEKDAY(B105,2)+1)</f>
        <v/>
      </c>
      <c r="AB105" s="47" t="str">
        <f aca="false">IF($B105="","",DATE(YEAR(B105),MONTH(B105),1))</f>
        <v/>
      </c>
      <c r="AC105" s="41" t="str">
        <f aca="false">IF($B105="","",CHOOSE(WEEKDAY(B105,2),"Lunes","Martes","Miércoles","Jueves","Viernes","Sábado","Domingo"))</f>
        <v/>
      </c>
      <c r="AD105" s="36" t="str">
        <f aca="false">IF($B105="","",HOUR(C105))</f>
        <v/>
      </c>
      <c r="AE105" s="42" t="str">
        <f aca="false">IF($B105="","",IF(O105&lt;&gt;O104,MAX(V105-S105,V105),MAX(V105,AE104)))</f>
        <v/>
      </c>
      <c r="AF105" s="42" t="str">
        <f aca="false">IF($B105="","",V105-AE105)</f>
        <v/>
      </c>
      <c r="AG105" s="36" t="str">
        <f aca="false">IF($B105="","",IF(O105&lt;&gt;O104,IF(T105="G",1,-1),IF(T105="G",IF(N(AG104)&gt;0,AG104+1,1),IF(N(AG104)&lt;0,AG104-1,-1))))</f>
        <v/>
      </c>
    </row>
    <row r="106" customFormat="false" ht="15" hidden="false" customHeight="false" outlineLevel="0" collapsed="false">
      <c r="A106" s="36" t="str">
        <f aca="false">IF(B106="","",ROW()-6)</f>
        <v/>
      </c>
      <c r="B106" s="37"/>
      <c r="C106" s="38"/>
      <c r="D106" s="38"/>
      <c r="E106" s="39"/>
      <c r="F106" s="39"/>
      <c r="G106" s="39"/>
      <c r="H106" s="40"/>
      <c r="I106" s="40"/>
      <c r="J106" s="40"/>
      <c r="K106" s="40"/>
      <c r="L106" s="39"/>
      <c r="M106" s="40"/>
      <c r="N106" s="40"/>
      <c r="O106" s="36" t="str">
        <f aca="false">IF($B106="","",INT((A106-1)/Parametros!$C$10)+1)</f>
        <v/>
      </c>
      <c r="P106" s="41" t="str">
        <f aca="false">IF($B106="","",IF(OR(C106="",D106=""),"",ROUND((D106-C106)*1440,0)))</f>
        <v/>
      </c>
      <c r="Q106" s="42" t="str">
        <f aca="false">IF($B106="","",I106*VLOOKUP(E106,Parametros!$B$18:$D$24,2,FALSE()))</f>
        <v/>
      </c>
      <c r="R106" s="42" t="str">
        <f aca="false">IF($B106="","",G106*VLOOKUP(E106,Parametros!$B$18:$D$24,3,FALSE()))</f>
        <v/>
      </c>
      <c r="S106" s="42" t="str">
        <f aca="false">IF($B106="","",Q106-R106)</f>
        <v/>
      </c>
      <c r="T106" s="43" t="str">
        <f aca="false">IF($B106="","",IF(S106&gt;0,"G","P"))</f>
        <v/>
      </c>
      <c r="U106" s="44" t="str">
        <f aca="false">IF($B106="","",S106/Parametros!$C$8)</f>
        <v/>
      </c>
      <c r="V106" s="42" t="str">
        <f aca="false">IF($B106="","",Parametros!$C$6+SUM($S$7:S106))</f>
        <v/>
      </c>
      <c r="W106" s="42" t="str">
        <f aca="false">IF($B106="","",MAX(V106,W105))</f>
        <v/>
      </c>
      <c r="X106" s="42" t="str">
        <f aca="false">IF($B106="","",V106-W106)</f>
        <v/>
      </c>
      <c r="Y106" s="45" t="str">
        <f aca="false">IF($B106="","",X106/W106)</f>
        <v/>
      </c>
      <c r="Z106" s="36" t="str">
        <f aca="false">IF($B106="","",IF(T106="G",IF(N(Z105)&gt;0,Z105+1,1),IF(N(Z105)&lt;0,Z105-1,-1)))</f>
        <v/>
      </c>
      <c r="AA106" s="46" t="str">
        <f aca="false">IF($B106="","",B106-WEEKDAY(B106,2)+1)</f>
        <v/>
      </c>
      <c r="AB106" s="47" t="str">
        <f aca="false">IF($B106="","",DATE(YEAR(B106),MONTH(B106),1))</f>
        <v/>
      </c>
      <c r="AC106" s="41" t="str">
        <f aca="false">IF($B106="","",CHOOSE(WEEKDAY(B106,2),"Lunes","Martes","Miércoles","Jueves","Viernes","Sábado","Domingo"))</f>
        <v/>
      </c>
      <c r="AD106" s="36" t="str">
        <f aca="false">IF($B106="","",HOUR(C106))</f>
        <v/>
      </c>
      <c r="AE106" s="42" t="str">
        <f aca="false">IF($B106="","",IF(O106&lt;&gt;O105,MAX(V106-S106,V106),MAX(V106,AE105)))</f>
        <v/>
      </c>
      <c r="AF106" s="42" t="str">
        <f aca="false">IF($B106="","",V106-AE106)</f>
        <v/>
      </c>
      <c r="AG106" s="36" t="str">
        <f aca="false">IF($B106="","",IF(O106&lt;&gt;O105,IF(T106="G",1,-1),IF(T106="G",IF(N(AG105)&gt;0,AG105+1,1),IF(N(AG105)&lt;0,AG105-1,-1))))</f>
        <v/>
      </c>
    </row>
    <row r="107" customFormat="false" ht="15" hidden="false" customHeight="false" outlineLevel="0" collapsed="false">
      <c r="A107" s="36" t="str">
        <f aca="false">IF(B107="","",ROW()-6)</f>
        <v/>
      </c>
      <c r="B107" s="37"/>
      <c r="C107" s="38"/>
      <c r="D107" s="38"/>
      <c r="E107" s="39"/>
      <c r="F107" s="39"/>
      <c r="G107" s="39"/>
      <c r="H107" s="40"/>
      <c r="I107" s="40"/>
      <c r="J107" s="40"/>
      <c r="K107" s="40"/>
      <c r="L107" s="39"/>
      <c r="M107" s="40"/>
      <c r="N107" s="40"/>
      <c r="O107" s="36" t="str">
        <f aca="false">IF($B107="","",INT((A107-1)/Parametros!$C$10)+1)</f>
        <v/>
      </c>
      <c r="P107" s="41" t="str">
        <f aca="false">IF($B107="","",IF(OR(C107="",D107=""),"",ROUND((D107-C107)*1440,0)))</f>
        <v/>
      </c>
      <c r="Q107" s="42" t="str">
        <f aca="false">IF($B107="","",I107*VLOOKUP(E107,Parametros!$B$18:$D$24,2,FALSE()))</f>
        <v/>
      </c>
      <c r="R107" s="42" t="str">
        <f aca="false">IF($B107="","",G107*VLOOKUP(E107,Parametros!$B$18:$D$24,3,FALSE()))</f>
        <v/>
      </c>
      <c r="S107" s="42" t="str">
        <f aca="false">IF($B107="","",Q107-R107)</f>
        <v/>
      </c>
      <c r="T107" s="43" t="str">
        <f aca="false">IF($B107="","",IF(S107&gt;0,"G","P"))</f>
        <v/>
      </c>
      <c r="U107" s="44" t="str">
        <f aca="false">IF($B107="","",S107/Parametros!$C$8)</f>
        <v/>
      </c>
      <c r="V107" s="42" t="str">
        <f aca="false">IF($B107="","",Parametros!$C$6+SUM($S$7:S107))</f>
        <v/>
      </c>
      <c r="W107" s="42" t="str">
        <f aca="false">IF($B107="","",MAX(V107,W106))</f>
        <v/>
      </c>
      <c r="X107" s="42" t="str">
        <f aca="false">IF($B107="","",V107-W107)</f>
        <v/>
      </c>
      <c r="Y107" s="45" t="str">
        <f aca="false">IF($B107="","",X107/W107)</f>
        <v/>
      </c>
      <c r="Z107" s="36" t="str">
        <f aca="false">IF($B107="","",IF(T107="G",IF(N(Z106)&gt;0,Z106+1,1),IF(N(Z106)&lt;0,Z106-1,-1)))</f>
        <v/>
      </c>
      <c r="AA107" s="46" t="str">
        <f aca="false">IF($B107="","",B107-WEEKDAY(B107,2)+1)</f>
        <v/>
      </c>
      <c r="AB107" s="47" t="str">
        <f aca="false">IF($B107="","",DATE(YEAR(B107),MONTH(B107),1))</f>
        <v/>
      </c>
      <c r="AC107" s="41" t="str">
        <f aca="false">IF($B107="","",CHOOSE(WEEKDAY(B107,2),"Lunes","Martes","Miércoles","Jueves","Viernes","Sábado","Domingo"))</f>
        <v/>
      </c>
      <c r="AD107" s="36" t="str">
        <f aca="false">IF($B107="","",HOUR(C107))</f>
        <v/>
      </c>
      <c r="AE107" s="42" t="str">
        <f aca="false">IF($B107="","",IF(O107&lt;&gt;O106,MAX(V107-S107,V107),MAX(V107,AE106)))</f>
        <v/>
      </c>
      <c r="AF107" s="42" t="str">
        <f aca="false">IF($B107="","",V107-AE107)</f>
        <v/>
      </c>
      <c r="AG107" s="36" t="str">
        <f aca="false">IF($B107="","",IF(O107&lt;&gt;O106,IF(T107="G",1,-1),IF(T107="G",IF(N(AG106)&gt;0,AG106+1,1),IF(N(AG106)&lt;0,AG106-1,-1))))</f>
        <v/>
      </c>
    </row>
    <row r="108" customFormat="false" ht="15" hidden="false" customHeight="false" outlineLevel="0" collapsed="false">
      <c r="A108" s="36" t="str">
        <f aca="false">IF(B108="","",ROW()-6)</f>
        <v/>
      </c>
      <c r="B108" s="37"/>
      <c r="C108" s="38"/>
      <c r="D108" s="38"/>
      <c r="E108" s="39"/>
      <c r="F108" s="39"/>
      <c r="G108" s="39"/>
      <c r="H108" s="40"/>
      <c r="I108" s="40"/>
      <c r="J108" s="40"/>
      <c r="K108" s="40"/>
      <c r="L108" s="39"/>
      <c r="M108" s="40"/>
      <c r="N108" s="40"/>
      <c r="O108" s="36" t="str">
        <f aca="false">IF($B108="","",INT((A108-1)/Parametros!$C$10)+1)</f>
        <v/>
      </c>
      <c r="P108" s="41" t="str">
        <f aca="false">IF($B108="","",IF(OR(C108="",D108=""),"",ROUND((D108-C108)*1440,0)))</f>
        <v/>
      </c>
      <c r="Q108" s="42" t="str">
        <f aca="false">IF($B108="","",I108*VLOOKUP(E108,Parametros!$B$18:$D$24,2,FALSE()))</f>
        <v/>
      </c>
      <c r="R108" s="42" t="str">
        <f aca="false">IF($B108="","",G108*VLOOKUP(E108,Parametros!$B$18:$D$24,3,FALSE()))</f>
        <v/>
      </c>
      <c r="S108" s="42" t="str">
        <f aca="false">IF($B108="","",Q108-R108)</f>
        <v/>
      </c>
      <c r="T108" s="43" t="str">
        <f aca="false">IF($B108="","",IF(S108&gt;0,"G","P"))</f>
        <v/>
      </c>
      <c r="U108" s="44" t="str">
        <f aca="false">IF($B108="","",S108/Parametros!$C$8)</f>
        <v/>
      </c>
      <c r="V108" s="42" t="str">
        <f aca="false">IF($B108="","",Parametros!$C$6+SUM($S$7:S108))</f>
        <v/>
      </c>
      <c r="W108" s="42" t="str">
        <f aca="false">IF($B108="","",MAX(V108,W107))</f>
        <v/>
      </c>
      <c r="X108" s="42" t="str">
        <f aca="false">IF($B108="","",V108-W108)</f>
        <v/>
      </c>
      <c r="Y108" s="45" t="str">
        <f aca="false">IF($B108="","",X108/W108)</f>
        <v/>
      </c>
      <c r="Z108" s="36" t="str">
        <f aca="false">IF($B108="","",IF(T108="G",IF(N(Z107)&gt;0,Z107+1,1),IF(N(Z107)&lt;0,Z107-1,-1)))</f>
        <v/>
      </c>
      <c r="AA108" s="46" t="str">
        <f aca="false">IF($B108="","",B108-WEEKDAY(B108,2)+1)</f>
        <v/>
      </c>
      <c r="AB108" s="47" t="str">
        <f aca="false">IF($B108="","",DATE(YEAR(B108),MONTH(B108),1))</f>
        <v/>
      </c>
      <c r="AC108" s="41" t="str">
        <f aca="false">IF($B108="","",CHOOSE(WEEKDAY(B108,2),"Lunes","Martes","Miércoles","Jueves","Viernes","Sábado","Domingo"))</f>
        <v/>
      </c>
      <c r="AD108" s="36" t="str">
        <f aca="false">IF($B108="","",HOUR(C108))</f>
        <v/>
      </c>
      <c r="AE108" s="42" t="str">
        <f aca="false">IF($B108="","",IF(O108&lt;&gt;O107,MAX(V108-S108,V108),MAX(V108,AE107)))</f>
        <v/>
      </c>
      <c r="AF108" s="42" t="str">
        <f aca="false">IF($B108="","",V108-AE108)</f>
        <v/>
      </c>
      <c r="AG108" s="36" t="str">
        <f aca="false">IF($B108="","",IF(O108&lt;&gt;O107,IF(T108="G",1,-1),IF(T108="G",IF(N(AG107)&gt;0,AG107+1,1),IF(N(AG107)&lt;0,AG107-1,-1))))</f>
        <v/>
      </c>
    </row>
    <row r="109" customFormat="false" ht="15" hidden="false" customHeight="false" outlineLevel="0" collapsed="false">
      <c r="A109" s="36" t="str">
        <f aca="false">IF(B109="","",ROW()-6)</f>
        <v/>
      </c>
      <c r="B109" s="37"/>
      <c r="C109" s="38"/>
      <c r="D109" s="38"/>
      <c r="E109" s="39"/>
      <c r="F109" s="39"/>
      <c r="G109" s="39"/>
      <c r="H109" s="40"/>
      <c r="I109" s="40"/>
      <c r="J109" s="40"/>
      <c r="K109" s="40"/>
      <c r="L109" s="39"/>
      <c r="M109" s="40"/>
      <c r="N109" s="40"/>
      <c r="O109" s="36" t="str">
        <f aca="false">IF($B109="","",INT((A109-1)/Parametros!$C$10)+1)</f>
        <v/>
      </c>
      <c r="P109" s="41" t="str">
        <f aca="false">IF($B109="","",IF(OR(C109="",D109=""),"",ROUND((D109-C109)*1440,0)))</f>
        <v/>
      </c>
      <c r="Q109" s="42" t="str">
        <f aca="false">IF($B109="","",I109*VLOOKUP(E109,Parametros!$B$18:$D$24,2,FALSE()))</f>
        <v/>
      </c>
      <c r="R109" s="42" t="str">
        <f aca="false">IF($B109="","",G109*VLOOKUP(E109,Parametros!$B$18:$D$24,3,FALSE()))</f>
        <v/>
      </c>
      <c r="S109" s="42" t="str">
        <f aca="false">IF($B109="","",Q109-R109)</f>
        <v/>
      </c>
      <c r="T109" s="43" t="str">
        <f aca="false">IF($B109="","",IF(S109&gt;0,"G","P"))</f>
        <v/>
      </c>
      <c r="U109" s="44" t="str">
        <f aca="false">IF($B109="","",S109/Parametros!$C$8)</f>
        <v/>
      </c>
      <c r="V109" s="42" t="str">
        <f aca="false">IF($B109="","",Parametros!$C$6+SUM($S$7:S109))</f>
        <v/>
      </c>
      <c r="W109" s="42" t="str">
        <f aca="false">IF($B109="","",MAX(V109,W108))</f>
        <v/>
      </c>
      <c r="X109" s="42" t="str">
        <f aca="false">IF($B109="","",V109-W109)</f>
        <v/>
      </c>
      <c r="Y109" s="45" t="str">
        <f aca="false">IF($B109="","",X109/W109)</f>
        <v/>
      </c>
      <c r="Z109" s="36" t="str">
        <f aca="false">IF($B109="","",IF(T109="G",IF(N(Z108)&gt;0,Z108+1,1),IF(N(Z108)&lt;0,Z108-1,-1)))</f>
        <v/>
      </c>
      <c r="AA109" s="46" t="str">
        <f aca="false">IF($B109="","",B109-WEEKDAY(B109,2)+1)</f>
        <v/>
      </c>
      <c r="AB109" s="47" t="str">
        <f aca="false">IF($B109="","",DATE(YEAR(B109),MONTH(B109),1))</f>
        <v/>
      </c>
      <c r="AC109" s="41" t="str">
        <f aca="false">IF($B109="","",CHOOSE(WEEKDAY(B109,2),"Lunes","Martes","Miércoles","Jueves","Viernes","Sábado","Domingo"))</f>
        <v/>
      </c>
      <c r="AD109" s="36" t="str">
        <f aca="false">IF($B109="","",HOUR(C109))</f>
        <v/>
      </c>
      <c r="AE109" s="42" t="str">
        <f aca="false">IF($B109="","",IF(O109&lt;&gt;O108,MAX(V109-S109,V109),MAX(V109,AE108)))</f>
        <v/>
      </c>
      <c r="AF109" s="42" t="str">
        <f aca="false">IF($B109="","",V109-AE109)</f>
        <v/>
      </c>
      <c r="AG109" s="36" t="str">
        <f aca="false">IF($B109="","",IF(O109&lt;&gt;O108,IF(T109="G",1,-1),IF(T109="G",IF(N(AG108)&gt;0,AG108+1,1),IF(N(AG108)&lt;0,AG108-1,-1))))</f>
        <v/>
      </c>
    </row>
    <row r="110" customFormat="false" ht="15" hidden="false" customHeight="false" outlineLevel="0" collapsed="false">
      <c r="A110" s="36" t="str">
        <f aca="false">IF(B110="","",ROW()-6)</f>
        <v/>
      </c>
      <c r="B110" s="37"/>
      <c r="C110" s="38"/>
      <c r="D110" s="38"/>
      <c r="E110" s="39"/>
      <c r="F110" s="39"/>
      <c r="G110" s="39"/>
      <c r="H110" s="40"/>
      <c r="I110" s="40"/>
      <c r="J110" s="40"/>
      <c r="K110" s="40"/>
      <c r="L110" s="39"/>
      <c r="M110" s="40"/>
      <c r="N110" s="40"/>
      <c r="O110" s="36" t="str">
        <f aca="false">IF($B110="","",INT((A110-1)/Parametros!$C$10)+1)</f>
        <v/>
      </c>
      <c r="P110" s="41" t="str">
        <f aca="false">IF($B110="","",IF(OR(C110="",D110=""),"",ROUND((D110-C110)*1440,0)))</f>
        <v/>
      </c>
      <c r="Q110" s="42" t="str">
        <f aca="false">IF($B110="","",I110*VLOOKUP(E110,Parametros!$B$18:$D$24,2,FALSE()))</f>
        <v/>
      </c>
      <c r="R110" s="42" t="str">
        <f aca="false">IF($B110="","",G110*VLOOKUP(E110,Parametros!$B$18:$D$24,3,FALSE()))</f>
        <v/>
      </c>
      <c r="S110" s="42" t="str">
        <f aca="false">IF($B110="","",Q110-R110)</f>
        <v/>
      </c>
      <c r="T110" s="43" t="str">
        <f aca="false">IF($B110="","",IF(S110&gt;0,"G","P"))</f>
        <v/>
      </c>
      <c r="U110" s="44" t="str">
        <f aca="false">IF($B110="","",S110/Parametros!$C$8)</f>
        <v/>
      </c>
      <c r="V110" s="42" t="str">
        <f aca="false">IF($B110="","",Parametros!$C$6+SUM($S$7:S110))</f>
        <v/>
      </c>
      <c r="W110" s="42" t="str">
        <f aca="false">IF($B110="","",MAX(V110,W109))</f>
        <v/>
      </c>
      <c r="X110" s="42" t="str">
        <f aca="false">IF($B110="","",V110-W110)</f>
        <v/>
      </c>
      <c r="Y110" s="45" t="str">
        <f aca="false">IF($B110="","",X110/W110)</f>
        <v/>
      </c>
      <c r="Z110" s="36" t="str">
        <f aca="false">IF($B110="","",IF(T110="G",IF(N(Z109)&gt;0,Z109+1,1),IF(N(Z109)&lt;0,Z109-1,-1)))</f>
        <v/>
      </c>
      <c r="AA110" s="46" t="str">
        <f aca="false">IF($B110="","",B110-WEEKDAY(B110,2)+1)</f>
        <v/>
      </c>
      <c r="AB110" s="47" t="str">
        <f aca="false">IF($B110="","",DATE(YEAR(B110),MONTH(B110),1))</f>
        <v/>
      </c>
      <c r="AC110" s="41" t="str">
        <f aca="false">IF($B110="","",CHOOSE(WEEKDAY(B110,2),"Lunes","Martes","Miércoles","Jueves","Viernes","Sábado","Domingo"))</f>
        <v/>
      </c>
      <c r="AD110" s="36" t="str">
        <f aca="false">IF($B110="","",HOUR(C110))</f>
        <v/>
      </c>
      <c r="AE110" s="42" t="str">
        <f aca="false">IF($B110="","",IF(O110&lt;&gt;O109,MAX(V110-S110,V110),MAX(V110,AE109)))</f>
        <v/>
      </c>
      <c r="AF110" s="42" t="str">
        <f aca="false">IF($B110="","",V110-AE110)</f>
        <v/>
      </c>
      <c r="AG110" s="36" t="str">
        <f aca="false">IF($B110="","",IF(O110&lt;&gt;O109,IF(T110="G",1,-1),IF(T110="G",IF(N(AG109)&gt;0,AG109+1,1),IF(N(AG109)&lt;0,AG109-1,-1))))</f>
        <v/>
      </c>
    </row>
    <row r="111" customFormat="false" ht="15" hidden="false" customHeight="false" outlineLevel="0" collapsed="false">
      <c r="A111" s="36" t="str">
        <f aca="false">IF(B111="","",ROW()-6)</f>
        <v/>
      </c>
      <c r="B111" s="37"/>
      <c r="C111" s="38"/>
      <c r="D111" s="38"/>
      <c r="E111" s="39"/>
      <c r="F111" s="39"/>
      <c r="G111" s="39"/>
      <c r="H111" s="40"/>
      <c r="I111" s="40"/>
      <c r="J111" s="40"/>
      <c r="K111" s="40"/>
      <c r="L111" s="39"/>
      <c r="M111" s="40"/>
      <c r="N111" s="40"/>
      <c r="O111" s="36" t="str">
        <f aca="false">IF($B111="","",INT((A111-1)/Parametros!$C$10)+1)</f>
        <v/>
      </c>
      <c r="P111" s="41" t="str">
        <f aca="false">IF($B111="","",IF(OR(C111="",D111=""),"",ROUND((D111-C111)*1440,0)))</f>
        <v/>
      </c>
      <c r="Q111" s="42" t="str">
        <f aca="false">IF($B111="","",I111*VLOOKUP(E111,Parametros!$B$18:$D$24,2,FALSE()))</f>
        <v/>
      </c>
      <c r="R111" s="42" t="str">
        <f aca="false">IF($B111="","",G111*VLOOKUP(E111,Parametros!$B$18:$D$24,3,FALSE()))</f>
        <v/>
      </c>
      <c r="S111" s="42" t="str">
        <f aca="false">IF($B111="","",Q111-R111)</f>
        <v/>
      </c>
      <c r="T111" s="43" t="str">
        <f aca="false">IF($B111="","",IF(S111&gt;0,"G","P"))</f>
        <v/>
      </c>
      <c r="U111" s="44" t="str">
        <f aca="false">IF($B111="","",S111/Parametros!$C$8)</f>
        <v/>
      </c>
      <c r="V111" s="42" t="str">
        <f aca="false">IF($B111="","",Parametros!$C$6+SUM($S$7:S111))</f>
        <v/>
      </c>
      <c r="W111" s="42" t="str">
        <f aca="false">IF($B111="","",MAX(V111,W110))</f>
        <v/>
      </c>
      <c r="X111" s="42" t="str">
        <f aca="false">IF($B111="","",V111-W111)</f>
        <v/>
      </c>
      <c r="Y111" s="45" t="str">
        <f aca="false">IF($B111="","",X111/W111)</f>
        <v/>
      </c>
      <c r="Z111" s="36" t="str">
        <f aca="false">IF($B111="","",IF(T111="G",IF(N(Z110)&gt;0,Z110+1,1),IF(N(Z110)&lt;0,Z110-1,-1)))</f>
        <v/>
      </c>
      <c r="AA111" s="46" t="str">
        <f aca="false">IF($B111="","",B111-WEEKDAY(B111,2)+1)</f>
        <v/>
      </c>
      <c r="AB111" s="47" t="str">
        <f aca="false">IF($B111="","",DATE(YEAR(B111),MONTH(B111),1))</f>
        <v/>
      </c>
      <c r="AC111" s="41" t="str">
        <f aca="false">IF($B111="","",CHOOSE(WEEKDAY(B111,2),"Lunes","Martes","Miércoles","Jueves","Viernes","Sábado","Domingo"))</f>
        <v/>
      </c>
      <c r="AD111" s="36" t="str">
        <f aca="false">IF($B111="","",HOUR(C111))</f>
        <v/>
      </c>
      <c r="AE111" s="42" t="str">
        <f aca="false">IF($B111="","",IF(O111&lt;&gt;O110,MAX(V111-S111,V111),MAX(V111,AE110)))</f>
        <v/>
      </c>
      <c r="AF111" s="42" t="str">
        <f aca="false">IF($B111="","",V111-AE111)</f>
        <v/>
      </c>
      <c r="AG111" s="36" t="str">
        <f aca="false">IF($B111="","",IF(O111&lt;&gt;O110,IF(T111="G",1,-1),IF(T111="G",IF(N(AG110)&gt;0,AG110+1,1),IF(N(AG110)&lt;0,AG110-1,-1))))</f>
        <v/>
      </c>
    </row>
    <row r="112" customFormat="false" ht="15" hidden="false" customHeight="false" outlineLevel="0" collapsed="false">
      <c r="A112" s="36" t="str">
        <f aca="false">IF(B112="","",ROW()-6)</f>
        <v/>
      </c>
      <c r="B112" s="37"/>
      <c r="C112" s="38"/>
      <c r="D112" s="38"/>
      <c r="E112" s="39"/>
      <c r="F112" s="39"/>
      <c r="G112" s="39"/>
      <c r="H112" s="40"/>
      <c r="I112" s="40"/>
      <c r="J112" s="40"/>
      <c r="K112" s="40"/>
      <c r="L112" s="39"/>
      <c r="M112" s="40"/>
      <c r="N112" s="40"/>
      <c r="O112" s="36" t="str">
        <f aca="false">IF($B112="","",INT((A112-1)/Parametros!$C$10)+1)</f>
        <v/>
      </c>
      <c r="P112" s="41" t="str">
        <f aca="false">IF($B112="","",IF(OR(C112="",D112=""),"",ROUND((D112-C112)*1440,0)))</f>
        <v/>
      </c>
      <c r="Q112" s="42" t="str">
        <f aca="false">IF($B112="","",I112*VLOOKUP(E112,Parametros!$B$18:$D$24,2,FALSE()))</f>
        <v/>
      </c>
      <c r="R112" s="42" t="str">
        <f aca="false">IF($B112="","",G112*VLOOKUP(E112,Parametros!$B$18:$D$24,3,FALSE()))</f>
        <v/>
      </c>
      <c r="S112" s="42" t="str">
        <f aca="false">IF($B112="","",Q112-R112)</f>
        <v/>
      </c>
      <c r="T112" s="43" t="str">
        <f aca="false">IF($B112="","",IF(S112&gt;0,"G","P"))</f>
        <v/>
      </c>
      <c r="U112" s="44" t="str">
        <f aca="false">IF($B112="","",S112/Parametros!$C$8)</f>
        <v/>
      </c>
      <c r="V112" s="42" t="str">
        <f aca="false">IF($B112="","",Parametros!$C$6+SUM($S$7:S112))</f>
        <v/>
      </c>
      <c r="W112" s="42" t="str">
        <f aca="false">IF($B112="","",MAX(V112,W111))</f>
        <v/>
      </c>
      <c r="X112" s="42" t="str">
        <f aca="false">IF($B112="","",V112-W112)</f>
        <v/>
      </c>
      <c r="Y112" s="45" t="str">
        <f aca="false">IF($B112="","",X112/W112)</f>
        <v/>
      </c>
      <c r="Z112" s="36" t="str">
        <f aca="false">IF($B112="","",IF(T112="G",IF(N(Z111)&gt;0,Z111+1,1),IF(N(Z111)&lt;0,Z111-1,-1)))</f>
        <v/>
      </c>
      <c r="AA112" s="46" t="str">
        <f aca="false">IF($B112="","",B112-WEEKDAY(B112,2)+1)</f>
        <v/>
      </c>
      <c r="AB112" s="47" t="str">
        <f aca="false">IF($B112="","",DATE(YEAR(B112),MONTH(B112),1))</f>
        <v/>
      </c>
      <c r="AC112" s="41" t="str">
        <f aca="false">IF($B112="","",CHOOSE(WEEKDAY(B112,2),"Lunes","Martes","Miércoles","Jueves","Viernes","Sábado","Domingo"))</f>
        <v/>
      </c>
      <c r="AD112" s="36" t="str">
        <f aca="false">IF($B112="","",HOUR(C112))</f>
        <v/>
      </c>
      <c r="AE112" s="42" t="str">
        <f aca="false">IF($B112="","",IF(O112&lt;&gt;O111,MAX(V112-S112,V112),MAX(V112,AE111)))</f>
        <v/>
      </c>
      <c r="AF112" s="42" t="str">
        <f aca="false">IF($B112="","",V112-AE112)</f>
        <v/>
      </c>
      <c r="AG112" s="36" t="str">
        <f aca="false">IF($B112="","",IF(O112&lt;&gt;O111,IF(T112="G",1,-1),IF(T112="G",IF(N(AG111)&gt;0,AG111+1,1),IF(N(AG111)&lt;0,AG111-1,-1))))</f>
        <v/>
      </c>
    </row>
    <row r="113" customFormat="false" ht="15" hidden="false" customHeight="false" outlineLevel="0" collapsed="false">
      <c r="A113" s="36" t="str">
        <f aca="false">IF(B113="","",ROW()-6)</f>
        <v/>
      </c>
      <c r="B113" s="37"/>
      <c r="C113" s="38"/>
      <c r="D113" s="38"/>
      <c r="E113" s="39"/>
      <c r="F113" s="39"/>
      <c r="G113" s="39"/>
      <c r="H113" s="40"/>
      <c r="I113" s="40"/>
      <c r="J113" s="40"/>
      <c r="K113" s="40"/>
      <c r="L113" s="39"/>
      <c r="M113" s="40"/>
      <c r="N113" s="40"/>
      <c r="O113" s="36" t="str">
        <f aca="false">IF($B113="","",INT((A113-1)/Parametros!$C$10)+1)</f>
        <v/>
      </c>
      <c r="P113" s="41" t="str">
        <f aca="false">IF($B113="","",IF(OR(C113="",D113=""),"",ROUND((D113-C113)*1440,0)))</f>
        <v/>
      </c>
      <c r="Q113" s="42" t="str">
        <f aca="false">IF($B113="","",I113*VLOOKUP(E113,Parametros!$B$18:$D$24,2,FALSE()))</f>
        <v/>
      </c>
      <c r="R113" s="42" t="str">
        <f aca="false">IF($B113="","",G113*VLOOKUP(E113,Parametros!$B$18:$D$24,3,FALSE()))</f>
        <v/>
      </c>
      <c r="S113" s="42" t="str">
        <f aca="false">IF($B113="","",Q113-R113)</f>
        <v/>
      </c>
      <c r="T113" s="43" t="str">
        <f aca="false">IF($B113="","",IF(S113&gt;0,"G","P"))</f>
        <v/>
      </c>
      <c r="U113" s="44" t="str">
        <f aca="false">IF($B113="","",S113/Parametros!$C$8)</f>
        <v/>
      </c>
      <c r="V113" s="42" t="str">
        <f aca="false">IF($B113="","",Parametros!$C$6+SUM($S$7:S113))</f>
        <v/>
      </c>
      <c r="W113" s="42" t="str">
        <f aca="false">IF($B113="","",MAX(V113,W112))</f>
        <v/>
      </c>
      <c r="X113" s="42" t="str">
        <f aca="false">IF($B113="","",V113-W113)</f>
        <v/>
      </c>
      <c r="Y113" s="45" t="str">
        <f aca="false">IF($B113="","",X113/W113)</f>
        <v/>
      </c>
      <c r="Z113" s="36" t="str">
        <f aca="false">IF($B113="","",IF(T113="G",IF(N(Z112)&gt;0,Z112+1,1),IF(N(Z112)&lt;0,Z112-1,-1)))</f>
        <v/>
      </c>
      <c r="AA113" s="46" t="str">
        <f aca="false">IF($B113="","",B113-WEEKDAY(B113,2)+1)</f>
        <v/>
      </c>
      <c r="AB113" s="47" t="str">
        <f aca="false">IF($B113="","",DATE(YEAR(B113),MONTH(B113),1))</f>
        <v/>
      </c>
      <c r="AC113" s="41" t="str">
        <f aca="false">IF($B113="","",CHOOSE(WEEKDAY(B113,2),"Lunes","Martes","Miércoles","Jueves","Viernes","Sábado","Domingo"))</f>
        <v/>
      </c>
      <c r="AD113" s="36" t="str">
        <f aca="false">IF($B113="","",HOUR(C113))</f>
        <v/>
      </c>
      <c r="AE113" s="42" t="str">
        <f aca="false">IF($B113="","",IF(O113&lt;&gt;O112,MAX(V113-S113,V113),MAX(V113,AE112)))</f>
        <v/>
      </c>
      <c r="AF113" s="42" t="str">
        <f aca="false">IF($B113="","",V113-AE113)</f>
        <v/>
      </c>
      <c r="AG113" s="36" t="str">
        <f aca="false">IF($B113="","",IF(O113&lt;&gt;O112,IF(T113="G",1,-1),IF(T113="G",IF(N(AG112)&gt;0,AG112+1,1),IF(N(AG112)&lt;0,AG112-1,-1))))</f>
        <v/>
      </c>
    </row>
    <row r="114" customFormat="false" ht="15" hidden="false" customHeight="false" outlineLevel="0" collapsed="false">
      <c r="A114" s="36" t="str">
        <f aca="false">IF(B114="","",ROW()-6)</f>
        <v/>
      </c>
      <c r="B114" s="37"/>
      <c r="C114" s="38"/>
      <c r="D114" s="38"/>
      <c r="E114" s="39"/>
      <c r="F114" s="39"/>
      <c r="G114" s="39"/>
      <c r="H114" s="40"/>
      <c r="I114" s="40"/>
      <c r="J114" s="40"/>
      <c r="K114" s="40"/>
      <c r="L114" s="39"/>
      <c r="M114" s="40"/>
      <c r="N114" s="40"/>
      <c r="O114" s="36" t="str">
        <f aca="false">IF($B114="","",INT((A114-1)/Parametros!$C$10)+1)</f>
        <v/>
      </c>
      <c r="P114" s="41" t="str">
        <f aca="false">IF($B114="","",IF(OR(C114="",D114=""),"",ROUND((D114-C114)*1440,0)))</f>
        <v/>
      </c>
      <c r="Q114" s="42" t="str">
        <f aca="false">IF($B114="","",I114*VLOOKUP(E114,Parametros!$B$18:$D$24,2,FALSE()))</f>
        <v/>
      </c>
      <c r="R114" s="42" t="str">
        <f aca="false">IF($B114="","",G114*VLOOKUP(E114,Parametros!$B$18:$D$24,3,FALSE()))</f>
        <v/>
      </c>
      <c r="S114" s="42" t="str">
        <f aca="false">IF($B114="","",Q114-R114)</f>
        <v/>
      </c>
      <c r="T114" s="43" t="str">
        <f aca="false">IF($B114="","",IF(S114&gt;0,"G","P"))</f>
        <v/>
      </c>
      <c r="U114" s="44" t="str">
        <f aca="false">IF($B114="","",S114/Parametros!$C$8)</f>
        <v/>
      </c>
      <c r="V114" s="42" t="str">
        <f aca="false">IF($B114="","",Parametros!$C$6+SUM($S$7:S114))</f>
        <v/>
      </c>
      <c r="W114" s="42" t="str">
        <f aca="false">IF($B114="","",MAX(V114,W113))</f>
        <v/>
      </c>
      <c r="X114" s="42" t="str">
        <f aca="false">IF($B114="","",V114-W114)</f>
        <v/>
      </c>
      <c r="Y114" s="45" t="str">
        <f aca="false">IF($B114="","",X114/W114)</f>
        <v/>
      </c>
      <c r="Z114" s="36" t="str">
        <f aca="false">IF($B114="","",IF(T114="G",IF(N(Z113)&gt;0,Z113+1,1),IF(N(Z113)&lt;0,Z113-1,-1)))</f>
        <v/>
      </c>
      <c r="AA114" s="46" t="str">
        <f aca="false">IF($B114="","",B114-WEEKDAY(B114,2)+1)</f>
        <v/>
      </c>
      <c r="AB114" s="47" t="str">
        <f aca="false">IF($B114="","",DATE(YEAR(B114),MONTH(B114),1))</f>
        <v/>
      </c>
      <c r="AC114" s="41" t="str">
        <f aca="false">IF($B114="","",CHOOSE(WEEKDAY(B114,2),"Lunes","Martes","Miércoles","Jueves","Viernes","Sábado","Domingo"))</f>
        <v/>
      </c>
      <c r="AD114" s="36" t="str">
        <f aca="false">IF($B114="","",HOUR(C114))</f>
        <v/>
      </c>
      <c r="AE114" s="42" t="str">
        <f aca="false">IF($B114="","",IF(O114&lt;&gt;O113,MAX(V114-S114,V114),MAX(V114,AE113)))</f>
        <v/>
      </c>
      <c r="AF114" s="42" t="str">
        <f aca="false">IF($B114="","",V114-AE114)</f>
        <v/>
      </c>
      <c r="AG114" s="36" t="str">
        <f aca="false">IF($B114="","",IF(O114&lt;&gt;O113,IF(T114="G",1,-1),IF(T114="G",IF(N(AG113)&gt;0,AG113+1,1),IF(N(AG113)&lt;0,AG113-1,-1))))</f>
        <v/>
      </c>
    </row>
    <row r="115" customFormat="false" ht="15" hidden="false" customHeight="false" outlineLevel="0" collapsed="false">
      <c r="A115" s="36" t="str">
        <f aca="false">IF(B115="","",ROW()-6)</f>
        <v/>
      </c>
      <c r="B115" s="37"/>
      <c r="C115" s="38"/>
      <c r="D115" s="38"/>
      <c r="E115" s="39"/>
      <c r="F115" s="39"/>
      <c r="G115" s="39"/>
      <c r="H115" s="40"/>
      <c r="I115" s="40"/>
      <c r="J115" s="40"/>
      <c r="K115" s="40"/>
      <c r="L115" s="39"/>
      <c r="M115" s="40"/>
      <c r="N115" s="40"/>
      <c r="O115" s="36" t="str">
        <f aca="false">IF($B115="","",INT((A115-1)/Parametros!$C$10)+1)</f>
        <v/>
      </c>
      <c r="P115" s="41" t="str">
        <f aca="false">IF($B115="","",IF(OR(C115="",D115=""),"",ROUND((D115-C115)*1440,0)))</f>
        <v/>
      </c>
      <c r="Q115" s="42" t="str">
        <f aca="false">IF($B115="","",I115*VLOOKUP(E115,Parametros!$B$18:$D$24,2,FALSE()))</f>
        <v/>
      </c>
      <c r="R115" s="42" t="str">
        <f aca="false">IF($B115="","",G115*VLOOKUP(E115,Parametros!$B$18:$D$24,3,FALSE()))</f>
        <v/>
      </c>
      <c r="S115" s="42" t="str">
        <f aca="false">IF($B115="","",Q115-R115)</f>
        <v/>
      </c>
      <c r="T115" s="43" t="str">
        <f aca="false">IF($B115="","",IF(S115&gt;0,"G","P"))</f>
        <v/>
      </c>
      <c r="U115" s="44" t="str">
        <f aca="false">IF($B115="","",S115/Parametros!$C$8)</f>
        <v/>
      </c>
      <c r="V115" s="42" t="str">
        <f aca="false">IF($B115="","",Parametros!$C$6+SUM($S$7:S115))</f>
        <v/>
      </c>
      <c r="W115" s="42" t="str">
        <f aca="false">IF($B115="","",MAX(V115,W114))</f>
        <v/>
      </c>
      <c r="X115" s="42" t="str">
        <f aca="false">IF($B115="","",V115-W115)</f>
        <v/>
      </c>
      <c r="Y115" s="45" t="str">
        <f aca="false">IF($B115="","",X115/W115)</f>
        <v/>
      </c>
      <c r="Z115" s="36" t="str">
        <f aca="false">IF($B115="","",IF(T115="G",IF(N(Z114)&gt;0,Z114+1,1),IF(N(Z114)&lt;0,Z114-1,-1)))</f>
        <v/>
      </c>
      <c r="AA115" s="46" t="str">
        <f aca="false">IF($B115="","",B115-WEEKDAY(B115,2)+1)</f>
        <v/>
      </c>
      <c r="AB115" s="47" t="str">
        <f aca="false">IF($B115="","",DATE(YEAR(B115),MONTH(B115),1))</f>
        <v/>
      </c>
      <c r="AC115" s="41" t="str">
        <f aca="false">IF($B115="","",CHOOSE(WEEKDAY(B115,2),"Lunes","Martes","Miércoles","Jueves","Viernes","Sábado","Domingo"))</f>
        <v/>
      </c>
      <c r="AD115" s="36" t="str">
        <f aca="false">IF($B115="","",HOUR(C115))</f>
        <v/>
      </c>
      <c r="AE115" s="42" t="str">
        <f aca="false">IF($B115="","",IF(O115&lt;&gt;O114,MAX(V115-S115,V115),MAX(V115,AE114)))</f>
        <v/>
      </c>
      <c r="AF115" s="42" t="str">
        <f aca="false">IF($B115="","",V115-AE115)</f>
        <v/>
      </c>
      <c r="AG115" s="36" t="str">
        <f aca="false">IF($B115="","",IF(O115&lt;&gt;O114,IF(T115="G",1,-1),IF(T115="G",IF(N(AG114)&gt;0,AG114+1,1),IF(N(AG114)&lt;0,AG114-1,-1))))</f>
        <v/>
      </c>
    </row>
    <row r="116" customFormat="false" ht="15" hidden="false" customHeight="false" outlineLevel="0" collapsed="false">
      <c r="A116" s="36" t="str">
        <f aca="false">IF(B116="","",ROW()-6)</f>
        <v/>
      </c>
      <c r="B116" s="37"/>
      <c r="C116" s="38"/>
      <c r="D116" s="38"/>
      <c r="E116" s="39"/>
      <c r="F116" s="39"/>
      <c r="G116" s="39"/>
      <c r="H116" s="40"/>
      <c r="I116" s="40"/>
      <c r="J116" s="40"/>
      <c r="K116" s="40"/>
      <c r="L116" s="39"/>
      <c r="M116" s="40"/>
      <c r="N116" s="40"/>
      <c r="O116" s="36" t="str">
        <f aca="false">IF($B116="","",INT((A116-1)/Parametros!$C$10)+1)</f>
        <v/>
      </c>
      <c r="P116" s="41" t="str">
        <f aca="false">IF($B116="","",IF(OR(C116="",D116=""),"",ROUND((D116-C116)*1440,0)))</f>
        <v/>
      </c>
      <c r="Q116" s="42" t="str">
        <f aca="false">IF($B116="","",I116*VLOOKUP(E116,Parametros!$B$18:$D$24,2,FALSE()))</f>
        <v/>
      </c>
      <c r="R116" s="42" t="str">
        <f aca="false">IF($B116="","",G116*VLOOKUP(E116,Parametros!$B$18:$D$24,3,FALSE()))</f>
        <v/>
      </c>
      <c r="S116" s="42" t="str">
        <f aca="false">IF($B116="","",Q116-R116)</f>
        <v/>
      </c>
      <c r="T116" s="43" t="str">
        <f aca="false">IF($B116="","",IF(S116&gt;0,"G","P"))</f>
        <v/>
      </c>
      <c r="U116" s="44" t="str">
        <f aca="false">IF($B116="","",S116/Parametros!$C$8)</f>
        <v/>
      </c>
      <c r="V116" s="42" t="str">
        <f aca="false">IF($B116="","",Parametros!$C$6+SUM($S$7:S116))</f>
        <v/>
      </c>
      <c r="W116" s="42" t="str">
        <f aca="false">IF($B116="","",MAX(V116,W115))</f>
        <v/>
      </c>
      <c r="X116" s="42" t="str">
        <f aca="false">IF($B116="","",V116-W116)</f>
        <v/>
      </c>
      <c r="Y116" s="45" t="str">
        <f aca="false">IF($B116="","",X116/W116)</f>
        <v/>
      </c>
      <c r="Z116" s="36" t="str">
        <f aca="false">IF($B116="","",IF(T116="G",IF(N(Z115)&gt;0,Z115+1,1),IF(N(Z115)&lt;0,Z115-1,-1)))</f>
        <v/>
      </c>
      <c r="AA116" s="46" t="str">
        <f aca="false">IF($B116="","",B116-WEEKDAY(B116,2)+1)</f>
        <v/>
      </c>
      <c r="AB116" s="47" t="str">
        <f aca="false">IF($B116="","",DATE(YEAR(B116),MONTH(B116),1))</f>
        <v/>
      </c>
      <c r="AC116" s="41" t="str">
        <f aca="false">IF($B116="","",CHOOSE(WEEKDAY(B116,2),"Lunes","Martes","Miércoles","Jueves","Viernes","Sábado","Domingo"))</f>
        <v/>
      </c>
      <c r="AD116" s="36" t="str">
        <f aca="false">IF($B116="","",HOUR(C116))</f>
        <v/>
      </c>
      <c r="AE116" s="42" t="str">
        <f aca="false">IF($B116="","",IF(O116&lt;&gt;O115,MAX(V116-S116,V116),MAX(V116,AE115)))</f>
        <v/>
      </c>
      <c r="AF116" s="42" t="str">
        <f aca="false">IF($B116="","",V116-AE116)</f>
        <v/>
      </c>
      <c r="AG116" s="36" t="str">
        <f aca="false">IF($B116="","",IF(O116&lt;&gt;O115,IF(T116="G",1,-1),IF(T116="G",IF(N(AG115)&gt;0,AG115+1,1),IF(N(AG115)&lt;0,AG115-1,-1))))</f>
        <v/>
      </c>
    </row>
    <row r="117" customFormat="false" ht="15" hidden="false" customHeight="false" outlineLevel="0" collapsed="false">
      <c r="A117" s="36" t="str">
        <f aca="false">IF(B117="","",ROW()-6)</f>
        <v/>
      </c>
      <c r="B117" s="37"/>
      <c r="C117" s="38"/>
      <c r="D117" s="38"/>
      <c r="E117" s="39"/>
      <c r="F117" s="39"/>
      <c r="G117" s="39"/>
      <c r="H117" s="40"/>
      <c r="I117" s="40"/>
      <c r="J117" s="40"/>
      <c r="K117" s="40"/>
      <c r="L117" s="39"/>
      <c r="M117" s="40"/>
      <c r="N117" s="40"/>
      <c r="O117" s="36" t="str">
        <f aca="false">IF($B117="","",INT((A117-1)/Parametros!$C$10)+1)</f>
        <v/>
      </c>
      <c r="P117" s="41" t="str">
        <f aca="false">IF($B117="","",IF(OR(C117="",D117=""),"",ROUND((D117-C117)*1440,0)))</f>
        <v/>
      </c>
      <c r="Q117" s="42" t="str">
        <f aca="false">IF($B117="","",I117*VLOOKUP(E117,Parametros!$B$18:$D$24,2,FALSE()))</f>
        <v/>
      </c>
      <c r="R117" s="42" t="str">
        <f aca="false">IF($B117="","",G117*VLOOKUP(E117,Parametros!$B$18:$D$24,3,FALSE()))</f>
        <v/>
      </c>
      <c r="S117" s="42" t="str">
        <f aca="false">IF($B117="","",Q117-R117)</f>
        <v/>
      </c>
      <c r="T117" s="43" t="str">
        <f aca="false">IF($B117="","",IF(S117&gt;0,"G","P"))</f>
        <v/>
      </c>
      <c r="U117" s="44" t="str">
        <f aca="false">IF($B117="","",S117/Parametros!$C$8)</f>
        <v/>
      </c>
      <c r="V117" s="42" t="str">
        <f aca="false">IF($B117="","",Parametros!$C$6+SUM($S$7:S117))</f>
        <v/>
      </c>
      <c r="W117" s="42" t="str">
        <f aca="false">IF($B117="","",MAX(V117,W116))</f>
        <v/>
      </c>
      <c r="X117" s="42" t="str">
        <f aca="false">IF($B117="","",V117-W117)</f>
        <v/>
      </c>
      <c r="Y117" s="45" t="str">
        <f aca="false">IF($B117="","",X117/W117)</f>
        <v/>
      </c>
      <c r="Z117" s="36" t="str">
        <f aca="false">IF($B117="","",IF(T117="G",IF(N(Z116)&gt;0,Z116+1,1),IF(N(Z116)&lt;0,Z116-1,-1)))</f>
        <v/>
      </c>
      <c r="AA117" s="46" t="str">
        <f aca="false">IF($B117="","",B117-WEEKDAY(B117,2)+1)</f>
        <v/>
      </c>
      <c r="AB117" s="47" t="str">
        <f aca="false">IF($B117="","",DATE(YEAR(B117),MONTH(B117),1))</f>
        <v/>
      </c>
      <c r="AC117" s="41" t="str">
        <f aca="false">IF($B117="","",CHOOSE(WEEKDAY(B117,2),"Lunes","Martes","Miércoles","Jueves","Viernes","Sábado","Domingo"))</f>
        <v/>
      </c>
      <c r="AD117" s="36" t="str">
        <f aca="false">IF($B117="","",HOUR(C117))</f>
        <v/>
      </c>
      <c r="AE117" s="42" t="str">
        <f aca="false">IF($B117="","",IF(O117&lt;&gt;O116,MAX(V117-S117,V117),MAX(V117,AE116)))</f>
        <v/>
      </c>
      <c r="AF117" s="42" t="str">
        <f aca="false">IF($B117="","",V117-AE117)</f>
        <v/>
      </c>
      <c r="AG117" s="36" t="str">
        <f aca="false">IF($B117="","",IF(O117&lt;&gt;O116,IF(T117="G",1,-1),IF(T117="G",IF(N(AG116)&gt;0,AG116+1,1),IF(N(AG116)&lt;0,AG116-1,-1))))</f>
        <v/>
      </c>
    </row>
    <row r="118" customFormat="false" ht="15" hidden="false" customHeight="false" outlineLevel="0" collapsed="false">
      <c r="A118" s="36" t="str">
        <f aca="false">IF(B118="","",ROW()-6)</f>
        <v/>
      </c>
      <c r="B118" s="37"/>
      <c r="C118" s="38"/>
      <c r="D118" s="38"/>
      <c r="E118" s="39"/>
      <c r="F118" s="39"/>
      <c r="G118" s="39"/>
      <c r="H118" s="40"/>
      <c r="I118" s="40"/>
      <c r="J118" s="40"/>
      <c r="K118" s="40"/>
      <c r="L118" s="39"/>
      <c r="M118" s="40"/>
      <c r="N118" s="40"/>
      <c r="O118" s="36" t="str">
        <f aca="false">IF($B118="","",INT((A118-1)/Parametros!$C$10)+1)</f>
        <v/>
      </c>
      <c r="P118" s="41" t="str">
        <f aca="false">IF($B118="","",IF(OR(C118="",D118=""),"",ROUND((D118-C118)*1440,0)))</f>
        <v/>
      </c>
      <c r="Q118" s="42" t="str">
        <f aca="false">IF($B118="","",I118*VLOOKUP(E118,Parametros!$B$18:$D$24,2,FALSE()))</f>
        <v/>
      </c>
      <c r="R118" s="42" t="str">
        <f aca="false">IF($B118="","",G118*VLOOKUP(E118,Parametros!$B$18:$D$24,3,FALSE()))</f>
        <v/>
      </c>
      <c r="S118" s="42" t="str">
        <f aca="false">IF($B118="","",Q118-R118)</f>
        <v/>
      </c>
      <c r="T118" s="43" t="str">
        <f aca="false">IF($B118="","",IF(S118&gt;0,"G","P"))</f>
        <v/>
      </c>
      <c r="U118" s="44" t="str">
        <f aca="false">IF($B118="","",S118/Parametros!$C$8)</f>
        <v/>
      </c>
      <c r="V118" s="42" t="str">
        <f aca="false">IF($B118="","",Parametros!$C$6+SUM($S$7:S118))</f>
        <v/>
      </c>
      <c r="W118" s="42" t="str">
        <f aca="false">IF($B118="","",MAX(V118,W117))</f>
        <v/>
      </c>
      <c r="X118" s="42" t="str">
        <f aca="false">IF($B118="","",V118-W118)</f>
        <v/>
      </c>
      <c r="Y118" s="45" t="str">
        <f aca="false">IF($B118="","",X118/W118)</f>
        <v/>
      </c>
      <c r="Z118" s="36" t="str">
        <f aca="false">IF($B118="","",IF(T118="G",IF(N(Z117)&gt;0,Z117+1,1),IF(N(Z117)&lt;0,Z117-1,-1)))</f>
        <v/>
      </c>
      <c r="AA118" s="46" t="str">
        <f aca="false">IF($B118="","",B118-WEEKDAY(B118,2)+1)</f>
        <v/>
      </c>
      <c r="AB118" s="47" t="str">
        <f aca="false">IF($B118="","",DATE(YEAR(B118),MONTH(B118),1))</f>
        <v/>
      </c>
      <c r="AC118" s="41" t="str">
        <f aca="false">IF($B118="","",CHOOSE(WEEKDAY(B118,2),"Lunes","Martes","Miércoles","Jueves","Viernes","Sábado","Domingo"))</f>
        <v/>
      </c>
      <c r="AD118" s="36" t="str">
        <f aca="false">IF($B118="","",HOUR(C118))</f>
        <v/>
      </c>
      <c r="AE118" s="42" t="str">
        <f aca="false">IF($B118="","",IF(O118&lt;&gt;O117,MAX(V118-S118,V118),MAX(V118,AE117)))</f>
        <v/>
      </c>
      <c r="AF118" s="42" t="str">
        <f aca="false">IF($B118="","",V118-AE118)</f>
        <v/>
      </c>
      <c r="AG118" s="36" t="str">
        <f aca="false">IF($B118="","",IF(O118&lt;&gt;O117,IF(T118="G",1,-1),IF(T118="G",IF(N(AG117)&gt;0,AG117+1,1),IF(N(AG117)&lt;0,AG117-1,-1))))</f>
        <v/>
      </c>
    </row>
    <row r="119" customFormat="false" ht="15" hidden="false" customHeight="false" outlineLevel="0" collapsed="false">
      <c r="A119" s="36" t="str">
        <f aca="false">IF(B119="","",ROW()-6)</f>
        <v/>
      </c>
      <c r="B119" s="37"/>
      <c r="C119" s="38"/>
      <c r="D119" s="38"/>
      <c r="E119" s="39"/>
      <c r="F119" s="39"/>
      <c r="G119" s="39"/>
      <c r="H119" s="40"/>
      <c r="I119" s="40"/>
      <c r="J119" s="40"/>
      <c r="K119" s="40"/>
      <c r="L119" s="39"/>
      <c r="M119" s="40"/>
      <c r="N119" s="40"/>
      <c r="O119" s="36" t="str">
        <f aca="false">IF($B119="","",INT((A119-1)/Parametros!$C$10)+1)</f>
        <v/>
      </c>
      <c r="P119" s="41" t="str">
        <f aca="false">IF($B119="","",IF(OR(C119="",D119=""),"",ROUND((D119-C119)*1440,0)))</f>
        <v/>
      </c>
      <c r="Q119" s="42" t="str">
        <f aca="false">IF($B119="","",I119*VLOOKUP(E119,Parametros!$B$18:$D$24,2,FALSE()))</f>
        <v/>
      </c>
      <c r="R119" s="42" t="str">
        <f aca="false">IF($B119="","",G119*VLOOKUP(E119,Parametros!$B$18:$D$24,3,FALSE()))</f>
        <v/>
      </c>
      <c r="S119" s="42" t="str">
        <f aca="false">IF($B119="","",Q119-R119)</f>
        <v/>
      </c>
      <c r="T119" s="43" t="str">
        <f aca="false">IF($B119="","",IF(S119&gt;0,"G","P"))</f>
        <v/>
      </c>
      <c r="U119" s="44" t="str">
        <f aca="false">IF($B119="","",S119/Parametros!$C$8)</f>
        <v/>
      </c>
      <c r="V119" s="42" t="str">
        <f aca="false">IF($B119="","",Parametros!$C$6+SUM($S$7:S119))</f>
        <v/>
      </c>
      <c r="W119" s="42" t="str">
        <f aca="false">IF($B119="","",MAX(V119,W118))</f>
        <v/>
      </c>
      <c r="X119" s="42" t="str">
        <f aca="false">IF($B119="","",V119-W119)</f>
        <v/>
      </c>
      <c r="Y119" s="45" t="str">
        <f aca="false">IF($B119="","",X119/W119)</f>
        <v/>
      </c>
      <c r="Z119" s="36" t="str">
        <f aca="false">IF($B119="","",IF(T119="G",IF(N(Z118)&gt;0,Z118+1,1),IF(N(Z118)&lt;0,Z118-1,-1)))</f>
        <v/>
      </c>
      <c r="AA119" s="46" t="str">
        <f aca="false">IF($B119="","",B119-WEEKDAY(B119,2)+1)</f>
        <v/>
      </c>
      <c r="AB119" s="47" t="str">
        <f aca="false">IF($B119="","",DATE(YEAR(B119),MONTH(B119),1))</f>
        <v/>
      </c>
      <c r="AC119" s="41" t="str">
        <f aca="false">IF($B119="","",CHOOSE(WEEKDAY(B119,2),"Lunes","Martes","Miércoles","Jueves","Viernes","Sábado","Domingo"))</f>
        <v/>
      </c>
      <c r="AD119" s="36" t="str">
        <f aca="false">IF($B119="","",HOUR(C119))</f>
        <v/>
      </c>
      <c r="AE119" s="42" t="str">
        <f aca="false">IF($B119="","",IF(O119&lt;&gt;O118,MAX(V119-S119,V119),MAX(V119,AE118)))</f>
        <v/>
      </c>
      <c r="AF119" s="42" t="str">
        <f aca="false">IF($B119="","",V119-AE119)</f>
        <v/>
      </c>
      <c r="AG119" s="36" t="str">
        <f aca="false">IF($B119="","",IF(O119&lt;&gt;O118,IF(T119="G",1,-1),IF(T119="G",IF(N(AG118)&gt;0,AG118+1,1),IF(N(AG118)&lt;0,AG118-1,-1))))</f>
        <v/>
      </c>
    </row>
    <row r="120" customFormat="false" ht="15" hidden="false" customHeight="false" outlineLevel="0" collapsed="false">
      <c r="A120" s="36" t="str">
        <f aca="false">IF(B120="","",ROW()-6)</f>
        <v/>
      </c>
      <c r="B120" s="37"/>
      <c r="C120" s="38"/>
      <c r="D120" s="38"/>
      <c r="E120" s="39"/>
      <c r="F120" s="39"/>
      <c r="G120" s="39"/>
      <c r="H120" s="40"/>
      <c r="I120" s="40"/>
      <c r="J120" s="40"/>
      <c r="K120" s="40"/>
      <c r="L120" s="39"/>
      <c r="M120" s="40"/>
      <c r="N120" s="40"/>
      <c r="O120" s="36" t="str">
        <f aca="false">IF($B120="","",INT((A120-1)/Parametros!$C$10)+1)</f>
        <v/>
      </c>
      <c r="P120" s="41" t="str">
        <f aca="false">IF($B120="","",IF(OR(C120="",D120=""),"",ROUND((D120-C120)*1440,0)))</f>
        <v/>
      </c>
      <c r="Q120" s="42" t="str">
        <f aca="false">IF($B120="","",I120*VLOOKUP(E120,Parametros!$B$18:$D$24,2,FALSE()))</f>
        <v/>
      </c>
      <c r="R120" s="42" t="str">
        <f aca="false">IF($B120="","",G120*VLOOKUP(E120,Parametros!$B$18:$D$24,3,FALSE()))</f>
        <v/>
      </c>
      <c r="S120" s="42" t="str">
        <f aca="false">IF($B120="","",Q120-R120)</f>
        <v/>
      </c>
      <c r="T120" s="43" t="str">
        <f aca="false">IF($B120="","",IF(S120&gt;0,"G","P"))</f>
        <v/>
      </c>
      <c r="U120" s="44" t="str">
        <f aca="false">IF($B120="","",S120/Parametros!$C$8)</f>
        <v/>
      </c>
      <c r="V120" s="42" t="str">
        <f aca="false">IF($B120="","",Parametros!$C$6+SUM($S$7:S120))</f>
        <v/>
      </c>
      <c r="W120" s="42" t="str">
        <f aca="false">IF($B120="","",MAX(V120,W119))</f>
        <v/>
      </c>
      <c r="X120" s="42" t="str">
        <f aca="false">IF($B120="","",V120-W120)</f>
        <v/>
      </c>
      <c r="Y120" s="45" t="str">
        <f aca="false">IF($B120="","",X120/W120)</f>
        <v/>
      </c>
      <c r="Z120" s="36" t="str">
        <f aca="false">IF($B120="","",IF(T120="G",IF(N(Z119)&gt;0,Z119+1,1),IF(N(Z119)&lt;0,Z119-1,-1)))</f>
        <v/>
      </c>
      <c r="AA120" s="46" t="str">
        <f aca="false">IF($B120="","",B120-WEEKDAY(B120,2)+1)</f>
        <v/>
      </c>
      <c r="AB120" s="47" t="str">
        <f aca="false">IF($B120="","",DATE(YEAR(B120),MONTH(B120),1))</f>
        <v/>
      </c>
      <c r="AC120" s="41" t="str">
        <f aca="false">IF($B120="","",CHOOSE(WEEKDAY(B120,2),"Lunes","Martes","Miércoles","Jueves","Viernes","Sábado","Domingo"))</f>
        <v/>
      </c>
      <c r="AD120" s="36" t="str">
        <f aca="false">IF($B120="","",HOUR(C120))</f>
        <v/>
      </c>
      <c r="AE120" s="42" t="str">
        <f aca="false">IF($B120="","",IF(O120&lt;&gt;O119,MAX(V120-S120,V120),MAX(V120,AE119)))</f>
        <v/>
      </c>
      <c r="AF120" s="42" t="str">
        <f aca="false">IF($B120="","",V120-AE120)</f>
        <v/>
      </c>
      <c r="AG120" s="36" t="str">
        <f aca="false">IF($B120="","",IF(O120&lt;&gt;O119,IF(T120="G",1,-1),IF(T120="G",IF(N(AG119)&gt;0,AG119+1,1),IF(N(AG119)&lt;0,AG119-1,-1))))</f>
        <v/>
      </c>
    </row>
    <row r="121" customFormat="false" ht="15" hidden="false" customHeight="false" outlineLevel="0" collapsed="false">
      <c r="A121" s="36" t="str">
        <f aca="false">IF(B121="","",ROW()-6)</f>
        <v/>
      </c>
      <c r="B121" s="37"/>
      <c r="C121" s="38"/>
      <c r="D121" s="38"/>
      <c r="E121" s="39"/>
      <c r="F121" s="39"/>
      <c r="G121" s="39"/>
      <c r="H121" s="40"/>
      <c r="I121" s="40"/>
      <c r="J121" s="40"/>
      <c r="K121" s="40"/>
      <c r="L121" s="39"/>
      <c r="M121" s="40"/>
      <c r="N121" s="40"/>
      <c r="O121" s="36" t="str">
        <f aca="false">IF($B121="","",INT((A121-1)/Parametros!$C$10)+1)</f>
        <v/>
      </c>
      <c r="P121" s="41" t="str">
        <f aca="false">IF($B121="","",IF(OR(C121="",D121=""),"",ROUND((D121-C121)*1440,0)))</f>
        <v/>
      </c>
      <c r="Q121" s="42" t="str">
        <f aca="false">IF($B121="","",I121*VLOOKUP(E121,Parametros!$B$18:$D$24,2,FALSE()))</f>
        <v/>
      </c>
      <c r="R121" s="42" t="str">
        <f aca="false">IF($B121="","",G121*VLOOKUP(E121,Parametros!$B$18:$D$24,3,FALSE()))</f>
        <v/>
      </c>
      <c r="S121" s="42" t="str">
        <f aca="false">IF($B121="","",Q121-R121)</f>
        <v/>
      </c>
      <c r="T121" s="43" t="str">
        <f aca="false">IF($B121="","",IF(S121&gt;0,"G","P"))</f>
        <v/>
      </c>
      <c r="U121" s="44" t="str">
        <f aca="false">IF($B121="","",S121/Parametros!$C$8)</f>
        <v/>
      </c>
      <c r="V121" s="42" t="str">
        <f aca="false">IF($B121="","",Parametros!$C$6+SUM($S$7:S121))</f>
        <v/>
      </c>
      <c r="W121" s="42" t="str">
        <f aca="false">IF($B121="","",MAX(V121,W120))</f>
        <v/>
      </c>
      <c r="X121" s="42" t="str">
        <f aca="false">IF($B121="","",V121-W121)</f>
        <v/>
      </c>
      <c r="Y121" s="45" t="str">
        <f aca="false">IF($B121="","",X121/W121)</f>
        <v/>
      </c>
      <c r="Z121" s="36" t="str">
        <f aca="false">IF($B121="","",IF(T121="G",IF(N(Z120)&gt;0,Z120+1,1),IF(N(Z120)&lt;0,Z120-1,-1)))</f>
        <v/>
      </c>
      <c r="AA121" s="46" t="str">
        <f aca="false">IF($B121="","",B121-WEEKDAY(B121,2)+1)</f>
        <v/>
      </c>
      <c r="AB121" s="47" t="str">
        <f aca="false">IF($B121="","",DATE(YEAR(B121),MONTH(B121),1))</f>
        <v/>
      </c>
      <c r="AC121" s="41" t="str">
        <f aca="false">IF($B121="","",CHOOSE(WEEKDAY(B121,2),"Lunes","Martes","Miércoles","Jueves","Viernes","Sábado","Domingo"))</f>
        <v/>
      </c>
      <c r="AD121" s="36" t="str">
        <f aca="false">IF($B121="","",HOUR(C121))</f>
        <v/>
      </c>
      <c r="AE121" s="42" t="str">
        <f aca="false">IF($B121="","",IF(O121&lt;&gt;O120,MAX(V121-S121,V121),MAX(V121,AE120)))</f>
        <v/>
      </c>
      <c r="AF121" s="42" t="str">
        <f aca="false">IF($B121="","",V121-AE121)</f>
        <v/>
      </c>
      <c r="AG121" s="36" t="str">
        <f aca="false">IF($B121="","",IF(O121&lt;&gt;O120,IF(T121="G",1,-1),IF(T121="G",IF(N(AG120)&gt;0,AG120+1,1),IF(N(AG120)&lt;0,AG120-1,-1))))</f>
        <v/>
      </c>
    </row>
    <row r="122" customFormat="false" ht="15" hidden="false" customHeight="false" outlineLevel="0" collapsed="false">
      <c r="A122" s="36" t="str">
        <f aca="false">IF(B122="","",ROW()-6)</f>
        <v/>
      </c>
      <c r="B122" s="37"/>
      <c r="C122" s="38"/>
      <c r="D122" s="38"/>
      <c r="E122" s="39"/>
      <c r="F122" s="39"/>
      <c r="G122" s="39"/>
      <c r="H122" s="40"/>
      <c r="I122" s="40"/>
      <c r="J122" s="40"/>
      <c r="K122" s="40"/>
      <c r="L122" s="39"/>
      <c r="M122" s="40"/>
      <c r="N122" s="40"/>
      <c r="O122" s="36" t="str">
        <f aca="false">IF($B122="","",INT((A122-1)/Parametros!$C$10)+1)</f>
        <v/>
      </c>
      <c r="P122" s="41" t="str">
        <f aca="false">IF($B122="","",IF(OR(C122="",D122=""),"",ROUND((D122-C122)*1440,0)))</f>
        <v/>
      </c>
      <c r="Q122" s="42" t="str">
        <f aca="false">IF($B122="","",I122*VLOOKUP(E122,Parametros!$B$18:$D$24,2,FALSE()))</f>
        <v/>
      </c>
      <c r="R122" s="42" t="str">
        <f aca="false">IF($B122="","",G122*VLOOKUP(E122,Parametros!$B$18:$D$24,3,FALSE()))</f>
        <v/>
      </c>
      <c r="S122" s="42" t="str">
        <f aca="false">IF($B122="","",Q122-R122)</f>
        <v/>
      </c>
      <c r="T122" s="43" t="str">
        <f aca="false">IF($B122="","",IF(S122&gt;0,"G","P"))</f>
        <v/>
      </c>
      <c r="U122" s="44" t="str">
        <f aca="false">IF($B122="","",S122/Parametros!$C$8)</f>
        <v/>
      </c>
      <c r="V122" s="42" t="str">
        <f aca="false">IF($B122="","",Parametros!$C$6+SUM($S$7:S122))</f>
        <v/>
      </c>
      <c r="W122" s="42" t="str">
        <f aca="false">IF($B122="","",MAX(V122,W121))</f>
        <v/>
      </c>
      <c r="X122" s="42" t="str">
        <f aca="false">IF($B122="","",V122-W122)</f>
        <v/>
      </c>
      <c r="Y122" s="45" t="str">
        <f aca="false">IF($B122="","",X122/W122)</f>
        <v/>
      </c>
      <c r="Z122" s="36" t="str">
        <f aca="false">IF($B122="","",IF(T122="G",IF(N(Z121)&gt;0,Z121+1,1),IF(N(Z121)&lt;0,Z121-1,-1)))</f>
        <v/>
      </c>
      <c r="AA122" s="46" t="str">
        <f aca="false">IF($B122="","",B122-WEEKDAY(B122,2)+1)</f>
        <v/>
      </c>
      <c r="AB122" s="47" t="str">
        <f aca="false">IF($B122="","",DATE(YEAR(B122),MONTH(B122),1))</f>
        <v/>
      </c>
      <c r="AC122" s="41" t="str">
        <f aca="false">IF($B122="","",CHOOSE(WEEKDAY(B122,2),"Lunes","Martes","Miércoles","Jueves","Viernes","Sábado","Domingo"))</f>
        <v/>
      </c>
      <c r="AD122" s="36" t="str">
        <f aca="false">IF($B122="","",HOUR(C122))</f>
        <v/>
      </c>
      <c r="AE122" s="42" t="str">
        <f aca="false">IF($B122="","",IF(O122&lt;&gt;O121,MAX(V122-S122,V122),MAX(V122,AE121)))</f>
        <v/>
      </c>
      <c r="AF122" s="42" t="str">
        <f aca="false">IF($B122="","",V122-AE122)</f>
        <v/>
      </c>
      <c r="AG122" s="36" t="str">
        <f aca="false">IF($B122="","",IF(O122&lt;&gt;O121,IF(T122="G",1,-1),IF(T122="G",IF(N(AG121)&gt;0,AG121+1,1),IF(N(AG121)&lt;0,AG121-1,-1))))</f>
        <v/>
      </c>
    </row>
    <row r="123" customFormat="false" ht="15" hidden="false" customHeight="false" outlineLevel="0" collapsed="false">
      <c r="A123" s="36" t="str">
        <f aca="false">IF(B123="","",ROW()-6)</f>
        <v/>
      </c>
      <c r="B123" s="37"/>
      <c r="C123" s="38"/>
      <c r="D123" s="38"/>
      <c r="E123" s="39"/>
      <c r="F123" s="39"/>
      <c r="G123" s="39"/>
      <c r="H123" s="40"/>
      <c r="I123" s="40"/>
      <c r="J123" s="40"/>
      <c r="K123" s="40"/>
      <c r="L123" s="39"/>
      <c r="M123" s="40"/>
      <c r="N123" s="40"/>
      <c r="O123" s="36" t="str">
        <f aca="false">IF($B123="","",INT((A123-1)/Parametros!$C$10)+1)</f>
        <v/>
      </c>
      <c r="P123" s="41" t="str">
        <f aca="false">IF($B123="","",IF(OR(C123="",D123=""),"",ROUND((D123-C123)*1440,0)))</f>
        <v/>
      </c>
      <c r="Q123" s="42" t="str">
        <f aca="false">IF($B123="","",I123*VLOOKUP(E123,Parametros!$B$18:$D$24,2,FALSE()))</f>
        <v/>
      </c>
      <c r="R123" s="42" t="str">
        <f aca="false">IF($B123="","",G123*VLOOKUP(E123,Parametros!$B$18:$D$24,3,FALSE()))</f>
        <v/>
      </c>
      <c r="S123" s="42" t="str">
        <f aca="false">IF($B123="","",Q123-R123)</f>
        <v/>
      </c>
      <c r="T123" s="43" t="str">
        <f aca="false">IF($B123="","",IF(S123&gt;0,"G","P"))</f>
        <v/>
      </c>
      <c r="U123" s="44" t="str">
        <f aca="false">IF($B123="","",S123/Parametros!$C$8)</f>
        <v/>
      </c>
      <c r="V123" s="42" t="str">
        <f aca="false">IF($B123="","",Parametros!$C$6+SUM($S$7:S123))</f>
        <v/>
      </c>
      <c r="W123" s="42" t="str">
        <f aca="false">IF($B123="","",MAX(V123,W122))</f>
        <v/>
      </c>
      <c r="X123" s="42" t="str">
        <f aca="false">IF($B123="","",V123-W123)</f>
        <v/>
      </c>
      <c r="Y123" s="45" t="str">
        <f aca="false">IF($B123="","",X123/W123)</f>
        <v/>
      </c>
      <c r="Z123" s="36" t="str">
        <f aca="false">IF($B123="","",IF(T123="G",IF(N(Z122)&gt;0,Z122+1,1),IF(N(Z122)&lt;0,Z122-1,-1)))</f>
        <v/>
      </c>
      <c r="AA123" s="46" t="str">
        <f aca="false">IF($B123="","",B123-WEEKDAY(B123,2)+1)</f>
        <v/>
      </c>
      <c r="AB123" s="47" t="str">
        <f aca="false">IF($B123="","",DATE(YEAR(B123),MONTH(B123),1))</f>
        <v/>
      </c>
      <c r="AC123" s="41" t="str">
        <f aca="false">IF($B123="","",CHOOSE(WEEKDAY(B123,2),"Lunes","Martes","Miércoles","Jueves","Viernes","Sábado","Domingo"))</f>
        <v/>
      </c>
      <c r="AD123" s="36" t="str">
        <f aca="false">IF($B123="","",HOUR(C123))</f>
        <v/>
      </c>
      <c r="AE123" s="42" t="str">
        <f aca="false">IF($B123="","",IF(O123&lt;&gt;O122,MAX(V123-S123,V123),MAX(V123,AE122)))</f>
        <v/>
      </c>
      <c r="AF123" s="42" t="str">
        <f aca="false">IF($B123="","",V123-AE123)</f>
        <v/>
      </c>
      <c r="AG123" s="36" t="str">
        <f aca="false">IF($B123="","",IF(O123&lt;&gt;O122,IF(T123="G",1,-1),IF(T123="G",IF(N(AG122)&gt;0,AG122+1,1),IF(N(AG122)&lt;0,AG122-1,-1))))</f>
        <v/>
      </c>
    </row>
    <row r="124" customFormat="false" ht="15" hidden="false" customHeight="false" outlineLevel="0" collapsed="false">
      <c r="A124" s="36" t="str">
        <f aca="false">IF(B124="","",ROW()-6)</f>
        <v/>
      </c>
      <c r="B124" s="37"/>
      <c r="C124" s="38"/>
      <c r="D124" s="38"/>
      <c r="E124" s="39"/>
      <c r="F124" s="39"/>
      <c r="G124" s="39"/>
      <c r="H124" s="40"/>
      <c r="I124" s="40"/>
      <c r="J124" s="40"/>
      <c r="K124" s="40"/>
      <c r="L124" s="39"/>
      <c r="M124" s="40"/>
      <c r="N124" s="40"/>
      <c r="O124" s="36" t="str">
        <f aca="false">IF($B124="","",INT((A124-1)/Parametros!$C$10)+1)</f>
        <v/>
      </c>
      <c r="P124" s="41" t="str">
        <f aca="false">IF($B124="","",IF(OR(C124="",D124=""),"",ROUND((D124-C124)*1440,0)))</f>
        <v/>
      </c>
      <c r="Q124" s="42" t="str">
        <f aca="false">IF($B124="","",I124*VLOOKUP(E124,Parametros!$B$18:$D$24,2,FALSE()))</f>
        <v/>
      </c>
      <c r="R124" s="42" t="str">
        <f aca="false">IF($B124="","",G124*VLOOKUP(E124,Parametros!$B$18:$D$24,3,FALSE()))</f>
        <v/>
      </c>
      <c r="S124" s="42" t="str">
        <f aca="false">IF($B124="","",Q124-R124)</f>
        <v/>
      </c>
      <c r="T124" s="43" t="str">
        <f aca="false">IF($B124="","",IF(S124&gt;0,"G","P"))</f>
        <v/>
      </c>
      <c r="U124" s="44" t="str">
        <f aca="false">IF($B124="","",S124/Parametros!$C$8)</f>
        <v/>
      </c>
      <c r="V124" s="42" t="str">
        <f aca="false">IF($B124="","",Parametros!$C$6+SUM($S$7:S124))</f>
        <v/>
      </c>
      <c r="W124" s="42" t="str">
        <f aca="false">IF($B124="","",MAX(V124,W123))</f>
        <v/>
      </c>
      <c r="X124" s="42" t="str">
        <f aca="false">IF($B124="","",V124-W124)</f>
        <v/>
      </c>
      <c r="Y124" s="45" t="str">
        <f aca="false">IF($B124="","",X124/W124)</f>
        <v/>
      </c>
      <c r="Z124" s="36" t="str">
        <f aca="false">IF($B124="","",IF(T124="G",IF(N(Z123)&gt;0,Z123+1,1),IF(N(Z123)&lt;0,Z123-1,-1)))</f>
        <v/>
      </c>
      <c r="AA124" s="46" t="str">
        <f aca="false">IF($B124="","",B124-WEEKDAY(B124,2)+1)</f>
        <v/>
      </c>
      <c r="AB124" s="47" t="str">
        <f aca="false">IF($B124="","",DATE(YEAR(B124),MONTH(B124),1))</f>
        <v/>
      </c>
      <c r="AC124" s="41" t="str">
        <f aca="false">IF($B124="","",CHOOSE(WEEKDAY(B124,2),"Lunes","Martes","Miércoles","Jueves","Viernes","Sábado","Domingo"))</f>
        <v/>
      </c>
      <c r="AD124" s="36" t="str">
        <f aca="false">IF($B124="","",HOUR(C124))</f>
        <v/>
      </c>
      <c r="AE124" s="42" t="str">
        <f aca="false">IF($B124="","",IF(O124&lt;&gt;O123,MAX(V124-S124,V124),MAX(V124,AE123)))</f>
        <v/>
      </c>
      <c r="AF124" s="42" t="str">
        <f aca="false">IF($B124="","",V124-AE124)</f>
        <v/>
      </c>
      <c r="AG124" s="36" t="str">
        <f aca="false">IF($B124="","",IF(O124&lt;&gt;O123,IF(T124="G",1,-1),IF(T124="G",IF(N(AG123)&gt;0,AG123+1,1),IF(N(AG123)&lt;0,AG123-1,-1))))</f>
        <v/>
      </c>
    </row>
    <row r="125" customFormat="false" ht="15" hidden="false" customHeight="false" outlineLevel="0" collapsed="false">
      <c r="A125" s="36" t="str">
        <f aca="false">IF(B125="","",ROW()-6)</f>
        <v/>
      </c>
      <c r="B125" s="37"/>
      <c r="C125" s="38"/>
      <c r="D125" s="38"/>
      <c r="E125" s="39"/>
      <c r="F125" s="39"/>
      <c r="G125" s="39"/>
      <c r="H125" s="40"/>
      <c r="I125" s="40"/>
      <c r="J125" s="40"/>
      <c r="K125" s="40"/>
      <c r="L125" s="39"/>
      <c r="M125" s="40"/>
      <c r="N125" s="40"/>
      <c r="O125" s="36" t="str">
        <f aca="false">IF($B125="","",INT((A125-1)/Parametros!$C$10)+1)</f>
        <v/>
      </c>
      <c r="P125" s="41" t="str">
        <f aca="false">IF($B125="","",IF(OR(C125="",D125=""),"",ROUND((D125-C125)*1440,0)))</f>
        <v/>
      </c>
      <c r="Q125" s="42" t="str">
        <f aca="false">IF($B125="","",I125*VLOOKUP(E125,Parametros!$B$18:$D$24,2,FALSE()))</f>
        <v/>
      </c>
      <c r="R125" s="42" t="str">
        <f aca="false">IF($B125="","",G125*VLOOKUP(E125,Parametros!$B$18:$D$24,3,FALSE()))</f>
        <v/>
      </c>
      <c r="S125" s="42" t="str">
        <f aca="false">IF($B125="","",Q125-R125)</f>
        <v/>
      </c>
      <c r="T125" s="43" t="str">
        <f aca="false">IF($B125="","",IF(S125&gt;0,"G","P"))</f>
        <v/>
      </c>
      <c r="U125" s="44" t="str">
        <f aca="false">IF($B125="","",S125/Parametros!$C$8)</f>
        <v/>
      </c>
      <c r="V125" s="42" t="str">
        <f aca="false">IF($B125="","",Parametros!$C$6+SUM($S$7:S125))</f>
        <v/>
      </c>
      <c r="W125" s="42" t="str">
        <f aca="false">IF($B125="","",MAX(V125,W124))</f>
        <v/>
      </c>
      <c r="X125" s="42" t="str">
        <f aca="false">IF($B125="","",V125-W125)</f>
        <v/>
      </c>
      <c r="Y125" s="45" t="str">
        <f aca="false">IF($B125="","",X125/W125)</f>
        <v/>
      </c>
      <c r="Z125" s="36" t="str">
        <f aca="false">IF($B125="","",IF(T125="G",IF(N(Z124)&gt;0,Z124+1,1),IF(N(Z124)&lt;0,Z124-1,-1)))</f>
        <v/>
      </c>
      <c r="AA125" s="46" t="str">
        <f aca="false">IF($B125="","",B125-WEEKDAY(B125,2)+1)</f>
        <v/>
      </c>
      <c r="AB125" s="47" t="str">
        <f aca="false">IF($B125="","",DATE(YEAR(B125),MONTH(B125),1))</f>
        <v/>
      </c>
      <c r="AC125" s="41" t="str">
        <f aca="false">IF($B125="","",CHOOSE(WEEKDAY(B125,2),"Lunes","Martes","Miércoles","Jueves","Viernes","Sábado","Domingo"))</f>
        <v/>
      </c>
      <c r="AD125" s="36" t="str">
        <f aca="false">IF($B125="","",HOUR(C125))</f>
        <v/>
      </c>
      <c r="AE125" s="42" t="str">
        <f aca="false">IF($B125="","",IF(O125&lt;&gt;O124,MAX(V125-S125,V125),MAX(V125,AE124)))</f>
        <v/>
      </c>
      <c r="AF125" s="42" t="str">
        <f aca="false">IF($B125="","",V125-AE125)</f>
        <v/>
      </c>
      <c r="AG125" s="36" t="str">
        <f aca="false">IF($B125="","",IF(O125&lt;&gt;O124,IF(T125="G",1,-1),IF(T125="G",IF(N(AG124)&gt;0,AG124+1,1),IF(N(AG124)&lt;0,AG124-1,-1))))</f>
        <v/>
      </c>
    </row>
    <row r="126" customFormat="false" ht="15" hidden="false" customHeight="false" outlineLevel="0" collapsed="false">
      <c r="A126" s="36" t="str">
        <f aca="false">IF(B126="","",ROW()-6)</f>
        <v/>
      </c>
      <c r="B126" s="37"/>
      <c r="C126" s="38"/>
      <c r="D126" s="38"/>
      <c r="E126" s="39"/>
      <c r="F126" s="39"/>
      <c r="G126" s="39"/>
      <c r="H126" s="40"/>
      <c r="I126" s="40"/>
      <c r="J126" s="40"/>
      <c r="K126" s="40"/>
      <c r="L126" s="39"/>
      <c r="M126" s="40"/>
      <c r="N126" s="40"/>
      <c r="O126" s="36" t="str">
        <f aca="false">IF($B126="","",INT((A126-1)/Parametros!$C$10)+1)</f>
        <v/>
      </c>
      <c r="P126" s="41" t="str">
        <f aca="false">IF($B126="","",IF(OR(C126="",D126=""),"",ROUND((D126-C126)*1440,0)))</f>
        <v/>
      </c>
      <c r="Q126" s="42" t="str">
        <f aca="false">IF($B126="","",I126*VLOOKUP(E126,Parametros!$B$18:$D$24,2,FALSE()))</f>
        <v/>
      </c>
      <c r="R126" s="42" t="str">
        <f aca="false">IF($B126="","",G126*VLOOKUP(E126,Parametros!$B$18:$D$24,3,FALSE()))</f>
        <v/>
      </c>
      <c r="S126" s="42" t="str">
        <f aca="false">IF($B126="","",Q126-R126)</f>
        <v/>
      </c>
      <c r="T126" s="43" t="str">
        <f aca="false">IF($B126="","",IF(S126&gt;0,"G","P"))</f>
        <v/>
      </c>
      <c r="U126" s="44" t="str">
        <f aca="false">IF($B126="","",S126/Parametros!$C$8)</f>
        <v/>
      </c>
      <c r="V126" s="42" t="str">
        <f aca="false">IF($B126="","",Parametros!$C$6+SUM($S$7:S126))</f>
        <v/>
      </c>
      <c r="W126" s="42" t="str">
        <f aca="false">IF($B126="","",MAX(V126,W125))</f>
        <v/>
      </c>
      <c r="X126" s="42" t="str">
        <f aca="false">IF($B126="","",V126-W126)</f>
        <v/>
      </c>
      <c r="Y126" s="45" t="str">
        <f aca="false">IF($B126="","",X126/W126)</f>
        <v/>
      </c>
      <c r="Z126" s="36" t="str">
        <f aca="false">IF($B126="","",IF(T126="G",IF(N(Z125)&gt;0,Z125+1,1),IF(N(Z125)&lt;0,Z125-1,-1)))</f>
        <v/>
      </c>
      <c r="AA126" s="46" t="str">
        <f aca="false">IF($B126="","",B126-WEEKDAY(B126,2)+1)</f>
        <v/>
      </c>
      <c r="AB126" s="47" t="str">
        <f aca="false">IF($B126="","",DATE(YEAR(B126),MONTH(B126),1))</f>
        <v/>
      </c>
      <c r="AC126" s="41" t="str">
        <f aca="false">IF($B126="","",CHOOSE(WEEKDAY(B126,2),"Lunes","Martes","Miércoles","Jueves","Viernes","Sábado","Domingo"))</f>
        <v/>
      </c>
      <c r="AD126" s="36" t="str">
        <f aca="false">IF($B126="","",HOUR(C126))</f>
        <v/>
      </c>
      <c r="AE126" s="42" t="str">
        <f aca="false">IF($B126="","",IF(O126&lt;&gt;O125,MAX(V126-S126,V126),MAX(V126,AE125)))</f>
        <v/>
      </c>
      <c r="AF126" s="42" t="str">
        <f aca="false">IF($B126="","",V126-AE126)</f>
        <v/>
      </c>
      <c r="AG126" s="36" t="str">
        <f aca="false">IF($B126="","",IF(O126&lt;&gt;O125,IF(T126="G",1,-1),IF(T126="G",IF(N(AG125)&gt;0,AG125+1,1),IF(N(AG125)&lt;0,AG125-1,-1))))</f>
        <v/>
      </c>
    </row>
    <row r="127" customFormat="false" ht="15" hidden="false" customHeight="false" outlineLevel="0" collapsed="false">
      <c r="A127" s="36" t="str">
        <f aca="false">IF(B127="","",ROW()-6)</f>
        <v/>
      </c>
      <c r="B127" s="37"/>
      <c r="C127" s="38"/>
      <c r="D127" s="38"/>
      <c r="E127" s="39"/>
      <c r="F127" s="39"/>
      <c r="G127" s="39"/>
      <c r="H127" s="40"/>
      <c r="I127" s="40"/>
      <c r="J127" s="40"/>
      <c r="K127" s="40"/>
      <c r="L127" s="39"/>
      <c r="M127" s="40"/>
      <c r="N127" s="40"/>
      <c r="O127" s="36" t="str">
        <f aca="false">IF($B127="","",INT((A127-1)/Parametros!$C$10)+1)</f>
        <v/>
      </c>
      <c r="P127" s="41" t="str">
        <f aca="false">IF($B127="","",IF(OR(C127="",D127=""),"",ROUND((D127-C127)*1440,0)))</f>
        <v/>
      </c>
      <c r="Q127" s="42" t="str">
        <f aca="false">IF($B127="","",I127*VLOOKUP(E127,Parametros!$B$18:$D$24,2,FALSE()))</f>
        <v/>
      </c>
      <c r="R127" s="42" t="str">
        <f aca="false">IF($B127="","",G127*VLOOKUP(E127,Parametros!$B$18:$D$24,3,FALSE()))</f>
        <v/>
      </c>
      <c r="S127" s="42" t="str">
        <f aca="false">IF($B127="","",Q127-R127)</f>
        <v/>
      </c>
      <c r="T127" s="43" t="str">
        <f aca="false">IF($B127="","",IF(S127&gt;0,"G","P"))</f>
        <v/>
      </c>
      <c r="U127" s="44" t="str">
        <f aca="false">IF($B127="","",S127/Parametros!$C$8)</f>
        <v/>
      </c>
      <c r="V127" s="42" t="str">
        <f aca="false">IF($B127="","",Parametros!$C$6+SUM($S$7:S127))</f>
        <v/>
      </c>
      <c r="W127" s="42" t="str">
        <f aca="false">IF($B127="","",MAX(V127,W126))</f>
        <v/>
      </c>
      <c r="X127" s="42" t="str">
        <f aca="false">IF($B127="","",V127-W127)</f>
        <v/>
      </c>
      <c r="Y127" s="45" t="str">
        <f aca="false">IF($B127="","",X127/W127)</f>
        <v/>
      </c>
      <c r="Z127" s="36" t="str">
        <f aca="false">IF($B127="","",IF(T127="G",IF(N(Z126)&gt;0,Z126+1,1),IF(N(Z126)&lt;0,Z126-1,-1)))</f>
        <v/>
      </c>
      <c r="AA127" s="46" t="str">
        <f aca="false">IF($B127="","",B127-WEEKDAY(B127,2)+1)</f>
        <v/>
      </c>
      <c r="AB127" s="47" t="str">
        <f aca="false">IF($B127="","",DATE(YEAR(B127),MONTH(B127),1))</f>
        <v/>
      </c>
      <c r="AC127" s="41" t="str">
        <f aca="false">IF($B127="","",CHOOSE(WEEKDAY(B127,2),"Lunes","Martes","Miércoles","Jueves","Viernes","Sábado","Domingo"))</f>
        <v/>
      </c>
      <c r="AD127" s="36" t="str">
        <f aca="false">IF($B127="","",HOUR(C127))</f>
        <v/>
      </c>
      <c r="AE127" s="42" t="str">
        <f aca="false">IF($B127="","",IF(O127&lt;&gt;O126,MAX(V127-S127,V127),MAX(V127,AE126)))</f>
        <v/>
      </c>
      <c r="AF127" s="42" t="str">
        <f aca="false">IF($B127="","",V127-AE127)</f>
        <v/>
      </c>
      <c r="AG127" s="36" t="str">
        <f aca="false">IF($B127="","",IF(O127&lt;&gt;O126,IF(T127="G",1,-1),IF(T127="G",IF(N(AG126)&gt;0,AG126+1,1),IF(N(AG126)&lt;0,AG126-1,-1))))</f>
        <v/>
      </c>
    </row>
    <row r="128" customFormat="false" ht="15" hidden="false" customHeight="false" outlineLevel="0" collapsed="false">
      <c r="A128" s="36" t="str">
        <f aca="false">IF(B128="","",ROW()-6)</f>
        <v/>
      </c>
      <c r="B128" s="37"/>
      <c r="C128" s="38"/>
      <c r="D128" s="38"/>
      <c r="E128" s="39"/>
      <c r="F128" s="39"/>
      <c r="G128" s="39"/>
      <c r="H128" s="40"/>
      <c r="I128" s="40"/>
      <c r="J128" s="40"/>
      <c r="K128" s="40"/>
      <c r="L128" s="39"/>
      <c r="M128" s="40"/>
      <c r="N128" s="40"/>
      <c r="O128" s="36" t="str">
        <f aca="false">IF($B128="","",INT((A128-1)/Parametros!$C$10)+1)</f>
        <v/>
      </c>
      <c r="P128" s="41" t="str">
        <f aca="false">IF($B128="","",IF(OR(C128="",D128=""),"",ROUND((D128-C128)*1440,0)))</f>
        <v/>
      </c>
      <c r="Q128" s="42" t="str">
        <f aca="false">IF($B128="","",I128*VLOOKUP(E128,Parametros!$B$18:$D$24,2,FALSE()))</f>
        <v/>
      </c>
      <c r="R128" s="42" t="str">
        <f aca="false">IF($B128="","",G128*VLOOKUP(E128,Parametros!$B$18:$D$24,3,FALSE()))</f>
        <v/>
      </c>
      <c r="S128" s="42" t="str">
        <f aca="false">IF($B128="","",Q128-R128)</f>
        <v/>
      </c>
      <c r="T128" s="43" t="str">
        <f aca="false">IF($B128="","",IF(S128&gt;0,"G","P"))</f>
        <v/>
      </c>
      <c r="U128" s="44" t="str">
        <f aca="false">IF($B128="","",S128/Parametros!$C$8)</f>
        <v/>
      </c>
      <c r="V128" s="42" t="str">
        <f aca="false">IF($B128="","",Parametros!$C$6+SUM($S$7:S128))</f>
        <v/>
      </c>
      <c r="W128" s="42" t="str">
        <f aca="false">IF($B128="","",MAX(V128,W127))</f>
        <v/>
      </c>
      <c r="X128" s="42" t="str">
        <f aca="false">IF($B128="","",V128-W128)</f>
        <v/>
      </c>
      <c r="Y128" s="45" t="str">
        <f aca="false">IF($B128="","",X128/W128)</f>
        <v/>
      </c>
      <c r="Z128" s="36" t="str">
        <f aca="false">IF($B128="","",IF(T128="G",IF(N(Z127)&gt;0,Z127+1,1),IF(N(Z127)&lt;0,Z127-1,-1)))</f>
        <v/>
      </c>
      <c r="AA128" s="46" t="str">
        <f aca="false">IF($B128="","",B128-WEEKDAY(B128,2)+1)</f>
        <v/>
      </c>
      <c r="AB128" s="47" t="str">
        <f aca="false">IF($B128="","",DATE(YEAR(B128),MONTH(B128),1))</f>
        <v/>
      </c>
      <c r="AC128" s="41" t="str">
        <f aca="false">IF($B128="","",CHOOSE(WEEKDAY(B128,2),"Lunes","Martes","Miércoles","Jueves","Viernes","Sábado","Domingo"))</f>
        <v/>
      </c>
      <c r="AD128" s="36" t="str">
        <f aca="false">IF($B128="","",HOUR(C128))</f>
        <v/>
      </c>
      <c r="AE128" s="42" t="str">
        <f aca="false">IF($B128="","",IF(O128&lt;&gt;O127,MAX(V128-S128,V128),MAX(V128,AE127)))</f>
        <v/>
      </c>
      <c r="AF128" s="42" t="str">
        <f aca="false">IF($B128="","",V128-AE128)</f>
        <v/>
      </c>
      <c r="AG128" s="36" t="str">
        <f aca="false">IF($B128="","",IF(O128&lt;&gt;O127,IF(T128="G",1,-1),IF(T128="G",IF(N(AG127)&gt;0,AG127+1,1),IF(N(AG127)&lt;0,AG127-1,-1))))</f>
        <v/>
      </c>
    </row>
    <row r="129" customFormat="false" ht="15" hidden="false" customHeight="false" outlineLevel="0" collapsed="false">
      <c r="A129" s="36" t="str">
        <f aca="false">IF(B129="","",ROW()-6)</f>
        <v/>
      </c>
      <c r="B129" s="37"/>
      <c r="C129" s="38"/>
      <c r="D129" s="38"/>
      <c r="E129" s="39"/>
      <c r="F129" s="39"/>
      <c r="G129" s="39"/>
      <c r="H129" s="40"/>
      <c r="I129" s="40"/>
      <c r="J129" s="40"/>
      <c r="K129" s="40"/>
      <c r="L129" s="39"/>
      <c r="M129" s="40"/>
      <c r="N129" s="40"/>
      <c r="O129" s="36" t="str">
        <f aca="false">IF($B129="","",INT((A129-1)/Parametros!$C$10)+1)</f>
        <v/>
      </c>
      <c r="P129" s="41" t="str">
        <f aca="false">IF($B129="","",IF(OR(C129="",D129=""),"",ROUND((D129-C129)*1440,0)))</f>
        <v/>
      </c>
      <c r="Q129" s="42" t="str">
        <f aca="false">IF($B129="","",I129*VLOOKUP(E129,Parametros!$B$18:$D$24,2,FALSE()))</f>
        <v/>
      </c>
      <c r="R129" s="42" t="str">
        <f aca="false">IF($B129="","",G129*VLOOKUP(E129,Parametros!$B$18:$D$24,3,FALSE()))</f>
        <v/>
      </c>
      <c r="S129" s="42" t="str">
        <f aca="false">IF($B129="","",Q129-R129)</f>
        <v/>
      </c>
      <c r="T129" s="43" t="str">
        <f aca="false">IF($B129="","",IF(S129&gt;0,"G","P"))</f>
        <v/>
      </c>
      <c r="U129" s="44" t="str">
        <f aca="false">IF($B129="","",S129/Parametros!$C$8)</f>
        <v/>
      </c>
      <c r="V129" s="42" t="str">
        <f aca="false">IF($B129="","",Parametros!$C$6+SUM($S$7:S129))</f>
        <v/>
      </c>
      <c r="W129" s="42" t="str">
        <f aca="false">IF($B129="","",MAX(V129,W128))</f>
        <v/>
      </c>
      <c r="X129" s="42" t="str">
        <f aca="false">IF($B129="","",V129-W129)</f>
        <v/>
      </c>
      <c r="Y129" s="45" t="str">
        <f aca="false">IF($B129="","",X129/W129)</f>
        <v/>
      </c>
      <c r="Z129" s="36" t="str">
        <f aca="false">IF($B129="","",IF(T129="G",IF(N(Z128)&gt;0,Z128+1,1),IF(N(Z128)&lt;0,Z128-1,-1)))</f>
        <v/>
      </c>
      <c r="AA129" s="46" t="str">
        <f aca="false">IF($B129="","",B129-WEEKDAY(B129,2)+1)</f>
        <v/>
      </c>
      <c r="AB129" s="47" t="str">
        <f aca="false">IF($B129="","",DATE(YEAR(B129),MONTH(B129),1))</f>
        <v/>
      </c>
      <c r="AC129" s="41" t="str">
        <f aca="false">IF($B129="","",CHOOSE(WEEKDAY(B129,2),"Lunes","Martes","Miércoles","Jueves","Viernes","Sábado","Domingo"))</f>
        <v/>
      </c>
      <c r="AD129" s="36" t="str">
        <f aca="false">IF($B129="","",HOUR(C129))</f>
        <v/>
      </c>
      <c r="AE129" s="42" t="str">
        <f aca="false">IF($B129="","",IF(O129&lt;&gt;O128,MAX(V129-S129,V129),MAX(V129,AE128)))</f>
        <v/>
      </c>
      <c r="AF129" s="42" t="str">
        <f aca="false">IF($B129="","",V129-AE129)</f>
        <v/>
      </c>
      <c r="AG129" s="36" t="str">
        <f aca="false">IF($B129="","",IF(O129&lt;&gt;O128,IF(T129="G",1,-1),IF(T129="G",IF(N(AG128)&gt;0,AG128+1,1),IF(N(AG128)&lt;0,AG128-1,-1))))</f>
        <v/>
      </c>
    </row>
    <row r="130" customFormat="false" ht="15" hidden="false" customHeight="false" outlineLevel="0" collapsed="false">
      <c r="A130" s="36" t="str">
        <f aca="false">IF(B130="","",ROW()-6)</f>
        <v/>
      </c>
      <c r="B130" s="37"/>
      <c r="C130" s="38"/>
      <c r="D130" s="38"/>
      <c r="E130" s="39"/>
      <c r="F130" s="39"/>
      <c r="G130" s="39"/>
      <c r="H130" s="40"/>
      <c r="I130" s="40"/>
      <c r="J130" s="40"/>
      <c r="K130" s="40"/>
      <c r="L130" s="39"/>
      <c r="M130" s="40"/>
      <c r="N130" s="40"/>
      <c r="O130" s="36" t="str">
        <f aca="false">IF($B130="","",INT((A130-1)/Parametros!$C$10)+1)</f>
        <v/>
      </c>
      <c r="P130" s="41" t="str">
        <f aca="false">IF($B130="","",IF(OR(C130="",D130=""),"",ROUND((D130-C130)*1440,0)))</f>
        <v/>
      </c>
      <c r="Q130" s="42" t="str">
        <f aca="false">IF($B130="","",I130*VLOOKUP(E130,Parametros!$B$18:$D$24,2,FALSE()))</f>
        <v/>
      </c>
      <c r="R130" s="42" t="str">
        <f aca="false">IF($B130="","",G130*VLOOKUP(E130,Parametros!$B$18:$D$24,3,FALSE()))</f>
        <v/>
      </c>
      <c r="S130" s="42" t="str">
        <f aca="false">IF($B130="","",Q130-R130)</f>
        <v/>
      </c>
      <c r="T130" s="43" t="str">
        <f aca="false">IF($B130="","",IF(S130&gt;0,"G","P"))</f>
        <v/>
      </c>
      <c r="U130" s="44" t="str">
        <f aca="false">IF($B130="","",S130/Parametros!$C$8)</f>
        <v/>
      </c>
      <c r="V130" s="42" t="str">
        <f aca="false">IF($B130="","",Parametros!$C$6+SUM($S$7:S130))</f>
        <v/>
      </c>
      <c r="W130" s="42" t="str">
        <f aca="false">IF($B130="","",MAX(V130,W129))</f>
        <v/>
      </c>
      <c r="X130" s="42" t="str">
        <f aca="false">IF($B130="","",V130-W130)</f>
        <v/>
      </c>
      <c r="Y130" s="45" t="str">
        <f aca="false">IF($B130="","",X130/W130)</f>
        <v/>
      </c>
      <c r="Z130" s="36" t="str">
        <f aca="false">IF($B130="","",IF(T130="G",IF(N(Z129)&gt;0,Z129+1,1),IF(N(Z129)&lt;0,Z129-1,-1)))</f>
        <v/>
      </c>
      <c r="AA130" s="46" t="str">
        <f aca="false">IF($B130="","",B130-WEEKDAY(B130,2)+1)</f>
        <v/>
      </c>
      <c r="AB130" s="47" t="str">
        <f aca="false">IF($B130="","",DATE(YEAR(B130),MONTH(B130),1))</f>
        <v/>
      </c>
      <c r="AC130" s="41" t="str">
        <f aca="false">IF($B130="","",CHOOSE(WEEKDAY(B130,2),"Lunes","Martes","Miércoles","Jueves","Viernes","Sábado","Domingo"))</f>
        <v/>
      </c>
      <c r="AD130" s="36" t="str">
        <f aca="false">IF($B130="","",HOUR(C130))</f>
        <v/>
      </c>
      <c r="AE130" s="42" t="str">
        <f aca="false">IF($B130="","",IF(O130&lt;&gt;O129,MAX(V130-S130,V130),MAX(V130,AE129)))</f>
        <v/>
      </c>
      <c r="AF130" s="42" t="str">
        <f aca="false">IF($B130="","",V130-AE130)</f>
        <v/>
      </c>
      <c r="AG130" s="36" t="str">
        <f aca="false">IF($B130="","",IF(O130&lt;&gt;O129,IF(T130="G",1,-1),IF(T130="G",IF(N(AG129)&gt;0,AG129+1,1),IF(N(AG129)&lt;0,AG129-1,-1))))</f>
        <v/>
      </c>
    </row>
    <row r="131" customFormat="false" ht="15" hidden="false" customHeight="false" outlineLevel="0" collapsed="false">
      <c r="A131" s="36" t="str">
        <f aca="false">IF(B131="","",ROW()-6)</f>
        <v/>
      </c>
      <c r="B131" s="37"/>
      <c r="C131" s="38"/>
      <c r="D131" s="38"/>
      <c r="E131" s="39"/>
      <c r="F131" s="39"/>
      <c r="G131" s="39"/>
      <c r="H131" s="40"/>
      <c r="I131" s="40"/>
      <c r="J131" s="40"/>
      <c r="K131" s="40"/>
      <c r="L131" s="39"/>
      <c r="M131" s="40"/>
      <c r="N131" s="40"/>
      <c r="O131" s="36" t="str">
        <f aca="false">IF($B131="","",INT((A131-1)/Parametros!$C$10)+1)</f>
        <v/>
      </c>
      <c r="P131" s="41" t="str">
        <f aca="false">IF($B131="","",IF(OR(C131="",D131=""),"",ROUND((D131-C131)*1440,0)))</f>
        <v/>
      </c>
      <c r="Q131" s="42" t="str">
        <f aca="false">IF($B131="","",I131*VLOOKUP(E131,Parametros!$B$18:$D$24,2,FALSE()))</f>
        <v/>
      </c>
      <c r="R131" s="42" t="str">
        <f aca="false">IF($B131="","",G131*VLOOKUP(E131,Parametros!$B$18:$D$24,3,FALSE()))</f>
        <v/>
      </c>
      <c r="S131" s="42" t="str">
        <f aca="false">IF($B131="","",Q131-R131)</f>
        <v/>
      </c>
      <c r="T131" s="43" t="str">
        <f aca="false">IF($B131="","",IF(S131&gt;0,"G","P"))</f>
        <v/>
      </c>
      <c r="U131" s="44" t="str">
        <f aca="false">IF($B131="","",S131/Parametros!$C$8)</f>
        <v/>
      </c>
      <c r="V131" s="42" t="str">
        <f aca="false">IF($B131="","",Parametros!$C$6+SUM($S$7:S131))</f>
        <v/>
      </c>
      <c r="W131" s="42" t="str">
        <f aca="false">IF($B131="","",MAX(V131,W130))</f>
        <v/>
      </c>
      <c r="X131" s="42" t="str">
        <f aca="false">IF($B131="","",V131-W131)</f>
        <v/>
      </c>
      <c r="Y131" s="45" t="str">
        <f aca="false">IF($B131="","",X131/W131)</f>
        <v/>
      </c>
      <c r="Z131" s="36" t="str">
        <f aca="false">IF($B131="","",IF(T131="G",IF(N(Z130)&gt;0,Z130+1,1),IF(N(Z130)&lt;0,Z130-1,-1)))</f>
        <v/>
      </c>
      <c r="AA131" s="46" t="str">
        <f aca="false">IF($B131="","",B131-WEEKDAY(B131,2)+1)</f>
        <v/>
      </c>
      <c r="AB131" s="47" t="str">
        <f aca="false">IF($B131="","",DATE(YEAR(B131),MONTH(B131),1))</f>
        <v/>
      </c>
      <c r="AC131" s="41" t="str">
        <f aca="false">IF($B131="","",CHOOSE(WEEKDAY(B131,2),"Lunes","Martes","Miércoles","Jueves","Viernes","Sábado","Domingo"))</f>
        <v/>
      </c>
      <c r="AD131" s="36" t="str">
        <f aca="false">IF($B131="","",HOUR(C131))</f>
        <v/>
      </c>
      <c r="AE131" s="42" t="str">
        <f aca="false">IF($B131="","",IF(O131&lt;&gt;O130,MAX(V131-S131,V131),MAX(V131,AE130)))</f>
        <v/>
      </c>
      <c r="AF131" s="42" t="str">
        <f aca="false">IF($B131="","",V131-AE131)</f>
        <v/>
      </c>
      <c r="AG131" s="36" t="str">
        <f aca="false">IF($B131="","",IF(O131&lt;&gt;O130,IF(T131="G",1,-1),IF(T131="G",IF(N(AG130)&gt;0,AG130+1,1),IF(N(AG130)&lt;0,AG130-1,-1))))</f>
        <v/>
      </c>
    </row>
    <row r="132" customFormat="false" ht="15" hidden="false" customHeight="false" outlineLevel="0" collapsed="false">
      <c r="A132" s="36" t="str">
        <f aca="false">IF(B132="","",ROW()-6)</f>
        <v/>
      </c>
      <c r="B132" s="37"/>
      <c r="C132" s="38"/>
      <c r="D132" s="38"/>
      <c r="E132" s="39"/>
      <c r="F132" s="39"/>
      <c r="G132" s="39"/>
      <c r="H132" s="40"/>
      <c r="I132" s="40"/>
      <c r="J132" s="40"/>
      <c r="K132" s="40"/>
      <c r="L132" s="39"/>
      <c r="M132" s="40"/>
      <c r="N132" s="40"/>
      <c r="O132" s="36" t="str">
        <f aca="false">IF($B132="","",INT((A132-1)/Parametros!$C$10)+1)</f>
        <v/>
      </c>
      <c r="P132" s="41" t="str">
        <f aca="false">IF($B132="","",IF(OR(C132="",D132=""),"",ROUND((D132-C132)*1440,0)))</f>
        <v/>
      </c>
      <c r="Q132" s="42" t="str">
        <f aca="false">IF($B132="","",I132*VLOOKUP(E132,Parametros!$B$18:$D$24,2,FALSE()))</f>
        <v/>
      </c>
      <c r="R132" s="42" t="str">
        <f aca="false">IF($B132="","",G132*VLOOKUP(E132,Parametros!$B$18:$D$24,3,FALSE()))</f>
        <v/>
      </c>
      <c r="S132" s="42" t="str">
        <f aca="false">IF($B132="","",Q132-R132)</f>
        <v/>
      </c>
      <c r="T132" s="43" t="str">
        <f aca="false">IF($B132="","",IF(S132&gt;0,"G","P"))</f>
        <v/>
      </c>
      <c r="U132" s="44" t="str">
        <f aca="false">IF($B132="","",S132/Parametros!$C$8)</f>
        <v/>
      </c>
      <c r="V132" s="42" t="str">
        <f aca="false">IF($B132="","",Parametros!$C$6+SUM($S$7:S132))</f>
        <v/>
      </c>
      <c r="W132" s="42" t="str">
        <f aca="false">IF($B132="","",MAX(V132,W131))</f>
        <v/>
      </c>
      <c r="X132" s="42" t="str">
        <f aca="false">IF($B132="","",V132-W132)</f>
        <v/>
      </c>
      <c r="Y132" s="45" t="str">
        <f aca="false">IF($B132="","",X132/W132)</f>
        <v/>
      </c>
      <c r="Z132" s="36" t="str">
        <f aca="false">IF($B132="","",IF(T132="G",IF(N(Z131)&gt;0,Z131+1,1),IF(N(Z131)&lt;0,Z131-1,-1)))</f>
        <v/>
      </c>
      <c r="AA132" s="46" t="str">
        <f aca="false">IF($B132="","",B132-WEEKDAY(B132,2)+1)</f>
        <v/>
      </c>
      <c r="AB132" s="47" t="str">
        <f aca="false">IF($B132="","",DATE(YEAR(B132),MONTH(B132),1))</f>
        <v/>
      </c>
      <c r="AC132" s="41" t="str">
        <f aca="false">IF($B132="","",CHOOSE(WEEKDAY(B132,2),"Lunes","Martes","Miércoles","Jueves","Viernes","Sábado","Domingo"))</f>
        <v/>
      </c>
      <c r="AD132" s="36" t="str">
        <f aca="false">IF($B132="","",HOUR(C132))</f>
        <v/>
      </c>
      <c r="AE132" s="42" t="str">
        <f aca="false">IF($B132="","",IF(O132&lt;&gt;O131,MAX(V132-S132,V132),MAX(V132,AE131)))</f>
        <v/>
      </c>
      <c r="AF132" s="42" t="str">
        <f aca="false">IF($B132="","",V132-AE132)</f>
        <v/>
      </c>
      <c r="AG132" s="36" t="str">
        <f aca="false">IF($B132="","",IF(O132&lt;&gt;O131,IF(T132="G",1,-1),IF(T132="G",IF(N(AG131)&gt;0,AG131+1,1),IF(N(AG131)&lt;0,AG131-1,-1))))</f>
        <v/>
      </c>
    </row>
    <row r="133" customFormat="false" ht="15" hidden="false" customHeight="false" outlineLevel="0" collapsed="false">
      <c r="A133" s="36" t="str">
        <f aca="false">IF(B133="","",ROW()-6)</f>
        <v/>
      </c>
      <c r="B133" s="37"/>
      <c r="C133" s="38"/>
      <c r="D133" s="38"/>
      <c r="E133" s="39"/>
      <c r="F133" s="39"/>
      <c r="G133" s="39"/>
      <c r="H133" s="40"/>
      <c r="I133" s="40"/>
      <c r="J133" s="40"/>
      <c r="K133" s="40"/>
      <c r="L133" s="39"/>
      <c r="M133" s="40"/>
      <c r="N133" s="40"/>
      <c r="O133" s="36" t="str">
        <f aca="false">IF($B133="","",INT((A133-1)/Parametros!$C$10)+1)</f>
        <v/>
      </c>
      <c r="P133" s="41" t="str">
        <f aca="false">IF($B133="","",IF(OR(C133="",D133=""),"",ROUND((D133-C133)*1440,0)))</f>
        <v/>
      </c>
      <c r="Q133" s="42" t="str">
        <f aca="false">IF($B133="","",I133*VLOOKUP(E133,Parametros!$B$18:$D$24,2,FALSE()))</f>
        <v/>
      </c>
      <c r="R133" s="42" t="str">
        <f aca="false">IF($B133="","",G133*VLOOKUP(E133,Parametros!$B$18:$D$24,3,FALSE()))</f>
        <v/>
      </c>
      <c r="S133" s="42" t="str">
        <f aca="false">IF($B133="","",Q133-R133)</f>
        <v/>
      </c>
      <c r="T133" s="43" t="str">
        <f aca="false">IF($B133="","",IF(S133&gt;0,"G","P"))</f>
        <v/>
      </c>
      <c r="U133" s="44" t="str">
        <f aca="false">IF($B133="","",S133/Parametros!$C$8)</f>
        <v/>
      </c>
      <c r="V133" s="42" t="str">
        <f aca="false">IF($B133="","",Parametros!$C$6+SUM($S$7:S133))</f>
        <v/>
      </c>
      <c r="W133" s="42" t="str">
        <f aca="false">IF($B133="","",MAX(V133,W132))</f>
        <v/>
      </c>
      <c r="X133" s="42" t="str">
        <f aca="false">IF($B133="","",V133-W133)</f>
        <v/>
      </c>
      <c r="Y133" s="45" t="str">
        <f aca="false">IF($B133="","",X133/W133)</f>
        <v/>
      </c>
      <c r="Z133" s="36" t="str">
        <f aca="false">IF($B133="","",IF(T133="G",IF(N(Z132)&gt;0,Z132+1,1),IF(N(Z132)&lt;0,Z132-1,-1)))</f>
        <v/>
      </c>
      <c r="AA133" s="46" t="str">
        <f aca="false">IF($B133="","",B133-WEEKDAY(B133,2)+1)</f>
        <v/>
      </c>
      <c r="AB133" s="47" t="str">
        <f aca="false">IF($B133="","",DATE(YEAR(B133),MONTH(B133),1))</f>
        <v/>
      </c>
      <c r="AC133" s="41" t="str">
        <f aca="false">IF($B133="","",CHOOSE(WEEKDAY(B133,2),"Lunes","Martes","Miércoles","Jueves","Viernes","Sábado","Domingo"))</f>
        <v/>
      </c>
      <c r="AD133" s="36" t="str">
        <f aca="false">IF($B133="","",HOUR(C133))</f>
        <v/>
      </c>
      <c r="AE133" s="42" t="str">
        <f aca="false">IF($B133="","",IF(O133&lt;&gt;O132,MAX(V133-S133,V133),MAX(V133,AE132)))</f>
        <v/>
      </c>
      <c r="AF133" s="42" t="str">
        <f aca="false">IF($B133="","",V133-AE133)</f>
        <v/>
      </c>
      <c r="AG133" s="36" t="str">
        <f aca="false">IF($B133="","",IF(O133&lt;&gt;O132,IF(T133="G",1,-1),IF(T133="G",IF(N(AG132)&gt;0,AG132+1,1),IF(N(AG132)&lt;0,AG132-1,-1))))</f>
        <v/>
      </c>
    </row>
    <row r="134" customFormat="false" ht="15" hidden="false" customHeight="false" outlineLevel="0" collapsed="false">
      <c r="A134" s="36" t="str">
        <f aca="false">IF(B134="","",ROW()-6)</f>
        <v/>
      </c>
      <c r="B134" s="37"/>
      <c r="C134" s="38"/>
      <c r="D134" s="38"/>
      <c r="E134" s="39"/>
      <c r="F134" s="39"/>
      <c r="G134" s="39"/>
      <c r="H134" s="40"/>
      <c r="I134" s="40"/>
      <c r="J134" s="40"/>
      <c r="K134" s="40"/>
      <c r="L134" s="39"/>
      <c r="M134" s="40"/>
      <c r="N134" s="40"/>
      <c r="O134" s="36" t="str">
        <f aca="false">IF($B134="","",INT((A134-1)/Parametros!$C$10)+1)</f>
        <v/>
      </c>
      <c r="P134" s="41" t="str">
        <f aca="false">IF($B134="","",IF(OR(C134="",D134=""),"",ROUND((D134-C134)*1440,0)))</f>
        <v/>
      </c>
      <c r="Q134" s="42" t="str">
        <f aca="false">IF($B134="","",I134*VLOOKUP(E134,Parametros!$B$18:$D$24,2,FALSE()))</f>
        <v/>
      </c>
      <c r="R134" s="42" t="str">
        <f aca="false">IF($B134="","",G134*VLOOKUP(E134,Parametros!$B$18:$D$24,3,FALSE()))</f>
        <v/>
      </c>
      <c r="S134" s="42" t="str">
        <f aca="false">IF($B134="","",Q134-R134)</f>
        <v/>
      </c>
      <c r="T134" s="43" t="str">
        <f aca="false">IF($B134="","",IF(S134&gt;0,"G","P"))</f>
        <v/>
      </c>
      <c r="U134" s="44" t="str">
        <f aca="false">IF($B134="","",S134/Parametros!$C$8)</f>
        <v/>
      </c>
      <c r="V134" s="42" t="str">
        <f aca="false">IF($B134="","",Parametros!$C$6+SUM($S$7:S134))</f>
        <v/>
      </c>
      <c r="W134" s="42" t="str">
        <f aca="false">IF($B134="","",MAX(V134,W133))</f>
        <v/>
      </c>
      <c r="X134" s="42" t="str">
        <f aca="false">IF($B134="","",V134-W134)</f>
        <v/>
      </c>
      <c r="Y134" s="45" t="str">
        <f aca="false">IF($B134="","",X134/W134)</f>
        <v/>
      </c>
      <c r="Z134" s="36" t="str">
        <f aca="false">IF($B134="","",IF(T134="G",IF(N(Z133)&gt;0,Z133+1,1),IF(N(Z133)&lt;0,Z133-1,-1)))</f>
        <v/>
      </c>
      <c r="AA134" s="46" t="str">
        <f aca="false">IF($B134="","",B134-WEEKDAY(B134,2)+1)</f>
        <v/>
      </c>
      <c r="AB134" s="47" t="str">
        <f aca="false">IF($B134="","",DATE(YEAR(B134),MONTH(B134),1))</f>
        <v/>
      </c>
      <c r="AC134" s="41" t="str">
        <f aca="false">IF($B134="","",CHOOSE(WEEKDAY(B134,2),"Lunes","Martes","Miércoles","Jueves","Viernes","Sábado","Domingo"))</f>
        <v/>
      </c>
      <c r="AD134" s="36" t="str">
        <f aca="false">IF($B134="","",HOUR(C134))</f>
        <v/>
      </c>
      <c r="AE134" s="42" t="str">
        <f aca="false">IF($B134="","",IF(O134&lt;&gt;O133,MAX(V134-S134,V134),MAX(V134,AE133)))</f>
        <v/>
      </c>
      <c r="AF134" s="42" t="str">
        <f aca="false">IF($B134="","",V134-AE134)</f>
        <v/>
      </c>
      <c r="AG134" s="36" t="str">
        <f aca="false">IF($B134="","",IF(O134&lt;&gt;O133,IF(T134="G",1,-1),IF(T134="G",IF(N(AG133)&gt;0,AG133+1,1),IF(N(AG133)&lt;0,AG133-1,-1))))</f>
        <v/>
      </c>
    </row>
    <row r="135" customFormat="false" ht="15" hidden="false" customHeight="false" outlineLevel="0" collapsed="false">
      <c r="A135" s="36" t="str">
        <f aca="false">IF(B135="","",ROW()-6)</f>
        <v/>
      </c>
      <c r="B135" s="37"/>
      <c r="C135" s="38"/>
      <c r="D135" s="38"/>
      <c r="E135" s="39"/>
      <c r="F135" s="39"/>
      <c r="G135" s="39"/>
      <c r="H135" s="40"/>
      <c r="I135" s="40"/>
      <c r="J135" s="40"/>
      <c r="K135" s="40"/>
      <c r="L135" s="39"/>
      <c r="M135" s="40"/>
      <c r="N135" s="40"/>
      <c r="O135" s="36" t="str">
        <f aca="false">IF($B135="","",INT((A135-1)/Parametros!$C$10)+1)</f>
        <v/>
      </c>
      <c r="P135" s="41" t="str">
        <f aca="false">IF($B135="","",IF(OR(C135="",D135=""),"",ROUND((D135-C135)*1440,0)))</f>
        <v/>
      </c>
      <c r="Q135" s="42" t="str">
        <f aca="false">IF($B135="","",I135*VLOOKUP(E135,Parametros!$B$18:$D$24,2,FALSE()))</f>
        <v/>
      </c>
      <c r="R135" s="42" t="str">
        <f aca="false">IF($B135="","",G135*VLOOKUP(E135,Parametros!$B$18:$D$24,3,FALSE()))</f>
        <v/>
      </c>
      <c r="S135" s="42" t="str">
        <f aca="false">IF($B135="","",Q135-R135)</f>
        <v/>
      </c>
      <c r="T135" s="43" t="str">
        <f aca="false">IF($B135="","",IF(S135&gt;0,"G","P"))</f>
        <v/>
      </c>
      <c r="U135" s="44" t="str">
        <f aca="false">IF($B135="","",S135/Parametros!$C$8)</f>
        <v/>
      </c>
      <c r="V135" s="42" t="str">
        <f aca="false">IF($B135="","",Parametros!$C$6+SUM($S$7:S135))</f>
        <v/>
      </c>
      <c r="W135" s="42" t="str">
        <f aca="false">IF($B135="","",MAX(V135,W134))</f>
        <v/>
      </c>
      <c r="X135" s="42" t="str">
        <f aca="false">IF($B135="","",V135-W135)</f>
        <v/>
      </c>
      <c r="Y135" s="45" t="str">
        <f aca="false">IF($B135="","",X135/W135)</f>
        <v/>
      </c>
      <c r="Z135" s="36" t="str">
        <f aca="false">IF($B135="","",IF(T135="G",IF(N(Z134)&gt;0,Z134+1,1),IF(N(Z134)&lt;0,Z134-1,-1)))</f>
        <v/>
      </c>
      <c r="AA135" s="46" t="str">
        <f aca="false">IF($B135="","",B135-WEEKDAY(B135,2)+1)</f>
        <v/>
      </c>
      <c r="AB135" s="47" t="str">
        <f aca="false">IF($B135="","",DATE(YEAR(B135),MONTH(B135),1))</f>
        <v/>
      </c>
      <c r="AC135" s="41" t="str">
        <f aca="false">IF($B135="","",CHOOSE(WEEKDAY(B135,2),"Lunes","Martes","Miércoles","Jueves","Viernes","Sábado","Domingo"))</f>
        <v/>
      </c>
      <c r="AD135" s="36" t="str">
        <f aca="false">IF($B135="","",HOUR(C135))</f>
        <v/>
      </c>
      <c r="AE135" s="42" t="str">
        <f aca="false">IF($B135="","",IF(O135&lt;&gt;O134,MAX(V135-S135,V135),MAX(V135,AE134)))</f>
        <v/>
      </c>
      <c r="AF135" s="42" t="str">
        <f aca="false">IF($B135="","",V135-AE135)</f>
        <v/>
      </c>
      <c r="AG135" s="36" t="str">
        <f aca="false">IF($B135="","",IF(O135&lt;&gt;O134,IF(T135="G",1,-1),IF(T135="G",IF(N(AG134)&gt;0,AG134+1,1),IF(N(AG134)&lt;0,AG134-1,-1))))</f>
        <v/>
      </c>
    </row>
    <row r="136" customFormat="false" ht="15" hidden="false" customHeight="false" outlineLevel="0" collapsed="false">
      <c r="A136" s="36" t="str">
        <f aca="false">IF(B136="","",ROW()-6)</f>
        <v/>
      </c>
      <c r="B136" s="37"/>
      <c r="C136" s="38"/>
      <c r="D136" s="38"/>
      <c r="E136" s="39"/>
      <c r="F136" s="39"/>
      <c r="G136" s="39"/>
      <c r="H136" s="40"/>
      <c r="I136" s="40"/>
      <c r="J136" s="40"/>
      <c r="K136" s="40"/>
      <c r="L136" s="39"/>
      <c r="M136" s="40"/>
      <c r="N136" s="40"/>
      <c r="O136" s="36" t="str">
        <f aca="false">IF($B136="","",INT((A136-1)/Parametros!$C$10)+1)</f>
        <v/>
      </c>
      <c r="P136" s="41" t="str">
        <f aca="false">IF($B136="","",IF(OR(C136="",D136=""),"",ROUND((D136-C136)*1440,0)))</f>
        <v/>
      </c>
      <c r="Q136" s="42" t="str">
        <f aca="false">IF($B136="","",I136*VLOOKUP(E136,Parametros!$B$18:$D$24,2,FALSE()))</f>
        <v/>
      </c>
      <c r="R136" s="42" t="str">
        <f aca="false">IF($B136="","",G136*VLOOKUP(E136,Parametros!$B$18:$D$24,3,FALSE()))</f>
        <v/>
      </c>
      <c r="S136" s="42" t="str">
        <f aca="false">IF($B136="","",Q136-R136)</f>
        <v/>
      </c>
      <c r="T136" s="43" t="str">
        <f aca="false">IF($B136="","",IF(S136&gt;0,"G","P"))</f>
        <v/>
      </c>
      <c r="U136" s="44" t="str">
        <f aca="false">IF($B136="","",S136/Parametros!$C$8)</f>
        <v/>
      </c>
      <c r="V136" s="42" t="str">
        <f aca="false">IF($B136="","",Parametros!$C$6+SUM($S$7:S136))</f>
        <v/>
      </c>
      <c r="W136" s="42" t="str">
        <f aca="false">IF($B136="","",MAX(V136,W135))</f>
        <v/>
      </c>
      <c r="X136" s="42" t="str">
        <f aca="false">IF($B136="","",V136-W136)</f>
        <v/>
      </c>
      <c r="Y136" s="45" t="str">
        <f aca="false">IF($B136="","",X136/W136)</f>
        <v/>
      </c>
      <c r="Z136" s="36" t="str">
        <f aca="false">IF($B136="","",IF(T136="G",IF(N(Z135)&gt;0,Z135+1,1),IF(N(Z135)&lt;0,Z135-1,-1)))</f>
        <v/>
      </c>
      <c r="AA136" s="46" t="str">
        <f aca="false">IF($B136="","",B136-WEEKDAY(B136,2)+1)</f>
        <v/>
      </c>
      <c r="AB136" s="47" t="str">
        <f aca="false">IF($B136="","",DATE(YEAR(B136),MONTH(B136),1))</f>
        <v/>
      </c>
      <c r="AC136" s="41" t="str">
        <f aca="false">IF($B136="","",CHOOSE(WEEKDAY(B136,2),"Lunes","Martes","Miércoles","Jueves","Viernes","Sábado","Domingo"))</f>
        <v/>
      </c>
      <c r="AD136" s="36" t="str">
        <f aca="false">IF($B136="","",HOUR(C136))</f>
        <v/>
      </c>
      <c r="AE136" s="42" t="str">
        <f aca="false">IF($B136="","",IF(O136&lt;&gt;O135,MAX(V136-S136,V136),MAX(V136,AE135)))</f>
        <v/>
      </c>
      <c r="AF136" s="42" t="str">
        <f aca="false">IF($B136="","",V136-AE136)</f>
        <v/>
      </c>
      <c r="AG136" s="36" t="str">
        <f aca="false">IF($B136="","",IF(O136&lt;&gt;O135,IF(T136="G",1,-1),IF(T136="G",IF(N(AG135)&gt;0,AG135+1,1),IF(N(AG135)&lt;0,AG135-1,-1))))</f>
        <v/>
      </c>
    </row>
    <row r="137" customFormat="false" ht="15" hidden="false" customHeight="false" outlineLevel="0" collapsed="false">
      <c r="A137" s="36" t="str">
        <f aca="false">IF(B137="","",ROW()-6)</f>
        <v/>
      </c>
      <c r="B137" s="37"/>
      <c r="C137" s="38"/>
      <c r="D137" s="38"/>
      <c r="E137" s="39"/>
      <c r="F137" s="39"/>
      <c r="G137" s="39"/>
      <c r="H137" s="40"/>
      <c r="I137" s="40"/>
      <c r="J137" s="40"/>
      <c r="K137" s="40"/>
      <c r="L137" s="39"/>
      <c r="M137" s="40"/>
      <c r="N137" s="40"/>
      <c r="O137" s="36" t="str">
        <f aca="false">IF($B137="","",INT((A137-1)/Parametros!$C$10)+1)</f>
        <v/>
      </c>
      <c r="P137" s="41" t="str">
        <f aca="false">IF($B137="","",IF(OR(C137="",D137=""),"",ROUND((D137-C137)*1440,0)))</f>
        <v/>
      </c>
      <c r="Q137" s="42" t="str">
        <f aca="false">IF($B137="","",I137*VLOOKUP(E137,Parametros!$B$18:$D$24,2,FALSE()))</f>
        <v/>
      </c>
      <c r="R137" s="42" t="str">
        <f aca="false">IF($B137="","",G137*VLOOKUP(E137,Parametros!$B$18:$D$24,3,FALSE()))</f>
        <v/>
      </c>
      <c r="S137" s="42" t="str">
        <f aca="false">IF($B137="","",Q137-R137)</f>
        <v/>
      </c>
      <c r="T137" s="43" t="str">
        <f aca="false">IF($B137="","",IF(S137&gt;0,"G","P"))</f>
        <v/>
      </c>
      <c r="U137" s="44" t="str">
        <f aca="false">IF($B137="","",S137/Parametros!$C$8)</f>
        <v/>
      </c>
      <c r="V137" s="42" t="str">
        <f aca="false">IF($B137="","",Parametros!$C$6+SUM($S$7:S137))</f>
        <v/>
      </c>
      <c r="W137" s="42" t="str">
        <f aca="false">IF($B137="","",MAX(V137,W136))</f>
        <v/>
      </c>
      <c r="X137" s="42" t="str">
        <f aca="false">IF($B137="","",V137-W137)</f>
        <v/>
      </c>
      <c r="Y137" s="45" t="str">
        <f aca="false">IF($B137="","",X137/W137)</f>
        <v/>
      </c>
      <c r="Z137" s="36" t="str">
        <f aca="false">IF($B137="","",IF(T137="G",IF(N(Z136)&gt;0,Z136+1,1),IF(N(Z136)&lt;0,Z136-1,-1)))</f>
        <v/>
      </c>
      <c r="AA137" s="46" t="str">
        <f aca="false">IF($B137="","",B137-WEEKDAY(B137,2)+1)</f>
        <v/>
      </c>
      <c r="AB137" s="47" t="str">
        <f aca="false">IF($B137="","",DATE(YEAR(B137),MONTH(B137),1))</f>
        <v/>
      </c>
      <c r="AC137" s="41" t="str">
        <f aca="false">IF($B137="","",CHOOSE(WEEKDAY(B137,2),"Lunes","Martes","Miércoles","Jueves","Viernes","Sábado","Domingo"))</f>
        <v/>
      </c>
      <c r="AD137" s="36" t="str">
        <f aca="false">IF($B137="","",HOUR(C137))</f>
        <v/>
      </c>
      <c r="AE137" s="42" t="str">
        <f aca="false">IF($B137="","",IF(O137&lt;&gt;O136,MAX(V137-S137,V137),MAX(V137,AE136)))</f>
        <v/>
      </c>
      <c r="AF137" s="42" t="str">
        <f aca="false">IF($B137="","",V137-AE137)</f>
        <v/>
      </c>
      <c r="AG137" s="36" t="str">
        <f aca="false">IF($B137="","",IF(O137&lt;&gt;O136,IF(T137="G",1,-1),IF(T137="G",IF(N(AG136)&gt;0,AG136+1,1),IF(N(AG136)&lt;0,AG136-1,-1))))</f>
        <v/>
      </c>
    </row>
    <row r="138" customFormat="false" ht="15" hidden="false" customHeight="false" outlineLevel="0" collapsed="false">
      <c r="A138" s="36" t="str">
        <f aca="false">IF(B138="","",ROW()-6)</f>
        <v/>
      </c>
      <c r="B138" s="37"/>
      <c r="C138" s="38"/>
      <c r="D138" s="38"/>
      <c r="E138" s="39"/>
      <c r="F138" s="39"/>
      <c r="G138" s="39"/>
      <c r="H138" s="40"/>
      <c r="I138" s="40"/>
      <c r="J138" s="40"/>
      <c r="K138" s="40"/>
      <c r="L138" s="39"/>
      <c r="M138" s="40"/>
      <c r="N138" s="40"/>
      <c r="O138" s="36" t="str">
        <f aca="false">IF($B138="","",INT((A138-1)/Parametros!$C$10)+1)</f>
        <v/>
      </c>
      <c r="P138" s="41" t="str">
        <f aca="false">IF($B138="","",IF(OR(C138="",D138=""),"",ROUND((D138-C138)*1440,0)))</f>
        <v/>
      </c>
      <c r="Q138" s="42" t="str">
        <f aca="false">IF($B138="","",I138*VLOOKUP(E138,Parametros!$B$18:$D$24,2,FALSE()))</f>
        <v/>
      </c>
      <c r="R138" s="42" t="str">
        <f aca="false">IF($B138="","",G138*VLOOKUP(E138,Parametros!$B$18:$D$24,3,FALSE()))</f>
        <v/>
      </c>
      <c r="S138" s="42" t="str">
        <f aca="false">IF($B138="","",Q138-R138)</f>
        <v/>
      </c>
      <c r="T138" s="43" t="str">
        <f aca="false">IF($B138="","",IF(S138&gt;0,"G","P"))</f>
        <v/>
      </c>
      <c r="U138" s="44" t="str">
        <f aca="false">IF($B138="","",S138/Parametros!$C$8)</f>
        <v/>
      </c>
      <c r="V138" s="42" t="str">
        <f aca="false">IF($B138="","",Parametros!$C$6+SUM($S$7:S138))</f>
        <v/>
      </c>
      <c r="W138" s="42" t="str">
        <f aca="false">IF($B138="","",MAX(V138,W137))</f>
        <v/>
      </c>
      <c r="X138" s="42" t="str">
        <f aca="false">IF($B138="","",V138-W138)</f>
        <v/>
      </c>
      <c r="Y138" s="45" t="str">
        <f aca="false">IF($B138="","",X138/W138)</f>
        <v/>
      </c>
      <c r="Z138" s="36" t="str">
        <f aca="false">IF($B138="","",IF(T138="G",IF(N(Z137)&gt;0,Z137+1,1),IF(N(Z137)&lt;0,Z137-1,-1)))</f>
        <v/>
      </c>
      <c r="AA138" s="46" t="str">
        <f aca="false">IF($B138="","",B138-WEEKDAY(B138,2)+1)</f>
        <v/>
      </c>
      <c r="AB138" s="47" t="str">
        <f aca="false">IF($B138="","",DATE(YEAR(B138),MONTH(B138),1))</f>
        <v/>
      </c>
      <c r="AC138" s="41" t="str">
        <f aca="false">IF($B138="","",CHOOSE(WEEKDAY(B138,2),"Lunes","Martes","Miércoles","Jueves","Viernes","Sábado","Domingo"))</f>
        <v/>
      </c>
      <c r="AD138" s="36" t="str">
        <f aca="false">IF($B138="","",HOUR(C138))</f>
        <v/>
      </c>
      <c r="AE138" s="42" t="str">
        <f aca="false">IF($B138="","",IF(O138&lt;&gt;O137,MAX(V138-S138,V138),MAX(V138,AE137)))</f>
        <v/>
      </c>
      <c r="AF138" s="42" t="str">
        <f aca="false">IF($B138="","",V138-AE138)</f>
        <v/>
      </c>
      <c r="AG138" s="36" t="str">
        <f aca="false">IF($B138="","",IF(O138&lt;&gt;O137,IF(T138="G",1,-1),IF(T138="G",IF(N(AG137)&gt;0,AG137+1,1),IF(N(AG137)&lt;0,AG137-1,-1))))</f>
        <v/>
      </c>
    </row>
    <row r="139" customFormat="false" ht="15" hidden="false" customHeight="false" outlineLevel="0" collapsed="false">
      <c r="A139" s="36" t="str">
        <f aca="false">IF(B139="","",ROW()-6)</f>
        <v/>
      </c>
      <c r="B139" s="37"/>
      <c r="C139" s="38"/>
      <c r="D139" s="38"/>
      <c r="E139" s="39"/>
      <c r="F139" s="39"/>
      <c r="G139" s="39"/>
      <c r="H139" s="40"/>
      <c r="I139" s="40"/>
      <c r="J139" s="40"/>
      <c r="K139" s="40"/>
      <c r="L139" s="39"/>
      <c r="M139" s="40"/>
      <c r="N139" s="40"/>
      <c r="O139" s="36" t="str">
        <f aca="false">IF($B139="","",INT((A139-1)/Parametros!$C$10)+1)</f>
        <v/>
      </c>
      <c r="P139" s="41" t="str">
        <f aca="false">IF($B139="","",IF(OR(C139="",D139=""),"",ROUND((D139-C139)*1440,0)))</f>
        <v/>
      </c>
      <c r="Q139" s="42" t="str">
        <f aca="false">IF($B139="","",I139*VLOOKUP(E139,Parametros!$B$18:$D$24,2,FALSE()))</f>
        <v/>
      </c>
      <c r="R139" s="42" t="str">
        <f aca="false">IF($B139="","",G139*VLOOKUP(E139,Parametros!$B$18:$D$24,3,FALSE()))</f>
        <v/>
      </c>
      <c r="S139" s="42" t="str">
        <f aca="false">IF($B139="","",Q139-R139)</f>
        <v/>
      </c>
      <c r="T139" s="43" t="str">
        <f aca="false">IF($B139="","",IF(S139&gt;0,"G","P"))</f>
        <v/>
      </c>
      <c r="U139" s="44" t="str">
        <f aca="false">IF($B139="","",S139/Parametros!$C$8)</f>
        <v/>
      </c>
      <c r="V139" s="42" t="str">
        <f aca="false">IF($B139="","",Parametros!$C$6+SUM($S$7:S139))</f>
        <v/>
      </c>
      <c r="W139" s="42" t="str">
        <f aca="false">IF($B139="","",MAX(V139,W138))</f>
        <v/>
      </c>
      <c r="X139" s="42" t="str">
        <f aca="false">IF($B139="","",V139-W139)</f>
        <v/>
      </c>
      <c r="Y139" s="45" t="str">
        <f aca="false">IF($B139="","",X139/W139)</f>
        <v/>
      </c>
      <c r="Z139" s="36" t="str">
        <f aca="false">IF($B139="","",IF(T139="G",IF(N(Z138)&gt;0,Z138+1,1),IF(N(Z138)&lt;0,Z138-1,-1)))</f>
        <v/>
      </c>
      <c r="AA139" s="46" t="str">
        <f aca="false">IF($B139="","",B139-WEEKDAY(B139,2)+1)</f>
        <v/>
      </c>
      <c r="AB139" s="47" t="str">
        <f aca="false">IF($B139="","",DATE(YEAR(B139),MONTH(B139),1))</f>
        <v/>
      </c>
      <c r="AC139" s="41" t="str">
        <f aca="false">IF($B139="","",CHOOSE(WEEKDAY(B139,2),"Lunes","Martes","Miércoles","Jueves","Viernes","Sábado","Domingo"))</f>
        <v/>
      </c>
      <c r="AD139" s="36" t="str">
        <f aca="false">IF($B139="","",HOUR(C139))</f>
        <v/>
      </c>
      <c r="AE139" s="42" t="str">
        <f aca="false">IF($B139="","",IF(O139&lt;&gt;O138,MAX(V139-S139,V139),MAX(V139,AE138)))</f>
        <v/>
      </c>
      <c r="AF139" s="42" t="str">
        <f aca="false">IF($B139="","",V139-AE139)</f>
        <v/>
      </c>
      <c r="AG139" s="36" t="str">
        <f aca="false">IF($B139="","",IF(O139&lt;&gt;O138,IF(T139="G",1,-1),IF(T139="G",IF(N(AG138)&gt;0,AG138+1,1),IF(N(AG138)&lt;0,AG138-1,-1))))</f>
        <v/>
      </c>
    </row>
    <row r="140" customFormat="false" ht="15" hidden="false" customHeight="false" outlineLevel="0" collapsed="false">
      <c r="A140" s="36" t="str">
        <f aca="false">IF(B140="","",ROW()-6)</f>
        <v/>
      </c>
      <c r="B140" s="37"/>
      <c r="C140" s="38"/>
      <c r="D140" s="38"/>
      <c r="E140" s="39"/>
      <c r="F140" s="39"/>
      <c r="G140" s="39"/>
      <c r="H140" s="40"/>
      <c r="I140" s="40"/>
      <c r="J140" s="40"/>
      <c r="K140" s="40"/>
      <c r="L140" s="39"/>
      <c r="M140" s="40"/>
      <c r="N140" s="40"/>
      <c r="O140" s="36" t="str">
        <f aca="false">IF($B140="","",INT((A140-1)/Parametros!$C$10)+1)</f>
        <v/>
      </c>
      <c r="P140" s="41" t="str">
        <f aca="false">IF($B140="","",IF(OR(C140="",D140=""),"",ROUND((D140-C140)*1440,0)))</f>
        <v/>
      </c>
      <c r="Q140" s="42" t="str">
        <f aca="false">IF($B140="","",I140*VLOOKUP(E140,Parametros!$B$18:$D$24,2,FALSE()))</f>
        <v/>
      </c>
      <c r="R140" s="42" t="str">
        <f aca="false">IF($B140="","",G140*VLOOKUP(E140,Parametros!$B$18:$D$24,3,FALSE()))</f>
        <v/>
      </c>
      <c r="S140" s="42" t="str">
        <f aca="false">IF($B140="","",Q140-R140)</f>
        <v/>
      </c>
      <c r="T140" s="43" t="str">
        <f aca="false">IF($B140="","",IF(S140&gt;0,"G","P"))</f>
        <v/>
      </c>
      <c r="U140" s="44" t="str">
        <f aca="false">IF($B140="","",S140/Parametros!$C$8)</f>
        <v/>
      </c>
      <c r="V140" s="42" t="str">
        <f aca="false">IF($B140="","",Parametros!$C$6+SUM($S$7:S140))</f>
        <v/>
      </c>
      <c r="W140" s="42" t="str">
        <f aca="false">IF($B140="","",MAX(V140,W139))</f>
        <v/>
      </c>
      <c r="X140" s="42" t="str">
        <f aca="false">IF($B140="","",V140-W140)</f>
        <v/>
      </c>
      <c r="Y140" s="45" t="str">
        <f aca="false">IF($B140="","",X140/W140)</f>
        <v/>
      </c>
      <c r="Z140" s="36" t="str">
        <f aca="false">IF($B140="","",IF(T140="G",IF(N(Z139)&gt;0,Z139+1,1),IF(N(Z139)&lt;0,Z139-1,-1)))</f>
        <v/>
      </c>
      <c r="AA140" s="46" t="str">
        <f aca="false">IF($B140="","",B140-WEEKDAY(B140,2)+1)</f>
        <v/>
      </c>
      <c r="AB140" s="47" t="str">
        <f aca="false">IF($B140="","",DATE(YEAR(B140),MONTH(B140),1))</f>
        <v/>
      </c>
      <c r="AC140" s="41" t="str">
        <f aca="false">IF($B140="","",CHOOSE(WEEKDAY(B140,2),"Lunes","Martes","Miércoles","Jueves","Viernes","Sábado","Domingo"))</f>
        <v/>
      </c>
      <c r="AD140" s="36" t="str">
        <f aca="false">IF($B140="","",HOUR(C140))</f>
        <v/>
      </c>
      <c r="AE140" s="42" t="str">
        <f aca="false">IF($B140="","",IF(O140&lt;&gt;O139,MAX(V140-S140,V140),MAX(V140,AE139)))</f>
        <v/>
      </c>
      <c r="AF140" s="42" t="str">
        <f aca="false">IF($B140="","",V140-AE140)</f>
        <v/>
      </c>
      <c r="AG140" s="36" t="str">
        <f aca="false">IF($B140="","",IF(O140&lt;&gt;O139,IF(T140="G",1,-1),IF(T140="G",IF(N(AG139)&gt;0,AG139+1,1),IF(N(AG139)&lt;0,AG139-1,-1))))</f>
        <v/>
      </c>
    </row>
    <row r="141" customFormat="false" ht="15" hidden="false" customHeight="false" outlineLevel="0" collapsed="false">
      <c r="A141" s="36" t="str">
        <f aca="false">IF(B141="","",ROW()-6)</f>
        <v/>
      </c>
      <c r="B141" s="37"/>
      <c r="C141" s="38"/>
      <c r="D141" s="38"/>
      <c r="E141" s="39"/>
      <c r="F141" s="39"/>
      <c r="G141" s="39"/>
      <c r="H141" s="40"/>
      <c r="I141" s="40"/>
      <c r="J141" s="40"/>
      <c r="K141" s="40"/>
      <c r="L141" s="39"/>
      <c r="M141" s="40"/>
      <c r="N141" s="40"/>
      <c r="O141" s="36" t="str">
        <f aca="false">IF($B141="","",INT((A141-1)/Parametros!$C$10)+1)</f>
        <v/>
      </c>
      <c r="P141" s="41" t="str">
        <f aca="false">IF($B141="","",IF(OR(C141="",D141=""),"",ROUND((D141-C141)*1440,0)))</f>
        <v/>
      </c>
      <c r="Q141" s="42" t="str">
        <f aca="false">IF($B141="","",I141*VLOOKUP(E141,Parametros!$B$18:$D$24,2,FALSE()))</f>
        <v/>
      </c>
      <c r="R141" s="42" t="str">
        <f aca="false">IF($B141="","",G141*VLOOKUP(E141,Parametros!$B$18:$D$24,3,FALSE()))</f>
        <v/>
      </c>
      <c r="S141" s="42" t="str">
        <f aca="false">IF($B141="","",Q141-R141)</f>
        <v/>
      </c>
      <c r="T141" s="43" t="str">
        <f aca="false">IF($B141="","",IF(S141&gt;0,"G","P"))</f>
        <v/>
      </c>
      <c r="U141" s="44" t="str">
        <f aca="false">IF($B141="","",S141/Parametros!$C$8)</f>
        <v/>
      </c>
      <c r="V141" s="42" t="str">
        <f aca="false">IF($B141="","",Parametros!$C$6+SUM($S$7:S141))</f>
        <v/>
      </c>
      <c r="W141" s="42" t="str">
        <f aca="false">IF($B141="","",MAX(V141,W140))</f>
        <v/>
      </c>
      <c r="X141" s="42" t="str">
        <f aca="false">IF($B141="","",V141-W141)</f>
        <v/>
      </c>
      <c r="Y141" s="45" t="str">
        <f aca="false">IF($B141="","",X141/W141)</f>
        <v/>
      </c>
      <c r="Z141" s="36" t="str">
        <f aca="false">IF($B141="","",IF(T141="G",IF(N(Z140)&gt;0,Z140+1,1),IF(N(Z140)&lt;0,Z140-1,-1)))</f>
        <v/>
      </c>
      <c r="AA141" s="46" t="str">
        <f aca="false">IF($B141="","",B141-WEEKDAY(B141,2)+1)</f>
        <v/>
      </c>
      <c r="AB141" s="47" t="str">
        <f aca="false">IF($B141="","",DATE(YEAR(B141),MONTH(B141),1))</f>
        <v/>
      </c>
      <c r="AC141" s="41" t="str">
        <f aca="false">IF($B141="","",CHOOSE(WEEKDAY(B141,2),"Lunes","Martes","Miércoles","Jueves","Viernes","Sábado","Domingo"))</f>
        <v/>
      </c>
      <c r="AD141" s="36" t="str">
        <f aca="false">IF($B141="","",HOUR(C141))</f>
        <v/>
      </c>
      <c r="AE141" s="42" t="str">
        <f aca="false">IF($B141="","",IF(O141&lt;&gt;O140,MAX(V141-S141,V141),MAX(V141,AE140)))</f>
        <v/>
      </c>
      <c r="AF141" s="42" t="str">
        <f aca="false">IF($B141="","",V141-AE141)</f>
        <v/>
      </c>
      <c r="AG141" s="36" t="str">
        <f aca="false">IF($B141="","",IF(O141&lt;&gt;O140,IF(T141="G",1,-1),IF(T141="G",IF(N(AG140)&gt;0,AG140+1,1),IF(N(AG140)&lt;0,AG140-1,-1))))</f>
        <v/>
      </c>
    </row>
    <row r="142" customFormat="false" ht="15" hidden="false" customHeight="false" outlineLevel="0" collapsed="false">
      <c r="A142" s="36" t="str">
        <f aca="false">IF(B142="","",ROW()-6)</f>
        <v/>
      </c>
      <c r="B142" s="37"/>
      <c r="C142" s="38"/>
      <c r="D142" s="38"/>
      <c r="E142" s="39"/>
      <c r="F142" s="39"/>
      <c r="G142" s="39"/>
      <c r="H142" s="40"/>
      <c r="I142" s="40"/>
      <c r="J142" s="40"/>
      <c r="K142" s="40"/>
      <c r="L142" s="39"/>
      <c r="M142" s="40"/>
      <c r="N142" s="40"/>
      <c r="O142" s="36" t="str">
        <f aca="false">IF($B142="","",INT((A142-1)/Parametros!$C$10)+1)</f>
        <v/>
      </c>
      <c r="P142" s="41" t="str">
        <f aca="false">IF($B142="","",IF(OR(C142="",D142=""),"",ROUND((D142-C142)*1440,0)))</f>
        <v/>
      </c>
      <c r="Q142" s="42" t="str">
        <f aca="false">IF($B142="","",I142*VLOOKUP(E142,Parametros!$B$18:$D$24,2,FALSE()))</f>
        <v/>
      </c>
      <c r="R142" s="42" t="str">
        <f aca="false">IF($B142="","",G142*VLOOKUP(E142,Parametros!$B$18:$D$24,3,FALSE()))</f>
        <v/>
      </c>
      <c r="S142" s="42" t="str">
        <f aca="false">IF($B142="","",Q142-R142)</f>
        <v/>
      </c>
      <c r="T142" s="43" t="str">
        <f aca="false">IF($B142="","",IF(S142&gt;0,"G","P"))</f>
        <v/>
      </c>
      <c r="U142" s="44" t="str">
        <f aca="false">IF($B142="","",S142/Parametros!$C$8)</f>
        <v/>
      </c>
      <c r="V142" s="42" t="str">
        <f aca="false">IF($B142="","",Parametros!$C$6+SUM($S$7:S142))</f>
        <v/>
      </c>
      <c r="W142" s="42" t="str">
        <f aca="false">IF($B142="","",MAX(V142,W141))</f>
        <v/>
      </c>
      <c r="X142" s="42" t="str">
        <f aca="false">IF($B142="","",V142-W142)</f>
        <v/>
      </c>
      <c r="Y142" s="45" t="str">
        <f aca="false">IF($B142="","",X142/W142)</f>
        <v/>
      </c>
      <c r="Z142" s="36" t="str">
        <f aca="false">IF($B142="","",IF(T142="G",IF(N(Z141)&gt;0,Z141+1,1),IF(N(Z141)&lt;0,Z141-1,-1)))</f>
        <v/>
      </c>
      <c r="AA142" s="46" t="str">
        <f aca="false">IF($B142="","",B142-WEEKDAY(B142,2)+1)</f>
        <v/>
      </c>
      <c r="AB142" s="47" t="str">
        <f aca="false">IF($B142="","",DATE(YEAR(B142),MONTH(B142),1))</f>
        <v/>
      </c>
      <c r="AC142" s="41" t="str">
        <f aca="false">IF($B142="","",CHOOSE(WEEKDAY(B142,2),"Lunes","Martes","Miércoles","Jueves","Viernes","Sábado","Domingo"))</f>
        <v/>
      </c>
      <c r="AD142" s="36" t="str">
        <f aca="false">IF($B142="","",HOUR(C142))</f>
        <v/>
      </c>
      <c r="AE142" s="42" t="str">
        <f aca="false">IF($B142="","",IF(O142&lt;&gt;O141,MAX(V142-S142,V142),MAX(V142,AE141)))</f>
        <v/>
      </c>
      <c r="AF142" s="42" t="str">
        <f aca="false">IF($B142="","",V142-AE142)</f>
        <v/>
      </c>
      <c r="AG142" s="36" t="str">
        <f aca="false">IF($B142="","",IF(O142&lt;&gt;O141,IF(T142="G",1,-1),IF(T142="G",IF(N(AG141)&gt;0,AG141+1,1),IF(N(AG141)&lt;0,AG141-1,-1))))</f>
        <v/>
      </c>
    </row>
    <row r="143" customFormat="false" ht="15" hidden="false" customHeight="false" outlineLevel="0" collapsed="false">
      <c r="A143" s="36" t="str">
        <f aca="false">IF(B143="","",ROW()-6)</f>
        <v/>
      </c>
      <c r="B143" s="37"/>
      <c r="C143" s="38"/>
      <c r="D143" s="38"/>
      <c r="E143" s="39"/>
      <c r="F143" s="39"/>
      <c r="G143" s="39"/>
      <c r="H143" s="40"/>
      <c r="I143" s="40"/>
      <c r="J143" s="40"/>
      <c r="K143" s="40"/>
      <c r="L143" s="39"/>
      <c r="M143" s="40"/>
      <c r="N143" s="40"/>
      <c r="O143" s="36" t="str">
        <f aca="false">IF($B143="","",INT((A143-1)/Parametros!$C$10)+1)</f>
        <v/>
      </c>
      <c r="P143" s="41" t="str">
        <f aca="false">IF($B143="","",IF(OR(C143="",D143=""),"",ROUND((D143-C143)*1440,0)))</f>
        <v/>
      </c>
      <c r="Q143" s="42" t="str">
        <f aca="false">IF($B143="","",I143*VLOOKUP(E143,Parametros!$B$18:$D$24,2,FALSE()))</f>
        <v/>
      </c>
      <c r="R143" s="42" t="str">
        <f aca="false">IF($B143="","",G143*VLOOKUP(E143,Parametros!$B$18:$D$24,3,FALSE()))</f>
        <v/>
      </c>
      <c r="S143" s="42" t="str">
        <f aca="false">IF($B143="","",Q143-R143)</f>
        <v/>
      </c>
      <c r="T143" s="43" t="str">
        <f aca="false">IF($B143="","",IF(S143&gt;0,"G","P"))</f>
        <v/>
      </c>
      <c r="U143" s="44" t="str">
        <f aca="false">IF($B143="","",S143/Parametros!$C$8)</f>
        <v/>
      </c>
      <c r="V143" s="42" t="str">
        <f aca="false">IF($B143="","",Parametros!$C$6+SUM($S$7:S143))</f>
        <v/>
      </c>
      <c r="W143" s="42" t="str">
        <f aca="false">IF($B143="","",MAX(V143,W142))</f>
        <v/>
      </c>
      <c r="X143" s="42" t="str">
        <f aca="false">IF($B143="","",V143-W143)</f>
        <v/>
      </c>
      <c r="Y143" s="45" t="str">
        <f aca="false">IF($B143="","",X143/W143)</f>
        <v/>
      </c>
      <c r="Z143" s="36" t="str">
        <f aca="false">IF($B143="","",IF(T143="G",IF(N(Z142)&gt;0,Z142+1,1),IF(N(Z142)&lt;0,Z142-1,-1)))</f>
        <v/>
      </c>
      <c r="AA143" s="46" t="str">
        <f aca="false">IF($B143="","",B143-WEEKDAY(B143,2)+1)</f>
        <v/>
      </c>
      <c r="AB143" s="47" t="str">
        <f aca="false">IF($B143="","",DATE(YEAR(B143),MONTH(B143),1))</f>
        <v/>
      </c>
      <c r="AC143" s="41" t="str">
        <f aca="false">IF($B143="","",CHOOSE(WEEKDAY(B143,2),"Lunes","Martes","Miércoles","Jueves","Viernes","Sábado","Domingo"))</f>
        <v/>
      </c>
      <c r="AD143" s="36" t="str">
        <f aca="false">IF($B143="","",HOUR(C143))</f>
        <v/>
      </c>
      <c r="AE143" s="42" t="str">
        <f aca="false">IF($B143="","",IF(O143&lt;&gt;O142,MAX(V143-S143,V143),MAX(V143,AE142)))</f>
        <v/>
      </c>
      <c r="AF143" s="42" t="str">
        <f aca="false">IF($B143="","",V143-AE143)</f>
        <v/>
      </c>
      <c r="AG143" s="36" t="str">
        <f aca="false">IF($B143="","",IF(O143&lt;&gt;O142,IF(T143="G",1,-1),IF(T143="G",IF(N(AG142)&gt;0,AG142+1,1),IF(N(AG142)&lt;0,AG142-1,-1))))</f>
        <v/>
      </c>
    </row>
    <row r="144" customFormat="false" ht="15" hidden="false" customHeight="false" outlineLevel="0" collapsed="false">
      <c r="A144" s="36" t="str">
        <f aca="false">IF(B144="","",ROW()-6)</f>
        <v/>
      </c>
      <c r="B144" s="37"/>
      <c r="C144" s="38"/>
      <c r="D144" s="38"/>
      <c r="E144" s="39"/>
      <c r="F144" s="39"/>
      <c r="G144" s="39"/>
      <c r="H144" s="40"/>
      <c r="I144" s="40"/>
      <c r="J144" s="40"/>
      <c r="K144" s="40"/>
      <c r="L144" s="39"/>
      <c r="M144" s="40"/>
      <c r="N144" s="40"/>
      <c r="O144" s="36" t="str">
        <f aca="false">IF($B144="","",INT((A144-1)/Parametros!$C$10)+1)</f>
        <v/>
      </c>
      <c r="P144" s="41" t="str">
        <f aca="false">IF($B144="","",IF(OR(C144="",D144=""),"",ROUND((D144-C144)*1440,0)))</f>
        <v/>
      </c>
      <c r="Q144" s="42" t="str">
        <f aca="false">IF($B144="","",I144*VLOOKUP(E144,Parametros!$B$18:$D$24,2,FALSE()))</f>
        <v/>
      </c>
      <c r="R144" s="42" t="str">
        <f aca="false">IF($B144="","",G144*VLOOKUP(E144,Parametros!$B$18:$D$24,3,FALSE()))</f>
        <v/>
      </c>
      <c r="S144" s="42" t="str">
        <f aca="false">IF($B144="","",Q144-R144)</f>
        <v/>
      </c>
      <c r="T144" s="43" t="str">
        <f aca="false">IF($B144="","",IF(S144&gt;0,"G","P"))</f>
        <v/>
      </c>
      <c r="U144" s="44" t="str">
        <f aca="false">IF($B144="","",S144/Parametros!$C$8)</f>
        <v/>
      </c>
      <c r="V144" s="42" t="str">
        <f aca="false">IF($B144="","",Parametros!$C$6+SUM($S$7:S144))</f>
        <v/>
      </c>
      <c r="W144" s="42" t="str">
        <f aca="false">IF($B144="","",MAX(V144,W143))</f>
        <v/>
      </c>
      <c r="X144" s="42" t="str">
        <f aca="false">IF($B144="","",V144-W144)</f>
        <v/>
      </c>
      <c r="Y144" s="45" t="str">
        <f aca="false">IF($B144="","",X144/W144)</f>
        <v/>
      </c>
      <c r="Z144" s="36" t="str">
        <f aca="false">IF($B144="","",IF(T144="G",IF(N(Z143)&gt;0,Z143+1,1),IF(N(Z143)&lt;0,Z143-1,-1)))</f>
        <v/>
      </c>
      <c r="AA144" s="46" t="str">
        <f aca="false">IF($B144="","",B144-WEEKDAY(B144,2)+1)</f>
        <v/>
      </c>
      <c r="AB144" s="47" t="str">
        <f aca="false">IF($B144="","",DATE(YEAR(B144),MONTH(B144),1))</f>
        <v/>
      </c>
      <c r="AC144" s="41" t="str">
        <f aca="false">IF($B144="","",CHOOSE(WEEKDAY(B144,2),"Lunes","Martes","Miércoles","Jueves","Viernes","Sábado","Domingo"))</f>
        <v/>
      </c>
      <c r="AD144" s="36" t="str">
        <f aca="false">IF($B144="","",HOUR(C144))</f>
        <v/>
      </c>
      <c r="AE144" s="42" t="str">
        <f aca="false">IF($B144="","",IF(O144&lt;&gt;O143,MAX(V144-S144,V144),MAX(V144,AE143)))</f>
        <v/>
      </c>
      <c r="AF144" s="42" t="str">
        <f aca="false">IF($B144="","",V144-AE144)</f>
        <v/>
      </c>
      <c r="AG144" s="36" t="str">
        <f aca="false">IF($B144="","",IF(O144&lt;&gt;O143,IF(T144="G",1,-1),IF(T144="G",IF(N(AG143)&gt;0,AG143+1,1),IF(N(AG143)&lt;0,AG143-1,-1))))</f>
        <v/>
      </c>
    </row>
    <row r="145" customFormat="false" ht="15" hidden="false" customHeight="false" outlineLevel="0" collapsed="false">
      <c r="A145" s="36" t="str">
        <f aca="false">IF(B145="","",ROW()-6)</f>
        <v/>
      </c>
      <c r="B145" s="37"/>
      <c r="C145" s="38"/>
      <c r="D145" s="38"/>
      <c r="E145" s="39"/>
      <c r="F145" s="39"/>
      <c r="G145" s="39"/>
      <c r="H145" s="40"/>
      <c r="I145" s="40"/>
      <c r="J145" s="40"/>
      <c r="K145" s="40"/>
      <c r="L145" s="39"/>
      <c r="M145" s="40"/>
      <c r="N145" s="40"/>
      <c r="O145" s="36" t="str">
        <f aca="false">IF($B145="","",INT((A145-1)/Parametros!$C$10)+1)</f>
        <v/>
      </c>
      <c r="P145" s="41" t="str">
        <f aca="false">IF($B145="","",IF(OR(C145="",D145=""),"",ROUND((D145-C145)*1440,0)))</f>
        <v/>
      </c>
      <c r="Q145" s="42" t="str">
        <f aca="false">IF($B145="","",I145*VLOOKUP(E145,Parametros!$B$18:$D$24,2,FALSE()))</f>
        <v/>
      </c>
      <c r="R145" s="42" t="str">
        <f aca="false">IF($B145="","",G145*VLOOKUP(E145,Parametros!$B$18:$D$24,3,FALSE()))</f>
        <v/>
      </c>
      <c r="S145" s="42" t="str">
        <f aca="false">IF($B145="","",Q145-R145)</f>
        <v/>
      </c>
      <c r="T145" s="43" t="str">
        <f aca="false">IF($B145="","",IF(S145&gt;0,"G","P"))</f>
        <v/>
      </c>
      <c r="U145" s="44" t="str">
        <f aca="false">IF($B145="","",S145/Parametros!$C$8)</f>
        <v/>
      </c>
      <c r="V145" s="42" t="str">
        <f aca="false">IF($B145="","",Parametros!$C$6+SUM($S$7:S145))</f>
        <v/>
      </c>
      <c r="W145" s="42" t="str">
        <f aca="false">IF($B145="","",MAX(V145,W144))</f>
        <v/>
      </c>
      <c r="X145" s="42" t="str">
        <f aca="false">IF($B145="","",V145-W145)</f>
        <v/>
      </c>
      <c r="Y145" s="45" t="str">
        <f aca="false">IF($B145="","",X145/W145)</f>
        <v/>
      </c>
      <c r="Z145" s="36" t="str">
        <f aca="false">IF($B145="","",IF(T145="G",IF(N(Z144)&gt;0,Z144+1,1),IF(N(Z144)&lt;0,Z144-1,-1)))</f>
        <v/>
      </c>
      <c r="AA145" s="46" t="str">
        <f aca="false">IF($B145="","",B145-WEEKDAY(B145,2)+1)</f>
        <v/>
      </c>
      <c r="AB145" s="47" t="str">
        <f aca="false">IF($B145="","",DATE(YEAR(B145),MONTH(B145),1))</f>
        <v/>
      </c>
      <c r="AC145" s="41" t="str">
        <f aca="false">IF($B145="","",CHOOSE(WEEKDAY(B145,2),"Lunes","Martes","Miércoles","Jueves","Viernes","Sábado","Domingo"))</f>
        <v/>
      </c>
      <c r="AD145" s="36" t="str">
        <f aca="false">IF($B145="","",HOUR(C145))</f>
        <v/>
      </c>
      <c r="AE145" s="42" t="str">
        <f aca="false">IF($B145="","",IF(O145&lt;&gt;O144,MAX(V145-S145,V145),MAX(V145,AE144)))</f>
        <v/>
      </c>
      <c r="AF145" s="42" t="str">
        <f aca="false">IF($B145="","",V145-AE145)</f>
        <v/>
      </c>
      <c r="AG145" s="36" t="str">
        <f aca="false">IF($B145="","",IF(O145&lt;&gt;O144,IF(T145="G",1,-1),IF(T145="G",IF(N(AG144)&gt;0,AG144+1,1),IF(N(AG144)&lt;0,AG144-1,-1))))</f>
        <v/>
      </c>
    </row>
    <row r="146" customFormat="false" ht="15" hidden="false" customHeight="false" outlineLevel="0" collapsed="false">
      <c r="A146" s="36" t="str">
        <f aca="false">IF(B146="","",ROW()-6)</f>
        <v/>
      </c>
      <c r="B146" s="37"/>
      <c r="C146" s="38"/>
      <c r="D146" s="38"/>
      <c r="E146" s="39"/>
      <c r="F146" s="39"/>
      <c r="G146" s="39"/>
      <c r="H146" s="40"/>
      <c r="I146" s="40"/>
      <c r="J146" s="40"/>
      <c r="K146" s="40"/>
      <c r="L146" s="39"/>
      <c r="M146" s="40"/>
      <c r="N146" s="40"/>
      <c r="O146" s="36" t="str">
        <f aca="false">IF($B146="","",INT((A146-1)/Parametros!$C$10)+1)</f>
        <v/>
      </c>
      <c r="P146" s="41" t="str">
        <f aca="false">IF($B146="","",IF(OR(C146="",D146=""),"",ROUND((D146-C146)*1440,0)))</f>
        <v/>
      </c>
      <c r="Q146" s="42" t="str">
        <f aca="false">IF($B146="","",I146*VLOOKUP(E146,Parametros!$B$18:$D$24,2,FALSE()))</f>
        <v/>
      </c>
      <c r="R146" s="42" t="str">
        <f aca="false">IF($B146="","",G146*VLOOKUP(E146,Parametros!$B$18:$D$24,3,FALSE()))</f>
        <v/>
      </c>
      <c r="S146" s="42" t="str">
        <f aca="false">IF($B146="","",Q146-R146)</f>
        <v/>
      </c>
      <c r="T146" s="43" t="str">
        <f aca="false">IF($B146="","",IF(S146&gt;0,"G","P"))</f>
        <v/>
      </c>
      <c r="U146" s="44" t="str">
        <f aca="false">IF($B146="","",S146/Parametros!$C$8)</f>
        <v/>
      </c>
      <c r="V146" s="42" t="str">
        <f aca="false">IF($B146="","",Parametros!$C$6+SUM($S$7:S146))</f>
        <v/>
      </c>
      <c r="W146" s="42" t="str">
        <f aca="false">IF($B146="","",MAX(V146,W145))</f>
        <v/>
      </c>
      <c r="X146" s="42" t="str">
        <f aca="false">IF($B146="","",V146-W146)</f>
        <v/>
      </c>
      <c r="Y146" s="45" t="str">
        <f aca="false">IF($B146="","",X146/W146)</f>
        <v/>
      </c>
      <c r="Z146" s="36" t="str">
        <f aca="false">IF($B146="","",IF(T146="G",IF(N(Z145)&gt;0,Z145+1,1),IF(N(Z145)&lt;0,Z145-1,-1)))</f>
        <v/>
      </c>
      <c r="AA146" s="46" t="str">
        <f aca="false">IF($B146="","",B146-WEEKDAY(B146,2)+1)</f>
        <v/>
      </c>
      <c r="AB146" s="47" t="str">
        <f aca="false">IF($B146="","",DATE(YEAR(B146),MONTH(B146),1))</f>
        <v/>
      </c>
      <c r="AC146" s="41" t="str">
        <f aca="false">IF($B146="","",CHOOSE(WEEKDAY(B146,2),"Lunes","Martes","Miércoles","Jueves","Viernes","Sábado","Domingo"))</f>
        <v/>
      </c>
      <c r="AD146" s="36" t="str">
        <f aca="false">IF($B146="","",HOUR(C146))</f>
        <v/>
      </c>
      <c r="AE146" s="42" t="str">
        <f aca="false">IF($B146="","",IF(O146&lt;&gt;O145,MAX(V146-S146,V146),MAX(V146,AE145)))</f>
        <v/>
      </c>
      <c r="AF146" s="42" t="str">
        <f aca="false">IF($B146="","",V146-AE146)</f>
        <v/>
      </c>
      <c r="AG146" s="36" t="str">
        <f aca="false">IF($B146="","",IF(O146&lt;&gt;O145,IF(T146="G",1,-1),IF(T146="G",IF(N(AG145)&gt;0,AG145+1,1),IF(N(AG145)&lt;0,AG145-1,-1))))</f>
        <v/>
      </c>
    </row>
    <row r="147" customFormat="false" ht="15" hidden="false" customHeight="false" outlineLevel="0" collapsed="false">
      <c r="A147" s="36" t="str">
        <f aca="false">IF(B147="","",ROW()-6)</f>
        <v/>
      </c>
      <c r="B147" s="37"/>
      <c r="C147" s="38"/>
      <c r="D147" s="38"/>
      <c r="E147" s="39"/>
      <c r="F147" s="39"/>
      <c r="G147" s="39"/>
      <c r="H147" s="40"/>
      <c r="I147" s="40"/>
      <c r="J147" s="40"/>
      <c r="K147" s="40"/>
      <c r="L147" s="39"/>
      <c r="M147" s="40"/>
      <c r="N147" s="40"/>
      <c r="O147" s="36" t="str">
        <f aca="false">IF($B147="","",INT((A147-1)/Parametros!$C$10)+1)</f>
        <v/>
      </c>
      <c r="P147" s="41" t="str">
        <f aca="false">IF($B147="","",IF(OR(C147="",D147=""),"",ROUND((D147-C147)*1440,0)))</f>
        <v/>
      </c>
      <c r="Q147" s="42" t="str">
        <f aca="false">IF($B147="","",I147*VLOOKUP(E147,Parametros!$B$18:$D$24,2,FALSE()))</f>
        <v/>
      </c>
      <c r="R147" s="42" t="str">
        <f aca="false">IF($B147="","",G147*VLOOKUP(E147,Parametros!$B$18:$D$24,3,FALSE()))</f>
        <v/>
      </c>
      <c r="S147" s="42" t="str">
        <f aca="false">IF($B147="","",Q147-R147)</f>
        <v/>
      </c>
      <c r="T147" s="43" t="str">
        <f aca="false">IF($B147="","",IF(S147&gt;0,"G","P"))</f>
        <v/>
      </c>
      <c r="U147" s="44" t="str">
        <f aca="false">IF($B147="","",S147/Parametros!$C$8)</f>
        <v/>
      </c>
      <c r="V147" s="42" t="str">
        <f aca="false">IF($B147="","",Parametros!$C$6+SUM($S$7:S147))</f>
        <v/>
      </c>
      <c r="W147" s="42" t="str">
        <f aca="false">IF($B147="","",MAX(V147,W146))</f>
        <v/>
      </c>
      <c r="X147" s="42" t="str">
        <f aca="false">IF($B147="","",V147-W147)</f>
        <v/>
      </c>
      <c r="Y147" s="45" t="str">
        <f aca="false">IF($B147="","",X147/W147)</f>
        <v/>
      </c>
      <c r="Z147" s="36" t="str">
        <f aca="false">IF($B147="","",IF(T147="G",IF(N(Z146)&gt;0,Z146+1,1),IF(N(Z146)&lt;0,Z146-1,-1)))</f>
        <v/>
      </c>
      <c r="AA147" s="46" t="str">
        <f aca="false">IF($B147="","",B147-WEEKDAY(B147,2)+1)</f>
        <v/>
      </c>
      <c r="AB147" s="47" t="str">
        <f aca="false">IF($B147="","",DATE(YEAR(B147),MONTH(B147),1))</f>
        <v/>
      </c>
      <c r="AC147" s="41" t="str">
        <f aca="false">IF($B147="","",CHOOSE(WEEKDAY(B147,2),"Lunes","Martes","Miércoles","Jueves","Viernes","Sábado","Domingo"))</f>
        <v/>
      </c>
      <c r="AD147" s="36" t="str">
        <f aca="false">IF($B147="","",HOUR(C147))</f>
        <v/>
      </c>
      <c r="AE147" s="42" t="str">
        <f aca="false">IF($B147="","",IF(O147&lt;&gt;O146,MAX(V147-S147,V147),MAX(V147,AE146)))</f>
        <v/>
      </c>
      <c r="AF147" s="42" t="str">
        <f aca="false">IF($B147="","",V147-AE147)</f>
        <v/>
      </c>
      <c r="AG147" s="36" t="str">
        <f aca="false">IF($B147="","",IF(O147&lt;&gt;O146,IF(T147="G",1,-1),IF(T147="G",IF(N(AG146)&gt;0,AG146+1,1),IF(N(AG146)&lt;0,AG146-1,-1))))</f>
        <v/>
      </c>
    </row>
    <row r="148" customFormat="false" ht="15" hidden="false" customHeight="false" outlineLevel="0" collapsed="false">
      <c r="A148" s="36" t="str">
        <f aca="false">IF(B148="","",ROW()-6)</f>
        <v/>
      </c>
      <c r="B148" s="37"/>
      <c r="C148" s="38"/>
      <c r="D148" s="38"/>
      <c r="E148" s="39"/>
      <c r="F148" s="39"/>
      <c r="G148" s="39"/>
      <c r="H148" s="40"/>
      <c r="I148" s="40"/>
      <c r="J148" s="40"/>
      <c r="K148" s="40"/>
      <c r="L148" s="39"/>
      <c r="M148" s="40"/>
      <c r="N148" s="40"/>
      <c r="O148" s="36" t="str">
        <f aca="false">IF($B148="","",INT((A148-1)/Parametros!$C$10)+1)</f>
        <v/>
      </c>
      <c r="P148" s="41" t="str">
        <f aca="false">IF($B148="","",IF(OR(C148="",D148=""),"",ROUND((D148-C148)*1440,0)))</f>
        <v/>
      </c>
      <c r="Q148" s="42" t="str">
        <f aca="false">IF($B148="","",I148*VLOOKUP(E148,Parametros!$B$18:$D$24,2,FALSE()))</f>
        <v/>
      </c>
      <c r="R148" s="42" t="str">
        <f aca="false">IF($B148="","",G148*VLOOKUP(E148,Parametros!$B$18:$D$24,3,FALSE()))</f>
        <v/>
      </c>
      <c r="S148" s="42" t="str">
        <f aca="false">IF($B148="","",Q148-R148)</f>
        <v/>
      </c>
      <c r="T148" s="43" t="str">
        <f aca="false">IF($B148="","",IF(S148&gt;0,"G","P"))</f>
        <v/>
      </c>
      <c r="U148" s="44" t="str">
        <f aca="false">IF($B148="","",S148/Parametros!$C$8)</f>
        <v/>
      </c>
      <c r="V148" s="42" t="str">
        <f aca="false">IF($B148="","",Parametros!$C$6+SUM($S$7:S148))</f>
        <v/>
      </c>
      <c r="W148" s="42" t="str">
        <f aca="false">IF($B148="","",MAX(V148,W147))</f>
        <v/>
      </c>
      <c r="X148" s="42" t="str">
        <f aca="false">IF($B148="","",V148-W148)</f>
        <v/>
      </c>
      <c r="Y148" s="45" t="str">
        <f aca="false">IF($B148="","",X148/W148)</f>
        <v/>
      </c>
      <c r="Z148" s="36" t="str">
        <f aca="false">IF($B148="","",IF(T148="G",IF(N(Z147)&gt;0,Z147+1,1),IF(N(Z147)&lt;0,Z147-1,-1)))</f>
        <v/>
      </c>
      <c r="AA148" s="46" t="str">
        <f aca="false">IF($B148="","",B148-WEEKDAY(B148,2)+1)</f>
        <v/>
      </c>
      <c r="AB148" s="47" t="str">
        <f aca="false">IF($B148="","",DATE(YEAR(B148),MONTH(B148),1))</f>
        <v/>
      </c>
      <c r="AC148" s="41" t="str">
        <f aca="false">IF($B148="","",CHOOSE(WEEKDAY(B148,2),"Lunes","Martes","Miércoles","Jueves","Viernes","Sábado","Domingo"))</f>
        <v/>
      </c>
      <c r="AD148" s="36" t="str">
        <f aca="false">IF($B148="","",HOUR(C148))</f>
        <v/>
      </c>
      <c r="AE148" s="42" t="str">
        <f aca="false">IF($B148="","",IF(O148&lt;&gt;O147,MAX(V148-S148,V148),MAX(V148,AE147)))</f>
        <v/>
      </c>
      <c r="AF148" s="42" t="str">
        <f aca="false">IF($B148="","",V148-AE148)</f>
        <v/>
      </c>
      <c r="AG148" s="36" t="str">
        <f aca="false">IF($B148="","",IF(O148&lt;&gt;O147,IF(T148="G",1,-1),IF(T148="G",IF(N(AG147)&gt;0,AG147+1,1),IF(N(AG147)&lt;0,AG147-1,-1))))</f>
        <v/>
      </c>
    </row>
    <row r="149" customFormat="false" ht="15" hidden="false" customHeight="false" outlineLevel="0" collapsed="false">
      <c r="A149" s="36" t="str">
        <f aca="false">IF(B149="","",ROW()-6)</f>
        <v/>
      </c>
      <c r="B149" s="37"/>
      <c r="C149" s="38"/>
      <c r="D149" s="38"/>
      <c r="E149" s="39"/>
      <c r="F149" s="39"/>
      <c r="G149" s="39"/>
      <c r="H149" s="40"/>
      <c r="I149" s="40"/>
      <c r="J149" s="40"/>
      <c r="K149" s="40"/>
      <c r="L149" s="39"/>
      <c r="M149" s="40"/>
      <c r="N149" s="40"/>
      <c r="O149" s="36" t="str">
        <f aca="false">IF($B149="","",INT((A149-1)/Parametros!$C$10)+1)</f>
        <v/>
      </c>
      <c r="P149" s="41" t="str">
        <f aca="false">IF($B149="","",IF(OR(C149="",D149=""),"",ROUND((D149-C149)*1440,0)))</f>
        <v/>
      </c>
      <c r="Q149" s="42" t="str">
        <f aca="false">IF($B149="","",I149*VLOOKUP(E149,Parametros!$B$18:$D$24,2,FALSE()))</f>
        <v/>
      </c>
      <c r="R149" s="42" t="str">
        <f aca="false">IF($B149="","",G149*VLOOKUP(E149,Parametros!$B$18:$D$24,3,FALSE()))</f>
        <v/>
      </c>
      <c r="S149" s="42" t="str">
        <f aca="false">IF($B149="","",Q149-R149)</f>
        <v/>
      </c>
      <c r="T149" s="43" t="str">
        <f aca="false">IF($B149="","",IF(S149&gt;0,"G","P"))</f>
        <v/>
      </c>
      <c r="U149" s="44" t="str">
        <f aca="false">IF($B149="","",S149/Parametros!$C$8)</f>
        <v/>
      </c>
      <c r="V149" s="42" t="str">
        <f aca="false">IF($B149="","",Parametros!$C$6+SUM($S$7:S149))</f>
        <v/>
      </c>
      <c r="W149" s="42" t="str">
        <f aca="false">IF($B149="","",MAX(V149,W148))</f>
        <v/>
      </c>
      <c r="X149" s="42" t="str">
        <f aca="false">IF($B149="","",V149-W149)</f>
        <v/>
      </c>
      <c r="Y149" s="45" t="str">
        <f aca="false">IF($B149="","",X149/W149)</f>
        <v/>
      </c>
      <c r="Z149" s="36" t="str">
        <f aca="false">IF($B149="","",IF(T149="G",IF(N(Z148)&gt;0,Z148+1,1),IF(N(Z148)&lt;0,Z148-1,-1)))</f>
        <v/>
      </c>
      <c r="AA149" s="46" t="str">
        <f aca="false">IF($B149="","",B149-WEEKDAY(B149,2)+1)</f>
        <v/>
      </c>
      <c r="AB149" s="47" t="str">
        <f aca="false">IF($B149="","",DATE(YEAR(B149),MONTH(B149),1))</f>
        <v/>
      </c>
      <c r="AC149" s="41" t="str">
        <f aca="false">IF($B149="","",CHOOSE(WEEKDAY(B149,2),"Lunes","Martes","Miércoles","Jueves","Viernes","Sábado","Domingo"))</f>
        <v/>
      </c>
      <c r="AD149" s="36" t="str">
        <f aca="false">IF($B149="","",HOUR(C149))</f>
        <v/>
      </c>
      <c r="AE149" s="42" t="str">
        <f aca="false">IF($B149="","",IF(O149&lt;&gt;O148,MAX(V149-S149,V149),MAX(V149,AE148)))</f>
        <v/>
      </c>
      <c r="AF149" s="42" t="str">
        <f aca="false">IF($B149="","",V149-AE149)</f>
        <v/>
      </c>
      <c r="AG149" s="36" t="str">
        <f aca="false">IF($B149="","",IF(O149&lt;&gt;O148,IF(T149="G",1,-1),IF(T149="G",IF(N(AG148)&gt;0,AG148+1,1),IF(N(AG148)&lt;0,AG148-1,-1))))</f>
        <v/>
      </c>
    </row>
    <row r="150" customFormat="false" ht="15" hidden="false" customHeight="false" outlineLevel="0" collapsed="false">
      <c r="A150" s="36" t="str">
        <f aca="false">IF(B150="","",ROW()-6)</f>
        <v/>
      </c>
      <c r="B150" s="37"/>
      <c r="C150" s="38"/>
      <c r="D150" s="38"/>
      <c r="E150" s="39"/>
      <c r="F150" s="39"/>
      <c r="G150" s="39"/>
      <c r="H150" s="40"/>
      <c r="I150" s="40"/>
      <c r="J150" s="40"/>
      <c r="K150" s="40"/>
      <c r="L150" s="39"/>
      <c r="M150" s="40"/>
      <c r="N150" s="40"/>
      <c r="O150" s="36" t="str">
        <f aca="false">IF($B150="","",INT((A150-1)/Parametros!$C$10)+1)</f>
        <v/>
      </c>
      <c r="P150" s="41" t="str">
        <f aca="false">IF($B150="","",IF(OR(C150="",D150=""),"",ROUND((D150-C150)*1440,0)))</f>
        <v/>
      </c>
      <c r="Q150" s="42" t="str">
        <f aca="false">IF($B150="","",I150*VLOOKUP(E150,Parametros!$B$18:$D$24,2,FALSE()))</f>
        <v/>
      </c>
      <c r="R150" s="42" t="str">
        <f aca="false">IF($B150="","",G150*VLOOKUP(E150,Parametros!$B$18:$D$24,3,FALSE()))</f>
        <v/>
      </c>
      <c r="S150" s="42" t="str">
        <f aca="false">IF($B150="","",Q150-R150)</f>
        <v/>
      </c>
      <c r="T150" s="43" t="str">
        <f aca="false">IF($B150="","",IF(S150&gt;0,"G","P"))</f>
        <v/>
      </c>
      <c r="U150" s="44" t="str">
        <f aca="false">IF($B150="","",S150/Parametros!$C$8)</f>
        <v/>
      </c>
      <c r="V150" s="42" t="str">
        <f aca="false">IF($B150="","",Parametros!$C$6+SUM($S$7:S150))</f>
        <v/>
      </c>
      <c r="W150" s="42" t="str">
        <f aca="false">IF($B150="","",MAX(V150,W149))</f>
        <v/>
      </c>
      <c r="X150" s="42" t="str">
        <f aca="false">IF($B150="","",V150-W150)</f>
        <v/>
      </c>
      <c r="Y150" s="45" t="str">
        <f aca="false">IF($B150="","",X150/W150)</f>
        <v/>
      </c>
      <c r="Z150" s="36" t="str">
        <f aca="false">IF($B150="","",IF(T150="G",IF(N(Z149)&gt;0,Z149+1,1),IF(N(Z149)&lt;0,Z149-1,-1)))</f>
        <v/>
      </c>
      <c r="AA150" s="46" t="str">
        <f aca="false">IF($B150="","",B150-WEEKDAY(B150,2)+1)</f>
        <v/>
      </c>
      <c r="AB150" s="47" t="str">
        <f aca="false">IF($B150="","",DATE(YEAR(B150),MONTH(B150),1))</f>
        <v/>
      </c>
      <c r="AC150" s="41" t="str">
        <f aca="false">IF($B150="","",CHOOSE(WEEKDAY(B150,2),"Lunes","Martes","Miércoles","Jueves","Viernes","Sábado","Domingo"))</f>
        <v/>
      </c>
      <c r="AD150" s="36" t="str">
        <f aca="false">IF($B150="","",HOUR(C150))</f>
        <v/>
      </c>
      <c r="AE150" s="42" t="str">
        <f aca="false">IF($B150="","",IF(O150&lt;&gt;O149,MAX(V150-S150,V150),MAX(V150,AE149)))</f>
        <v/>
      </c>
      <c r="AF150" s="42" t="str">
        <f aca="false">IF($B150="","",V150-AE150)</f>
        <v/>
      </c>
      <c r="AG150" s="36" t="str">
        <f aca="false">IF($B150="","",IF(O150&lt;&gt;O149,IF(T150="G",1,-1),IF(T150="G",IF(N(AG149)&gt;0,AG149+1,1),IF(N(AG149)&lt;0,AG149-1,-1))))</f>
        <v/>
      </c>
    </row>
    <row r="151" customFormat="false" ht="15" hidden="false" customHeight="false" outlineLevel="0" collapsed="false">
      <c r="A151" s="36" t="str">
        <f aca="false">IF(B151="","",ROW()-6)</f>
        <v/>
      </c>
      <c r="B151" s="37"/>
      <c r="C151" s="38"/>
      <c r="D151" s="38"/>
      <c r="E151" s="39"/>
      <c r="F151" s="39"/>
      <c r="G151" s="39"/>
      <c r="H151" s="40"/>
      <c r="I151" s="40"/>
      <c r="J151" s="40"/>
      <c r="K151" s="40"/>
      <c r="L151" s="39"/>
      <c r="M151" s="40"/>
      <c r="N151" s="40"/>
      <c r="O151" s="36" t="str">
        <f aca="false">IF($B151="","",INT((A151-1)/Parametros!$C$10)+1)</f>
        <v/>
      </c>
      <c r="P151" s="41" t="str">
        <f aca="false">IF($B151="","",IF(OR(C151="",D151=""),"",ROUND((D151-C151)*1440,0)))</f>
        <v/>
      </c>
      <c r="Q151" s="42" t="str">
        <f aca="false">IF($B151="","",I151*VLOOKUP(E151,Parametros!$B$18:$D$24,2,FALSE()))</f>
        <v/>
      </c>
      <c r="R151" s="42" t="str">
        <f aca="false">IF($B151="","",G151*VLOOKUP(E151,Parametros!$B$18:$D$24,3,FALSE()))</f>
        <v/>
      </c>
      <c r="S151" s="42" t="str">
        <f aca="false">IF($B151="","",Q151-R151)</f>
        <v/>
      </c>
      <c r="T151" s="43" t="str">
        <f aca="false">IF($B151="","",IF(S151&gt;0,"G","P"))</f>
        <v/>
      </c>
      <c r="U151" s="44" t="str">
        <f aca="false">IF($B151="","",S151/Parametros!$C$8)</f>
        <v/>
      </c>
      <c r="V151" s="42" t="str">
        <f aca="false">IF($B151="","",Parametros!$C$6+SUM($S$7:S151))</f>
        <v/>
      </c>
      <c r="W151" s="42" t="str">
        <f aca="false">IF($B151="","",MAX(V151,W150))</f>
        <v/>
      </c>
      <c r="X151" s="42" t="str">
        <f aca="false">IF($B151="","",V151-W151)</f>
        <v/>
      </c>
      <c r="Y151" s="45" t="str">
        <f aca="false">IF($B151="","",X151/W151)</f>
        <v/>
      </c>
      <c r="Z151" s="36" t="str">
        <f aca="false">IF($B151="","",IF(T151="G",IF(N(Z150)&gt;0,Z150+1,1),IF(N(Z150)&lt;0,Z150-1,-1)))</f>
        <v/>
      </c>
      <c r="AA151" s="46" t="str">
        <f aca="false">IF($B151="","",B151-WEEKDAY(B151,2)+1)</f>
        <v/>
      </c>
      <c r="AB151" s="47" t="str">
        <f aca="false">IF($B151="","",DATE(YEAR(B151),MONTH(B151),1))</f>
        <v/>
      </c>
      <c r="AC151" s="41" t="str">
        <f aca="false">IF($B151="","",CHOOSE(WEEKDAY(B151,2),"Lunes","Martes","Miércoles","Jueves","Viernes","Sábado","Domingo"))</f>
        <v/>
      </c>
      <c r="AD151" s="36" t="str">
        <f aca="false">IF($B151="","",HOUR(C151))</f>
        <v/>
      </c>
      <c r="AE151" s="42" t="str">
        <f aca="false">IF($B151="","",IF(O151&lt;&gt;O150,MAX(V151-S151,V151),MAX(V151,AE150)))</f>
        <v/>
      </c>
      <c r="AF151" s="42" t="str">
        <f aca="false">IF($B151="","",V151-AE151)</f>
        <v/>
      </c>
      <c r="AG151" s="36" t="str">
        <f aca="false">IF($B151="","",IF(O151&lt;&gt;O150,IF(T151="G",1,-1),IF(T151="G",IF(N(AG150)&gt;0,AG150+1,1),IF(N(AG150)&lt;0,AG150-1,-1))))</f>
        <v/>
      </c>
    </row>
    <row r="152" customFormat="false" ht="15" hidden="false" customHeight="false" outlineLevel="0" collapsed="false">
      <c r="A152" s="36" t="str">
        <f aca="false">IF(B152="","",ROW()-6)</f>
        <v/>
      </c>
      <c r="B152" s="37"/>
      <c r="C152" s="38"/>
      <c r="D152" s="38"/>
      <c r="E152" s="39"/>
      <c r="F152" s="39"/>
      <c r="G152" s="39"/>
      <c r="H152" s="40"/>
      <c r="I152" s="40"/>
      <c r="J152" s="40"/>
      <c r="K152" s="40"/>
      <c r="L152" s="39"/>
      <c r="M152" s="40"/>
      <c r="N152" s="40"/>
      <c r="O152" s="36" t="str">
        <f aca="false">IF($B152="","",INT((A152-1)/Parametros!$C$10)+1)</f>
        <v/>
      </c>
      <c r="P152" s="41" t="str">
        <f aca="false">IF($B152="","",IF(OR(C152="",D152=""),"",ROUND((D152-C152)*1440,0)))</f>
        <v/>
      </c>
      <c r="Q152" s="42" t="str">
        <f aca="false">IF($B152="","",I152*VLOOKUP(E152,Parametros!$B$18:$D$24,2,FALSE()))</f>
        <v/>
      </c>
      <c r="R152" s="42" t="str">
        <f aca="false">IF($B152="","",G152*VLOOKUP(E152,Parametros!$B$18:$D$24,3,FALSE()))</f>
        <v/>
      </c>
      <c r="S152" s="42" t="str">
        <f aca="false">IF($B152="","",Q152-R152)</f>
        <v/>
      </c>
      <c r="T152" s="43" t="str">
        <f aca="false">IF($B152="","",IF(S152&gt;0,"G","P"))</f>
        <v/>
      </c>
      <c r="U152" s="44" t="str">
        <f aca="false">IF($B152="","",S152/Parametros!$C$8)</f>
        <v/>
      </c>
      <c r="V152" s="42" t="str">
        <f aca="false">IF($B152="","",Parametros!$C$6+SUM($S$7:S152))</f>
        <v/>
      </c>
      <c r="W152" s="42" t="str">
        <f aca="false">IF($B152="","",MAX(V152,W151))</f>
        <v/>
      </c>
      <c r="X152" s="42" t="str">
        <f aca="false">IF($B152="","",V152-W152)</f>
        <v/>
      </c>
      <c r="Y152" s="45" t="str">
        <f aca="false">IF($B152="","",X152/W152)</f>
        <v/>
      </c>
      <c r="Z152" s="36" t="str">
        <f aca="false">IF($B152="","",IF(T152="G",IF(N(Z151)&gt;0,Z151+1,1),IF(N(Z151)&lt;0,Z151-1,-1)))</f>
        <v/>
      </c>
      <c r="AA152" s="46" t="str">
        <f aca="false">IF($B152="","",B152-WEEKDAY(B152,2)+1)</f>
        <v/>
      </c>
      <c r="AB152" s="47" t="str">
        <f aca="false">IF($B152="","",DATE(YEAR(B152),MONTH(B152),1))</f>
        <v/>
      </c>
      <c r="AC152" s="41" t="str">
        <f aca="false">IF($B152="","",CHOOSE(WEEKDAY(B152,2),"Lunes","Martes","Miércoles","Jueves","Viernes","Sábado","Domingo"))</f>
        <v/>
      </c>
      <c r="AD152" s="36" t="str">
        <f aca="false">IF($B152="","",HOUR(C152))</f>
        <v/>
      </c>
      <c r="AE152" s="42" t="str">
        <f aca="false">IF($B152="","",IF(O152&lt;&gt;O151,MAX(V152-S152,V152),MAX(V152,AE151)))</f>
        <v/>
      </c>
      <c r="AF152" s="42" t="str">
        <f aca="false">IF($B152="","",V152-AE152)</f>
        <v/>
      </c>
      <c r="AG152" s="36" t="str">
        <f aca="false">IF($B152="","",IF(O152&lt;&gt;O151,IF(T152="G",1,-1),IF(T152="G",IF(N(AG151)&gt;0,AG151+1,1),IF(N(AG151)&lt;0,AG151-1,-1))))</f>
        <v/>
      </c>
    </row>
    <row r="153" customFormat="false" ht="15" hidden="false" customHeight="false" outlineLevel="0" collapsed="false">
      <c r="A153" s="36" t="str">
        <f aca="false">IF(B153="","",ROW()-6)</f>
        <v/>
      </c>
      <c r="B153" s="37"/>
      <c r="C153" s="38"/>
      <c r="D153" s="38"/>
      <c r="E153" s="39"/>
      <c r="F153" s="39"/>
      <c r="G153" s="39"/>
      <c r="H153" s="40"/>
      <c r="I153" s="40"/>
      <c r="J153" s="40"/>
      <c r="K153" s="40"/>
      <c r="L153" s="39"/>
      <c r="M153" s="40"/>
      <c r="N153" s="40"/>
      <c r="O153" s="36" t="str">
        <f aca="false">IF($B153="","",INT((A153-1)/Parametros!$C$10)+1)</f>
        <v/>
      </c>
      <c r="P153" s="41" t="str">
        <f aca="false">IF($B153="","",IF(OR(C153="",D153=""),"",ROUND((D153-C153)*1440,0)))</f>
        <v/>
      </c>
      <c r="Q153" s="42" t="str">
        <f aca="false">IF($B153="","",I153*VLOOKUP(E153,Parametros!$B$18:$D$24,2,FALSE()))</f>
        <v/>
      </c>
      <c r="R153" s="42" t="str">
        <f aca="false">IF($B153="","",G153*VLOOKUP(E153,Parametros!$B$18:$D$24,3,FALSE()))</f>
        <v/>
      </c>
      <c r="S153" s="42" t="str">
        <f aca="false">IF($B153="","",Q153-R153)</f>
        <v/>
      </c>
      <c r="T153" s="43" t="str">
        <f aca="false">IF($B153="","",IF(S153&gt;0,"G","P"))</f>
        <v/>
      </c>
      <c r="U153" s="44" t="str">
        <f aca="false">IF($B153="","",S153/Parametros!$C$8)</f>
        <v/>
      </c>
      <c r="V153" s="42" t="str">
        <f aca="false">IF($B153="","",Parametros!$C$6+SUM($S$7:S153))</f>
        <v/>
      </c>
      <c r="W153" s="42" t="str">
        <f aca="false">IF($B153="","",MAX(V153,W152))</f>
        <v/>
      </c>
      <c r="X153" s="42" t="str">
        <f aca="false">IF($B153="","",V153-W153)</f>
        <v/>
      </c>
      <c r="Y153" s="45" t="str">
        <f aca="false">IF($B153="","",X153/W153)</f>
        <v/>
      </c>
      <c r="Z153" s="36" t="str">
        <f aca="false">IF($B153="","",IF(T153="G",IF(N(Z152)&gt;0,Z152+1,1),IF(N(Z152)&lt;0,Z152-1,-1)))</f>
        <v/>
      </c>
      <c r="AA153" s="46" t="str">
        <f aca="false">IF($B153="","",B153-WEEKDAY(B153,2)+1)</f>
        <v/>
      </c>
      <c r="AB153" s="47" t="str">
        <f aca="false">IF($B153="","",DATE(YEAR(B153),MONTH(B153),1))</f>
        <v/>
      </c>
      <c r="AC153" s="41" t="str">
        <f aca="false">IF($B153="","",CHOOSE(WEEKDAY(B153,2),"Lunes","Martes","Miércoles","Jueves","Viernes","Sábado","Domingo"))</f>
        <v/>
      </c>
      <c r="AD153" s="36" t="str">
        <f aca="false">IF($B153="","",HOUR(C153))</f>
        <v/>
      </c>
      <c r="AE153" s="42" t="str">
        <f aca="false">IF($B153="","",IF(O153&lt;&gt;O152,MAX(V153-S153,V153),MAX(V153,AE152)))</f>
        <v/>
      </c>
      <c r="AF153" s="42" t="str">
        <f aca="false">IF($B153="","",V153-AE153)</f>
        <v/>
      </c>
      <c r="AG153" s="36" t="str">
        <f aca="false">IF($B153="","",IF(O153&lt;&gt;O152,IF(T153="G",1,-1),IF(T153="G",IF(N(AG152)&gt;0,AG152+1,1),IF(N(AG152)&lt;0,AG152-1,-1))))</f>
        <v/>
      </c>
    </row>
    <row r="154" customFormat="false" ht="15" hidden="false" customHeight="false" outlineLevel="0" collapsed="false">
      <c r="A154" s="36" t="str">
        <f aca="false">IF(B154="","",ROW()-6)</f>
        <v/>
      </c>
      <c r="B154" s="37"/>
      <c r="C154" s="38"/>
      <c r="D154" s="38"/>
      <c r="E154" s="39"/>
      <c r="F154" s="39"/>
      <c r="G154" s="39"/>
      <c r="H154" s="40"/>
      <c r="I154" s="40"/>
      <c r="J154" s="40"/>
      <c r="K154" s="40"/>
      <c r="L154" s="39"/>
      <c r="M154" s="40"/>
      <c r="N154" s="40"/>
      <c r="O154" s="36" t="str">
        <f aca="false">IF($B154="","",INT((A154-1)/Parametros!$C$10)+1)</f>
        <v/>
      </c>
      <c r="P154" s="41" t="str">
        <f aca="false">IF($B154="","",IF(OR(C154="",D154=""),"",ROUND((D154-C154)*1440,0)))</f>
        <v/>
      </c>
      <c r="Q154" s="42" t="str">
        <f aca="false">IF($B154="","",I154*VLOOKUP(E154,Parametros!$B$18:$D$24,2,FALSE()))</f>
        <v/>
      </c>
      <c r="R154" s="42" t="str">
        <f aca="false">IF($B154="","",G154*VLOOKUP(E154,Parametros!$B$18:$D$24,3,FALSE()))</f>
        <v/>
      </c>
      <c r="S154" s="42" t="str">
        <f aca="false">IF($B154="","",Q154-R154)</f>
        <v/>
      </c>
      <c r="T154" s="43" t="str">
        <f aca="false">IF($B154="","",IF(S154&gt;0,"G","P"))</f>
        <v/>
      </c>
      <c r="U154" s="44" t="str">
        <f aca="false">IF($B154="","",S154/Parametros!$C$8)</f>
        <v/>
      </c>
      <c r="V154" s="42" t="str">
        <f aca="false">IF($B154="","",Parametros!$C$6+SUM($S$7:S154))</f>
        <v/>
      </c>
      <c r="W154" s="42" t="str">
        <f aca="false">IF($B154="","",MAX(V154,W153))</f>
        <v/>
      </c>
      <c r="X154" s="42" t="str">
        <f aca="false">IF($B154="","",V154-W154)</f>
        <v/>
      </c>
      <c r="Y154" s="45" t="str">
        <f aca="false">IF($B154="","",X154/W154)</f>
        <v/>
      </c>
      <c r="Z154" s="36" t="str">
        <f aca="false">IF($B154="","",IF(T154="G",IF(N(Z153)&gt;0,Z153+1,1),IF(N(Z153)&lt;0,Z153-1,-1)))</f>
        <v/>
      </c>
      <c r="AA154" s="46" t="str">
        <f aca="false">IF($B154="","",B154-WEEKDAY(B154,2)+1)</f>
        <v/>
      </c>
      <c r="AB154" s="47" t="str">
        <f aca="false">IF($B154="","",DATE(YEAR(B154),MONTH(B154),1))</f>
        <v/>
      </c>
      <c r="AC154" s="41" t="str">
        <f aca="false">IF($B154="","",CHOOSE(WEEKDAY(B154,2),"Lunes","Martes","Miércoles","Jueves","Viernes","Sábado","Domingo"))</f>
        <v/>
      </c>
      <c r="AD154" s="36" t="str">
        <f aca="false">IF($B154="","",HOUR(C154))</f>
        <v/>
      </c>
      <c r="AE154" s="42" t="str">
        <f aca="false">IF($B154="","",IF(O154&lt;&gt;O153,MAX(V154-S154,V154),MAX(V154,AE153)))</f>
        <v/>
      </c>
      <c r="AF154" s="42" t="str">
        <f aca="false">IF($B154="","",V154-AE154)</f>
        <v/>
      </c>
      <c r="AG154" s="36" t="str">
        <f aca="false">IF($B154="","",IF(O154&lt;&gt;O153,IF(T154="G",1,-1),IF(T154="G",IF(N(AG153)&gt;0,AG153+1,1),IF(N(AG153)&lt;0,AG153-1,-1))))</f>
        <v/>
      </c>
    </row>
    <row r="155" customFormat="false" ht="15" hidden="false" customHeight="false" outlineLevel="0" collapsed="false">
      <c r="A155" s="36" t="str">
        <f aca="false">IF(B155="","",ROW()-6)</f>
        <v/>
      </c>
      <c r="B155" s="37"/>
      <c r="C155" s="38"/>
      <c r="D155" s="38"/>
      <c r="E155" s="39"/>
      <c r="F155" s="39"/>
      <c r="G155" s="39"/>
      <c r="H155" s="40"/>
      <c r="I155" s="40"/>
      <c r="J155" s="40"/>
      <c r="K155" s="40"/>
      <c r="L155" s="39"/>
      <c r="M155" s="40"/>
      <c r="N155" s="40"/>
      <c r="O155" s="36" t="str">
        <f aca="false">IF($B155="","",INT((A155-1)/Parametros!$C$10)+1)</f>
        <v/>
      </c>
      <c r="P155" s="41" t="str">
        <f aca="false">IF($B155="","",IF(OR(C155="",D155=""),"",ROUND((D155-C155)*1440,0)))</f>
        <v/>
      </c>
      <c r="Q155" s="42" t="str">
        <f aca="false">IF($B155="","",I155*VLOOKUP(E155,Parametros!$B$18:$D$24,2,FALSE()))</f>
        <v/>
      </c>
      <c r="R155" s="42" t="str">
        <f aca="false">IF($B155="","",G155*VLOOKUP(E155,Parametros!$B$18:$D$24,3,FALSE()))</f>
        <v/>
      </c>
      <c r="S155" s="42" t="str">
        <f aca="false">IF($B155="","",Q155-R155)</f>
        <v/>
      </c>
      <c r="T155" s="43" t="str">
        <f aca="false">IF($B155="","",IF(S155&gt;0,"G","P"))</f>
        <v/>
      </c>
      <c r="U155" s="44" t="str">
        <f aca="false">IF($B155="","",S155/Parametros!$C$8)</f>
        <v/>
      </c>
      <c r="V155" s="42" t="str">
        <f aca="false">IF($B155="","",Parametros!$C$6+SUM($S$7:S155))</f>
        <v/>
      </c>
      <c r="W155" s="42" t="str">
        <f aca="false">IF($B155="","",MAX(V155,W154))</f>
        <v/>
      </c>
      <c r="X155" s="42" t="str">
        <f aca="false">IF($B155="","",V155-W155)</f>
        <v/>
      </c>
      <c r="Y155" s="45" t="str">
        <f aca="false">IF($B155="","",X155/W155)</f>
        <v/>
      </c>
      <c r="Z155" s="36" t="str">
        <f aca="false">IF($B155="","",IF(T155="G",IF(N(Z154)&gt;0,Z154+1,1),IF(N(Z154)&lt;0,Z154-1,-1)))</f>
        <v/>
      </c>
      <c r="AA155" s="46" t="str">
        <f aca="false">IF($B155="","",B155-WEEKDAY(B155,2)+1)</f>
        <v/>
      </c>
      <c r="AB155" s="47" t="str">
        <f aca="false">IF($B155="","",DATE(YEAR(B155),MONTH(B155),1))</f>
        <v/>
      </c>
      <c r="AC155" s="41" t="str">
        <f aca="false">IF($B155="","",CHOOSE(WEEKDAY(B155,2),"Lunes","Martes","Miércoles","Jueves","Viernes","Sábado","Domingo"))</f>
        <v/>
      </c>
      <c r="AD155" s="36" t="str">
        <f aca="false">IF($B155="","",HOUR(C155))</f>
        <v/>
      </c>
      <c r="AE155" s="42" t="str">
        <f aca="false">IF($B155="","",IF(O155&lt;&gt;O154,MAX(V155-S155,V155),MAX(V155,AE154)))</f>
        <v/>
      </c>
      <c r="AF155" s="42" t="str">
        <f aca="false">IF($B155="","",V155-AE155)</f>
        <v/>
      </c>
      <c r="AG155" s="36" t="str">
        <f aca="false">IF($B155="","",IF(O155&lt;&gt;O154,IF(T155="G",1,-1),IF(T155="G",IF(N(AG154)&gt;0,AG154+1,1),IF(N(AG154)&lt;0,AG154-1,-1))))</f>
        <v/>
      </c>
    </row>
    <row r="156" customFormat="false" ht="15" hidden="false" customHeight="false" outlineLevel="0" collapsed="false">
      <c r="A156" s="36" t="str">
        <f aca="false">IF(B156="","",ROW()-6)</f>
        <v/>
      </c>
      <c r="B156" s="37"/>
      <c r="C156" s="38"/>
      <c r="D156" s="38"/>
      <c r="E156" s="39"/>
      <c r="F156" s="39"/>
      <c r="G156" s="39"/>
      <c r="H156" s="40"/>
      <c r="I156" s="40"/>
      <c r="J156" s="40"/>
      <c r="K156" s="40"/>
      <c r="L156" s="39"/>
      <c r="M156" s="40"/>
      <c r="N156" s="40"/>
      <c r="O156" s="36" t="str">
        <f aca="false">IF($B156="","",INT((A156-1)/Parametros!$C$10)+1)</f>
        <v/>
      </c>
      <c r="P156" s="41" t="str">
        <f aca="false">IF($B156="","",IF(OR(C156="",D156=""),"",ROUND((D156-C156)*1440,0)))</f>
        <v/>
      </c>
      <c r="Q156" s="42" t="str">
        <f aca="false">IF($B156="","",I156*VLOOKUP(E156,Parametros!$B$18:$D$24,2,FALSE()))</f>
        <v/>
      </c>
      <c r="R156" s="42" t="str">
        <f aca="false">IF($B156="","",G156*VLOOKUP(E156,Parametros!$B$18:$D$24,3,FALSE()))</f>
        <v/>
      </c>
      <c r="S156" s="42" t="str">
        <f aca="false">IF($B156="","",Q156-R156)</f>
        <v/>
      </c>
      <c r="T156" s="43" t="str">
        <f aca="false">IF($B156="","",IF(S156&gt;0,"G","P"))</f>
        <v/>
      </c>
      <c r="U156" s="44" t="str">
        <f aca="false">IF($B156="","",S156/Parametros!$C$8)</f>
        <v/>
      </c>
      <c r="V156" s="42" t="str">
        <f aca="false">IF($B156="","",Parametros!$C$6+SUM($S$7:S156))</f>
        <v/>
      </c>
      <c r="W156" s="42" t="str">
        <f aca="false">IF($B156="","",MAX(V156,W155))</f>
        <v/>
      </c>
      <c r="X156" s="42" t="str">
        <f aca="false">IF($B156="","",V156-W156)</f>
        <v/>
      </c>
      <c r="Y156" s="45" t="str">
        <f aca="false">IF($B156="","",X156/W156)</f>
        <v/>
      </c>
      <c r="Z156" s="36" t="str">
        <f aca="false">IF($B156="","",IF(T156="G",IF(N(Z155)&gt;0,Z155+1,1),IF(N(Z155)&lt;0,Z155-1,-1)))</f>
        <v/>
      </c>
      <c r="AA156" s="46" t="str">
        <f aca="false">IF($B156="","",B156-WEEKDAY(B156,2)+1)</f>
        <v/>
      </c>
      <c r="AB156" s="47" t="str">
        <f aca="false">IF($B156="","",DATE(YEAR(B156),MONTH(B156),1))</f>
        <v/>
      </c>
      <c r="AC156" s="41" t="str">
        <f aca="false">IF($B156="","",CHOOSE(WEEKDAY(B156,2),"Lunes","Martes","Miércoles","Jueves","Viernes","Sábado","Domingo"))</f>
        <v/>
      </c>
      <c r="AD156" s="36" t="str">
        <f aca="false">IF($B156="","",HOUR(C156))</f>
        <v/>
      </c>
      <c r="AE156" s="42" t="str">
        <f aca="false">IF($B156="","",IF(O156&lt;&gt;O155,MAX(V156-S156,V156),MAX(V156,AE155)))</f>
        <v/>
      </c>
      <c r="AF156" s="42" t="str">
        <f aca="false">IF($B156="","",V156-AE156)</f>
        <v/>
      </c>
      <c r="AG156" s="36" t="str">
        <f aca="false">IF($B156="","",IF(O156&lt;&gt;O155,IF(T156="G",1,-1),IF(T156="G",IF(N(AG155)&gt;0,AG155+1,1),IF(N(AG155)&lt;0,AG155-1,-1))))</f>
        <v/>
      </c>
    </row>
    <row r="157" customFormat="false" ht="15" hidden="false" customHeight="false" outlineLevel="0" collapsed="false">
      <c r="A157" s="36" t="str">
        <f aca="false">IF(B157="","",ROW()-6)</f>
        <v/>
      </c>
      <c r="B157" s="37"/>
      <c r="C157" s="38"/>
      <c r="D157" s="38"/>
      <c r="E157" s="39"/>
      <c r="F157" s="39"/>
      <c r="G157" s="39"/>
      <c r="H157" s="40"/>
      <c r="I157" s="40"/>
      <c r="J157" s="40"/>
      <c r="K157" s="40"/>
      <c r="L157" s="39"/>
      <c r="M157" s="40"/>
      <c r="N157" s="40"/>
      <c r="O157" s="36" t="str">
        <f aca="false">IF($B157="","",INT((A157-1)/Parametros!$C$10)+1)</f>
        <v/>
      </c>
      <c r="P157" s="41" t="str">
        <f aca="false">IF($B157="","",IF(OR(C157="",D157=""),"",ROUND((D157-C157)*1440,0)))</f>
        <v/>
      </c>
      <c r="Q157" s="42" t="str">
        <f aca="false">IF($B157="","",I157*VLOOKUP(E157,Parametros!$B$18:$D$24,2,FALSE()))</f>
        <v/>
      </c>
      <c r="R157" s="42" t="str">
        <f aca="false">IF($B157="","",G157*VLOOKUP(E157,Parametros!$B$18:$D$24,3,FALSE()))</f>
        <v/>
      </c>
      <c r="S157" s="42" t="str">
        <f aca="false">IF($B157="","",Q157-R157)</f>
        <v/>
      </c>
      <c r="T157" s="43" t="str">
        <f aca="false">IF($B157="","",IF(S157&gt;0,"G","P"))</f>
        <v/>
      </c>
      <c r="U157" s="44" t="str">
        <f aca="false">IF($B157="","",S157/Parametros!$C$8)</f>
        <v/>
      </c>
      <c r="V157" s="42" t="str">
        <f aca="false">IF($B157="","",Parametros!$C$6+SUM($S$7:S157))</f>
        <v/>
      </c>
      <c r="W157" s="42" t="str">
        <f aca="false">IF($B157="","",MAX(V157,W156))</f>
        <v/>
      </c>
      <c r="X157" s="42" t="str">
        <f aca="false">IF($B157="","",V157-W157)</f>
        <v/>
      </c>
      <c r="Y157" s="45" t="str">
        <f aca="false">IF($B157="","",X157/W157)</f>
        <v/>
      </c>
      <c r="Z157" s="36" t="str">
        <f aca="false">IF($B157="","",IF(T157="G",IF(N(Z156)&gt;0,Z156+1,1),IF(N(Z156)&lt;0,Z156-1,-1)))</f>
        <v/>
      </c>
      <c r="AA157" s="46" t="str">
        <f aca="false">IF($B157="","",B157-WEEKDAY(B157,2)+1)</f>
        <v/>
      </c>
      <c r="AB157" s="47" t="str">
        <f aca="false">IF($B157="","",DATE(YEAR(B157),MONTH(B157),1))</f>
        <v/>
      </c>
      <c r="AC157" s="41" t="str">
        <f aca="false">IF($B157="","",CHOOSE(WEEKDAY(B157,2),"Lunes","Martes","Miércoles","Jueves","Viernes","Sábado","Domingo"))</f>
        <v/>
      </c>
      <c r="AD157" s="36" t="str">
        <f aca="false">IF($B157="","",HOUR(C157))</f>
        <v/>
      </c>
      <c r="AE157" s="42" t="str">
        <f aca="false">IF($B157="","",IF(O157&lt;&gt;O156,MAX(V157-S157,V157),MAX(V157,AE156)))</f>
        <v/>
      </c>
      <c r="AF157" s="42" t="str">
        <f aca="false">IF($B157="","",V157-AE157)</f>
        <v/>
      </c>
      <c r="AG157" s="36" t="str">
        <f aca="false">IF($B157="","",IF(O157&lt;&gt;O156,IF(T157="G",1,-1),IF(T157="G",IF(N(AG156)&gt;0,AG156+1,1),IF(N(AG156)&lt;0,AG156-1,-1))))</f>
        <v/>
      </c>
    </row>
    <row r="158" customFormat="false" ht="15" hidden="false" customHeight="false" outlineLevel="0" collapsed="false">
      <c r="A158" s="36" t="str">
        <f aca="false">IF(B158="","",ROW()-6)</f>
        <v/>
      </c>
      <c r="B158" s="37"/>
      <c r="C158" s="38"/>
      <c r="D158" s="38"/>
      <c r="E158" s="39"/>
      <c r="F158" s="39"/>
      <c r="G158" s="39"/>
      <c r="H158" s="40"/>
      <c r="I158" s="40"/>
      <c r="J158" s="40"/>
      <c r="K158" s="40"/>
      <c r="L158" s="39"/>
      <c r="M158" s="40"/>
      <c r="N158" s="40"/>
      <c r="O158" s="36" t="str">
        <f aca="false">IF($B158="","",INT((A158-1)/Parametros!$C$10)+1)</f>
        <v/>
      </c>
      <c r="P158" s="41" t="str">
        <f aca="false">IF($B158="","",IF(OR(C158="",D158=""),"",ROUND((D158-C158)*1440,0)))</f>
        <v/>
      </c>
      <c r="Q158" s="42" t="str">
        <f aca="false">IF($B158="","",I158*VLOOKUP(E158,Parametros!$B$18:$D$24,2,FALSE()))</f>
        <v/>
      </c>
      <c r="R158" s="42" t="str">
        <f aca="false">IF($B158="","",G158*VLOOKUP(E158,Parametros!$B$18:$D$24,3,FALSE()))</f>
        <v/>
      </c>
      <c r="S158" s="42" t="str">
        <f aca="false">IF($B158="","",Q158-R158)</f>
        <v/>
      </c>
      <c r="T158" s="43" t="str">
        <f aca="false">IF($B158="","",IF(S158&gt;0,"G","P"))</f>
        <v/>
      </c>
      <c r="U158" s="44" t="str">
        <f aca="false">IF($B158="","",S158/Parametros!$C$8)</f>
        <v/>
      </c>
      <c r="V158" s="42" t="str">
        <f aca="false">IF($B158="","",Parametros!$C$6+SUM($S$7:S158))</f>
        <v/>
      </c>
      <c r="W158" s="42" t="str">
        <f aca="false">IF($B158="","",MAX(V158,W157))</f>
        <v/>
      </c>
      <c r="X158" s="42" t="str">
        <f aca="false">IF($B158="","",V158-W158)</f>
        <v/>
      </c>
      <c r="Y158" s="45" t="str">
        <f aca="false">IF($B158="","",X158/W158)</f>
        <v/>
      </c>
      <c r="Z158" s="36" t="str">
        <f aca="false">IF($B158="","",IF(T158="G",IF(N(Z157)&gt;0,Z157+1,1),IF(N(Z157)&lt;0,Z157-1,-1)))</f>
        <v/>
      </c>
      <c r="AA158" s="46" t="str">
        <f aca="false">IF($B158="","",B158-WEEKDAY(B158,2)+1)</f>
        <v/>
      </c>
      <c r="AB158" s="47" t="str">
        <f aca="false">IF($B158="","",DATE(YEAR(B158),MONTH(B158),1))</f>
        <v/>
      </c>
      <c r="AC158" s="41" t="str">
        <f aca="false">IF($B158="","",CHOOSE(WEEKDAY(B158,2),"Lunes","Martes","Miércoles","Jueves","Viernes","Sábado","Domingo"))</f>
        <v/>
      </c>
      <c r="AD158" s="36" t="str">
        <f aca="false">IF($B158="","",HOUR(C158))</f>
        <v/>
      </c>
      <c r="AE158" s="42" t="str">
        <f aca="false">IF($B158="","",IF(O158&lt;&gt;O157,MAX(V158-S158,V158),MAX(V158,AE157)))</f>
        <v/>
      </c>
      <c r="AF158" s="42" t="str">
        <f aca="false">IF($B158="","",V158-AE158)</f>
        <v/>
      </c>
      <c r="AG158" s="36" t="str">
        <f aca="false">IF($B158="","",IF(O158&lt;&gt;O157,IF(T158="G",1,-1),IF(T158="G",IF(N(AG157)&gt;0,AG157+1,1),IF(N(AG157)&lt;0,AG157-1,-1))))</f>
        <v/>
      </c>
    </row>
    <row r="159" customFormat="false" ht="15" hidden="false" customHeight="false" outlineLevel="0" collapsed="false">
      <c r="A159" s="36" t="str">
        <f aca="false">IF(B159="","",ROW()-6)</f>
        <v/>
      </c>
      <c r="B159" s="37"/>
      <c r="C159" s="38"/>
      <c r="D159" s="38"/>
      <c r="E159" s="39"/>
      <c r="F159" s="39"/>
      <c r="G159" s="39"/>
      <c r="H159" s="40"/>
      <c r="I159" s="40"/>
      <c r="J159" s="40"/>
      <c r="K159" s="40"/>
      <c r="L159" s="39"/>
      <c r="M159" s="40"/>
      <c r="N159" s="40"/>
      <c r="O159" s="36" t="str">
        <f aca="false">IF($B159="","",INT((A159-1)/Parametros!$C$10)+1)</f>
        <v/>
      </c>
      <c r="P159" s="41" t="str">
        <f aca="false">IF($B159="","",IF(OR(C159="",D159=""),"",ROUND((D159-C159)*1440,0)))</f>
        <v/>
      </c>
      <c r="Q159" s="42" t="str">
        <f aca="false">IF($B159="","",I159*VLOOKUP(E159,Parametros!$B$18:$D$24,2,FALSE()))</f>
        <v/>
      </c>
      <c r="R159" s="42" t="str">
        <f aca="false">IF($B159="","",G159*VLOOKUP(E159,Parametros!$B$18:$D$24,3,FALSE()))</f>
        <v/>
      </c>
      <c r="S159" s="42" t="str">
        <f aca="false">IF($B159="","",Q159-R159)</f>
        <v/>
      </c>
      <c r="T159" s="43" t="str">
        <f aca="false">IF($B159="","",IF(S159&gt;0,"G","P"))</f>
        <v/>
      </c>
      <c r="U159" s="44" t="str">
        <f aca="false">IF($B159="","",S159/Parametros!$C$8)</f>
        <v/>
      </c>
      <c r="V159" s="42" t="str">
        <f aca="false">IF($B159="","",Parametros!$C$6+SUM($S$7:S159))</f>
        <v/>
      </c>
      <c r="W159" s="42" t="str">
        <f aca="false">IF($B159="","",MAX(V159,W158))</f>
        <v/>
      </c>
      <c r="X159" s="42" t="str">
        <f aca="false">IF($B159="","",V159-W159)</f>
        <v/>
      </c>
      <c r="Y159" s="45" t="str">
        <f aca="false">IF($B159="","",X159/W159)</f>
        <v/>
      </c>
      <c r="Z159" s="36" t="str">
        <f aca="false">IF($B159="","",IF(T159="G",IF(N(Z158)&gt;0,Z158+1,1),IF(N(Z158)&lt;0,Z158-1,-1)))</f>
        <v/>
      </c>
      <c r="AA159" s="46" t="str">
        <f aca="false">IF($B159="","",B159-WEEKDAY(B159,2)+1)</f>
        <v/>
      </c>
      <c r="AB159" s="47" t="str">
        <f aca="false">IF($B159="","",DATE(YEAR(B159),MONTH(B159),1))</f>
        <v/>
      </c>
      <c r="AC159" s="41" t="str">
        <f aca="false">IF($B159="","",CHOOSE(WEEKDAY(B159,2),"Lunes","Martes","Miércoles","Jueves","Viernes","Sábado","Domingo"))</f>
        <v/>
      </c>
      <c r="AD159" s="36" t="str">
        <f aca="false">IF($B159="","",HOUR(C159))</f>
        <v/>
      </c>
      <c r="AE159" s="42" t="str">
        <f aca="false">IF($B159="","",IF(O159&lt;&gt;O158,MAX(V159-S159,V159),MAX(V159,AE158)))</f>
        <v/>
      </c>
      <c r="AF159" s="42" t="str">
        <f aca="false">IF($B159="","",V159-AE159)</f>
        <v/>
      </c>
      <c r="AG159" s="36" t="str">
        <f aca="false">IF($B159="","",IF(O159&lt;&gt;O158,IF(T159="G",1,-1),IF(T159="G",IF(N(AG158)&gt;0,AG158+1,1),IF(N(AG158)&lt;0,AG158-1,-1))))</f>
        <v/>
      </c>
    </row>
    <row r="160" customFormat="false" ht="15" hidden="false" customHeight="false" outlineLevel="0" collapsed="false">
      <c r="A160" s="36" t="str">
        <f aca="false">IF(B160="","",ROW()-6)</f>
        <v/>
      </c>
      <c r="B160" s="37"/>
      <c r="C160" s="38"/>
      <c r="D160" s="38"/>
      <c r="E160" s="39"/>
      <c r="F160" s="39"/>
      <c r="G160" s="39"/>
      <c r="H160" s="40"/>
      <c r="I160" s="40"/>
      <c r="J160" s="40"/>
      <c r="K160" s="40"/>
      <c r="L160" s="39"/>
      <c r="M160" s="40"/>
      <c r="N160" s="40"/>
      <c r="O160" s="36" t="str">
        <f aca="false">IF($B160="","",INT((A160-1)/Parametros!$C$10)+1)</f>
        <v/>
      </c>
      <c r="P160" s="41" t="str">
        <f aca="false">IF($B160="","",IF(OR(C160="",D160=""),"",ROUND((D160-C160)*1440,0)))</f>
        <v/>
      </c>
      <c r="Q160" s="42" t="str">
        <f aca="false">IF($B160="","",I160*VLOOKUP(E160,Parametros!$B$18:$D$24,2,FALSE()))</f>
        <v/>
      </c>
      <c r="R160" s="42" t="str">
        <f aca="false">IF($B160="","",G160*VLOOKUP(E160,Parametros!$B$18:$D$24,3,FALSE()))</f>
        <v/>
      </c>
      <c r="S160" s="42" t="str">
        <f aca="false">IF($B160="","",Q160-R160)</f>
        <v/>
      </c>
      <c r="T160" s="43" t="str">
        <f aca="false">IF($B160="","",IF(S160&gt;0,"G","P"))</f>
        <v/>
      </c>
      <c r="U160" s="44" t="str">
        <f aca="false">IF($B160="","",S160/Parametros!$C$8)</f>
        <v/>
      </c>
      <c r="V160" s="42" t="str">
        <f aca="false">IF($B160="","",Parametros!$C$6+SUM($S$7:S160))</f>
        <v/>
      </c>
      <c r="W160" s="42" t="str">
        <f aca="false">IF($B160="","",MAX(V160,W159))</f>
        <v/>
      </c>
      <c r="X160" s="42" t="str">
        <f aca="false">IF($B160="","",V160-W160)</f>
        <v/>
      </c>
      <c r="Y160" s="45" t="str">
        <f aca="false">IF($B160="","",X160/W160)</f>
        <v/>
      </c>
      <c r="Z160" s="36" t="str">
        <f aca="false">IF($B160="","",IF(T160="G",IF(N(Z159)&gt;0,Z159+1,1),IF(N(Z159)&lt;0,Z159-1,-1)))</f>
        <v/>
      </c>
      <c r="AA160" s="46" t="str">
        <f aca="false">IF($B160="","",B160-WEEKDAY(B160,2)+1)</f>
        <v/>
      </c>
      <c r="AB160" s="47" t="str">
        <f aca="false">IF($B160="","",DATE(YEAR(B160),MONTH(B160),1))</f>
        <v/>
      </c>
      <c r="AC160" s="41" t="str">
        <f aca="false">IF($B160="","",CHOOSE(WEEKDAY(B160,2),"Lunes","Martes","Miércoles","Jueves","Viernes","Sábado","Domingo"))</f>
        <v/>
      </c>
      <c r="AD160" s="36" t="str">
        <f aca="false">IF($B160="","",HOUR(C160))</f>
        <v/>
      </c>
      <c r="AE160" s="42" t="str">
        <f aca="false">IF($B160="","",IF(O160&lt;&gt;O159,MAX(V160-S160,V160),MAX(V160,AE159)))</f>
        <v/>
      </c>
      <c r="AF160" s="42" t="str">
        <f aca="false">IF($B160="","",V160-AE160)</f>
        <v/>
      </c>
      <c r="AG160" s="36" t="str">
        <f aca="false">IF($B160="","",IF(O160&lt;&gt;O159,IF(T160="G",1,-1),IF(T160="G",IF(N(AG159)&gt;0,AG159+1,1),IF(N(AG159)&lt;0,AG159-1,-1))))</f>
        <v/>
      </c>
    </row>
    <row r="161" customFormat="false" ht="15" hidden="false" customHeight="false" outlineLevel="0" collapsed="false">
      <c r="A161" s="36" t="str">
        <f aca="false">IF(B161="","",ROW()-6)</f>
        <v/>
      </c>
      <c r="B161" s="37"/>
      <c r="C161" s="38"/>
      <c r="D161" s="38"/>
      <c r="E161" s="39"/>
      <c r="F161" s="39"/>
      <c r="G161" s="39"/>
      <c r="H161" s="40"/>
      <c r="I161" s="40"/>
      <c r="J161" s="40"/>
      <c r="K161" s="40"/>
      <c r="L161" s="39"/>
      <c r="M161" s="40"/>
      <c r="N161" s="40"/>
      <c r="O161" s="36" t="str">
        <f aca="false">IF($B161="","",INT((A161-1)/Parametros!$C$10)+1)</f>
        <v/>
      </c>
      <c r="P161" s="41" t="str">
        <f aca="false">IF($B161="","",IF(OR(C161="",D161=""),"",ROUND((D161-C161)*1440,0)))</f>
        <v/>
      </c>
      <c r="Q161" s="42" t="str">
        <f aca="false">IF($B161="","",I161*VLOOKUP(E161,Parametros!$B$18:$D$24,2,FALSE()))</f>
        <v/>
      </c>
      <c r="R161" s="42" t="str">
        <f aca="false">IF($B161="","",G161*VLOOKUP(E161,Parametros!$B$18:$D$24,3,FALSE()))</f>
        <v/>
      </c>
      <c r="S161" s="42" t="str">
        <f aca="false">IF($B161="","",Q161-R161)</f>
        <v/>
      </c>
      <c r="T161" s="43" t="str">
        <f aca="false">IF($B161="","",IF(S161&gt;0,"G","P"))</f>
        <v/>
      </c>
      <c r="U161" s="44" t="str">
        <f aca="false">IF($B161="","",S161/Parametros!$C$8)</f>
        <v/>
      </c>
      <c r="V161" s="42" t="str">
        <f aca="false">IF($B161="","",Parametros!$C$6+SUM($S$7:S161))</f>
        <v/>
      </c>
      <c r="W161" s="42" t="str">
        <f aca="false">IF($B161="","",MAX(V161,W160))</f>
        <v/>
      </c>
      <c r="X161" s="42" t="str">
        <f aca="false">IF($B161="","",V161-W161)</f>
        <v/>
      </c>
      <c r="Y161" s="45" t="str">
        <f aca="false">IF($B161="","",X161/W161)</f>
        <v/>
      </c>
      <c r="Z161" s="36" t="str">
        <f aca="false">IF($B161="","",IF(T161="G",IF(N(Z160)&gt;0,Z160+1,1),IF(N(Z160)&lt;0,Z160-1,-1)))</f>
        <v/>
      </c>
      <c r="AA161" s="46" t="str">
        <f aca="false">IF($B161="","",B161-WEEKDAY(B161,2)+1)</f>
        <v/>
      </c>
      <c r="AB161" s="47" t="str">
        <f aca="false">IF($B161="","",DATE(YEAR(B161),MONTH(B161),1))</f>
        <v/>
      </c>
      <c r="AC161" s="41" t="str">
        <f aca="false">IF($B161="","",CHOOSE(WEEKDAY(B161,2),"Lunes","Martes","Miércoles","Jueves","Viernes","Sábado","Domingo"))</f>
        <v/>
      </c>
      <c r="AD161" s="36" t="str">
        <f aca="false">IF($B161="","",HOUR(C161))</f>
        <v/>
      </c>
      <c r="AE161" s="42" t="str">
        <f aca="false">IF($B161="","",IF(O161&lt;&gt;O160,MAX(V161-S161,V161),MAX(V161,AE160)))</f>
        <v/>
      </c>
      <c r="AF161" s="42" t="str">
        <f aca="false">IF($B161="","",V161-AE161)</f>
        <v/>
      </c>
      <c r="AG161" s="36" t="str">
        <f aca="false">IF($B161="","",IF(O161&lt;&gt;O160,IF(T161="G",1,-1),IF(T161="G",IF(N(AG160)&gt;0,AG160+1,1),IF(N(AG160)&lt;0,AG160-1,-1))))</f>
        <v/>
      </c>
    </row>
    <row r="162" customFormat="false" ht="15" hidden="false" customHeight="false" outlineLevel="0" collapsed="false">
      <c r="A162" s="36" t="str">
        <f aca="false">IF(B162="","",ROW()-6)</f>
        <v/>
      </c>
      <c r="B162" s="37"/>
      <c r="C162" s="38"/>
      <c r="D162" s="38"/>
      <c r="E162" s="39"/>
      <c r="F162" s="39"/>
      <c r="G162" s="39"/>
      <c r="H162" s="40"/>
      <c r="I162" s="40"/>
      <c r="J162" s="40"/>
      <c r="K162" s="40"/>
      <c r="L162" s="39"/>
      <c r="M162" s="40"/>
      <c r="N162" s="40"/>
      <c r="O162" s="36" t="str">
        <f aca="false">IF($B162="","",INT((A162-1)/Parametros!$C$10)+1)</f>
        <v/>
      </c>
      <c r="P162" s="41" t="str">
        <f aca="false">IF($B162="","",IF(OR(C162="",D162=""),"",ROUND((D162-C162)*1440,0)))</f>
        <v/>
      </c>
      <c r="Q162" s="42" t="str">
        <f aca="false">IF($B162="","",I162*VLOOKUP(E162,Parametros!$B$18:$D$24,2,FALSE()))</f>
        <v/>
      </c>
      <c r="R162" s="42" t="str">
        <f aca="false">IF($B162="","",G162*VLOOKUP(E162,Parametros!$B$18:$D$24,3,FALSE()))</f>
        <v/>
      </c>
      <c r="S162" s="42" t="str">
        <f aca="false">IF($B162="","",Q162-R162)</f>
        <v/>
      </c>
      <c r="T162" s="43" t="str">
        <f aca="false">IF($B162="","",IF(S162&gt;0,"G","P"))</f>
        <v/>
      </c>
      <c r="U162" s="44" t="str">
        <f aca="false">IF($B162="","",S162/Parametros!$C$8)</f>
        <v/>
      </c>
      <c r="V162" s="42" t="str">
        <f aca="false">IF($B162="","",Parametros!$C$6+SUM($S$7:S162))</f>
        <v/>
      </c>
      <c r="W162" s="42" t="str">
        <f aca="false">IF($B162="","",MAX(V162,W161))</f>
        <v/>
      </c>
      <c r="X162" s="42" t="str">
        <f aca="false">IF($B162="","",V162-W162)</f>
        <v/>
      </c>
      <c r="Y162" s="45" t="str">
        <f aca="false">IF($B162="","",X162/W162)</f>
        <v/>
      </c>
      <c r="Z162" s="36" t="str">
        <f aca="false">IF($B162="","",IF(T162="G",IF(N(Z161)&gt;0,Z161+1,1),IF(N(Z161)&lt;0,Z161-1,-1)))</f>
        <v/>
      </c>
      <c r="AA162" s="46" t="str">
        <f aca="false">IF($B162="","",B162-WEEKDAY(B162,2)+1)</f>
        <v/>
      </c>
      <c r="AB162" s="47" t="str">
        <f aca="false">IF($B162="","",DATE(YEAR(B162),MONTH(B162),1))</f>
        <v/>
      </c>
      <c r="AC162" s="41" t="str">
        <f aca="false">IF($B162="","",CHOOSE(WEEKDAY(B162,2),"Lunes","Martes","Miércoles","Jueves","Viernes","Sábado","Domingo"))</f>
        <v/>
      </c>
      <c r="AD162" s="36" t="str">
        <f aca="false">IF($B162="","",HOUR(C162))</f>
        <v/>
      </c>
      <c r="AE162" s="42" t="str">
        <f aca="false">IF($B162="","",IF(O162&lt;&gt;O161,MAX(V162-S162,V162),MAX(V162,AE161)))</f>
        <v/>
      </c>
      <c r="AF162" s="42" t="str">
        <f aca="false">IF($B162="","",V162-AE162)</f>
        <v/>
      </c>
      <c r="AG162" s="36" t="str">
        <f aca="false">IF($B162="","",IF(O162&lt;&gt;O161,IF(T162="G",1,-1),IF(T162="G",IF(N(AG161)&gt;0,AG161+1,1),IF(N(AG161)&lt;0,AG161-1,-1))))</f>
        <v/>
      </c>
    </row>
    <row r="163" customFormat="false" ht="15" hidden="false" customHeight="false" outlineLevel="0" collapsed="false">
      <c r="A163" s="36" t="str">
        <f aca="false">IF(B163="","",ROW()-6)</f>
        <v/>
      </c>
      <c r="B163" s="37"/>
      <c r="C163" s="38"/>
      <c r="D163" s="38"/>
      <c r="E163" s="39"/>
      <c r="F163" s="39"/>
      <c r="G163" s="39"/>
      <c r="H163" s="40"/>
      <c r="I163" s="40"/>
      <c r="J163" s="40"/>
      <c r="K163" s="40"/>
      <c r="L163" s="39"/>
      <c r="M163" s="40"/>
      <c r="N163" s="40"/>
      <c r="O163" s="36" t="str">
        <f aca="false">IF($B163="","",INT((A163-1)/Parametros!$C$10)+1)</f>
        <v/>
      </c>
      <c r="P163" s="41" t="str">
        <f aca="false">IF($B163="","",IF(OR(C163="",D163=""),"",ROUND((D163-C163)*1440,0)))</f>
        <v/>
      </c>
      <c r="Q163" s="42" t="str">
        <f aca="false">IF($B163="","",I163*VLOOKUP(E163,Parametros!$B$18:$D$24,2,FALSE()))</f>
        <v/>
      </c>
      <c r="R163" s="42" t="str">
        <f aca="false">IF($B163="","",G163*VLOOKUP(E163,Parametros!$B$18:$D$24,3,FALSE()))</f>
        <v/>
      </c>
      <c r="S163" s="42" t="str">
        <f aca="false">IF($B163="","",Q163-R163)</f>
        <v/>
      </c>
      <c r="T163" s="43" t="str">
        <f aca="false">IF($B163="","",IF(S163&gt;0,"G","P"))</f>
        <v/>
      </c>
      <c r="U163" s="44" t="str">
        <f aca="false">IF($B163="","",S163/Parametros!$C$8)</f>
        <v/>
      </c>
      <c r="V163" s="42" t="str">
        <f aca="false">IF($B163="","",Parametros!$C$6+SUM($S$7:S163))</f>
        <v/>
      </c>
      <c r="W163" s="42" t="str">
        <f aca="false">IF($B163="","",MAX(V163,W162))</f>
        <v/>
      </c>
      <c r="X163" s="42" t="str">
        <f aca="false">IF($B163="","",V163-W163)</f>
        <v/>
      </c>
      <c r="Y163" s="45" t="str">
        <f aca="false">IF($B163="","",X163/W163)</f>
        <v/>
      </c>
      <c r="Z163" s="36" t="str">
        <f aca="false">IF($B163="","",IF(T163="G",IF(N(Z162)&gt;0,Z162+1,1),IF(N(Z162)&lt;0,Z162-1,-1)))</f>
        <v/>
      </c>
      <c r="AA163" s="46" t="str">
        <f aca="false">IF($B163="","",B163-WEEKDAY(B163,2)+1)</f>
        <v/>
      </c>
      <c r="AB163" s="47" t="str">
        <f aca="false">IF($B163="","",DATE(YEAR(B163),MONTH(B163),1))</f>
        <v/>
      </c>
      <c r="AC163" s="41" t="str">
        <f aca="false">IF($B163="","",CHOOSE(WEEKDAY(B163,2),"Lunes","Martes","Miércoles","Jueves","Viernes","Sábado","Domingo"))</f>
        <v/>
      </c>
      <c r="AD163" s="36" t="str">
        <f aca="false">IF($B163="","",HOUR(C163))</f>
        <v/>
      </c>
      <c r="AE163" s="42" t="str">
        <f aca="false">IF($B163="","",IF(O163&lt;&gt;O162,MAX(V163-S163,V163),MAX(V163,AE162)))</f>
        <v/>
      </c>
      <c r="AF163" s="42" t="str">
        <f aca="false">IF($B163="","",V163-AE163)</f>
        <v/>
      </c>
      <c r="AG163" s="36" t="str">
        <f aca="false">IF($B163="","",IF(O163&lt;&gt;O162,IF(T163="G",1,-1),IF(T163="G",IF(N(AG162)&gt;0,AG162+1,1),IF(N(AG162)&lt;0,AG162-1,-1))))</f>
        <v/>
      </c>
    </row>
    <row r="164" customFormat="false" ht="15" hidden="false" customHeight="false" outlineLevel="0" collapsed="false">
      <c r="A164" s="36" t="str">
        <f aca="false">IF(B164="","",ROW()-6)</f>
        <v/>
      </c>
      <c r="B164" s="37"/>
      <c r="C164" s="38"/>
      <c r="D164" s="38"/>
      <c r="E164" s="39"/>
      <c r="F164" s="39"/>
      <c r="G164" s="39"/>
      <c r="H164" s="40"/>
      <c r="I164" s="40"/>
      <c r="J164" s="40"/>
      <c r="K164" s="40"/>
      <c r="L164" s="39"/>
      <c r="M164" s="40"/>
      <c r="N164" s="40"/>
      <c r="O164" s="36" t="str">
        <f aca="false">IF($B164="","",INT((A164-1)/Parametros!$C$10)+1)</f>
        <v/>
      </c>
      <c r="P164" s="41" t="str">
        <f aca="false">IF($B164="","",IF(OR(C164="",D164=""),"",ROUND((D164-C164)*1440,0)))</f>
        <v/>
      </c>
      <c r="Q164" s="42" t="str">
        <f aca="false">IF($B164="","",I164*VLOOKUP(E164,Parametros!$B$18:$D$24,2,FALSE()))</f>
        <v/>
      </c>
      <c r="R164" s="42" t="str">
        <f aca="false">IF($B164="","",G164*VLOOKUP(E164,Parametros!$B$18:$D$24,3,FALSE()))</f>
        <v/>
      </c>
      <c r="S164" s="42" t="str">
        <f aca="false">IF($B164="","",Q164-R164)</f>
        <v/>
      </c>
      <c r="T164" s="43" t="str">
        <f aca="false">IF($B164="","",IF(S164&gt;0,"G","P"))</f>
        <v/>
      </c>
      <c r="U164" s="44" t="str">
        <f aca="false">IF($B164="","",S164/Parametros!$C$8)</f>
        <v/>
      </c>
      <c r="V164" s="42" t="str">
        <f aca="false">IF($B164="","",Parametros!$C$6+SUM($S$7:S164))</f>
        <v/>
      </c>
      <c r="W164" s="42" t="str">
        <f aca="false">IF($B164="","",MAX(V164,W163))</f>
        <v/>
      </c>
      <c r="X164" s="42" t="str">
        <f aca="false">IF($B164="","",V164-W164)</f>
        <v/>
      </c>
      <c r="Y164" s="45" t="str">
        <f aca="false">IF($B164="","",X164/W164)</f>
        <v/>
      </c>
      <c r="Z164" s="36" t="str">
        <f aca="false">IF($B164="","",IF(T164="G",IF(N(Z163)&gt;0,Z163+1,1),IF(N(Z163)&lt;0,Z163-1,-1)))</f>
        <v/>
      </c>
      <c r="AA164" s="46" t="str">
        <f aca="false">IF($B164="","",B164-WEEKDAY(B164,2)+1)</f>
        <v/>
      </c>
      <c r="AB164" s="47" t="str">
        <f aca="false">IF($B164="","",DATE(YEAR(B164),MONTH(B164),1))</f>
        <v/>
      </c>
      <c r="AC164" s="41" t="str">
        <f aca="false">IF($B164="","",CHOOSE(WEEKDAY(B164,2),"Lunes","Martes","Miércoles","Jueves","Viernes","Sábado","Domingo"))</f>
        <v/>
      </c>
      <c r="AD164" s="36" t="str">
        <f aca="false">IF($B164="","",HOUR(C164))</f>
        <v/>
      </c>
      <c r="AE164" s="42" t="str">
        <f aca="false">IF($B164="","",IF(O164&lt;&gt;O163,MAX(V164-S164,V164),MAX(V164,AE163)))</f>
        <v/>
      </c>
      <c r="AF164" s="42" t="str">
        <f aca="false">IF($B164="","",V164-AE164)</f>
        <v/>
      </c>
      <c r="AG164" s="36" t="str">
        <f aca="false">IF($B164="","",IF(O164&lt;&gt;O163,IF(T164="G",1,-1),IF(T164="G",IF(N(AG163)&gt;0,AG163+1,1),IF(N(AG163)&lt;0,AG163-1,-1))))</f>
        <v/>
      </c>
    </row>
    <row r="165" customFormat="false" ht="15" hidden="false" customHeight="false" outlineLevel="0" collapsed="false">
      <c r="A165" s="36" t="str">
        <f aca="false">IF(B165="","",ROW()-6)</f>
        <v/>
      </c>
      <c r="B165" s="37"/>
      <c r="C165" s="38"/>
      <c r="D165" s="38"/>
      <c r="E165" s="39"/>
      <c r="F165" s="39"/>
      <c r="G165" s="39"/>
      <c r="H165" s="40"/>
      <c r="I165" s="40"/>
      <c r="J165" s="40"/>
      <c r="K165" s="40"/>
      <c r="L165" s="39"/>
      <c r="M165" s="40"/>
      <c r="N165" s="40"/>
      <c r="O165" s="36" t="str">
        <f aca="false">IF($B165="","",INT((A165-1)/Parametros!$C$10)+1)</f>
        <v/>
      </c>
      <c r="P165" s="41" t="str">
        <f aca="false">IF($B165="","",IF(OR(C165="",D165=""),"",ROUND((D165-C165)*1440,0)))</f>
        <v/>
      </c>
      <c r="Q165" s="42" t="str">
        <f aca="false">IF($B165="","",I165*VLOOKUP(E165,Parametros!$B$18:$D$24,2,FALSE()))</f>
        <v/>
      </c>
      <c r="R165" s="42" t="str">
        <f aca="false">IF($B165="","",G165*VLOOKUP(E165,Parametros!$B$18:$D$24,3,FALSE()))</f>
        <v/>
      </c>
      <c r="S165" s="42" t="str">
        <f aca="false">IF($B165="","",Q165-R165)</f>
        <v/>
      </c>
      <c r="T165" s="43" t="str">
        <f aca="false">IF($B165="","",IF(S165&gt;0,"G","P"))</f>
        <v/>
      </c>
      <c r="U165" s="44" t="str">
        <f aca="false">IF($B165="","",S165/Parametros!$C$8)</f>
        <v/>
      </c>
      <c r="V165" s="42" t="str">
        <f aca="false">IF($B165="","",Parametros!$C$6+SUM($S$7:S165))</f>
        <v/>
      </c>
      <c r="W165" s="42" t="str">
        <f aca="false">IF($B165="","",MAX(V165,W164))</f>
        <v/>
      </c>
      <c r="X165" s="42" t="str">
        <f aca="false">IF($B165="","",V165-W165)</f>
        <v/>
      </c>
      <c r="Y165" s="45" t="str">
        <f aca="false">IF($B165="","",X165/W165)</f>
        <v/>
      </c>
      <c r="Z165" s="36" t="str">
        <f aca="false">IF($B165="","",IF(T165="G",IF(N(Z164)&gt;0,Z164+1,1),IF(N(Z164)&lt;0,Z164-1,-1)))</f>
        <v/>
      </c>
      <c r="AA165" s="46" t="str">
        <f aca="false">IF($B165="","",B165-WEEKDAY(B165,2)+1)</f>
        <v/>
      </c>
      <c r="AB165" s="47" t="str">
        <f aca="false">IF($B165="","",DATE(YEAR(B165),MONTH(B165),1))</f>
        <v/>
      </c>
      <c r="AC165" s="41" t="str">
        <f aca="false">IF($B165="","",CHOOSE(WEEKDAY(B165,2),"Lunes","Martes","Miércoles","Jueves","Viernes","Sábado","Domingo"))</f>
        <v/>
      </c>
      <c r="AD165" s="36" t="str">
        <f aca="false">IF($B165="","",HOUR(C165))</f>
        <v/>
      </c>
      <c r="AE165" s="42" t="str">
        <f aca="false">IF($B165="","",IF(O165&lt;&gt;O164,MAX(V165-S165,V165),MAX(V165,AE164)))</f>
        <v/>
      </c>
      <c r="AF165" s="42" t="str">
        <f aca="false">IF($B165="","",V165-AE165)</f>
        <v/>
      </c>
      <c r="AG165" s="36" t="str">
        <f aca="false">IF($B165="","",IF(O165&lt;&gt;O164,IF(T165="G",1,-1),IF(T165="G",IF(N(AG164)&gt;0,AG164+1,1),IF(N(AG164)&lt;0,AG164-1,-1))))</f>
        <v/>
      </c>
    </row>
    <row r="166" customFormat="false" ht="15" hidden="false" customHeight="false" outlineLevel="0" collapsed="false">
      <c r="A166" s="36" t="str">
        <f aca="false">IF(B166="","",ROW()-6)</f>
        <v/>
      </c>
      <c r="B166" s="37"/>
      <c r="C166" s="38"/>
      <c r="D166" s="38"/>
      <c r="E166" s="39"/>
      <c r="F166" s="39"/>
      <c r="G166" s="39"/>
      <c r="H166" s="40"/>
      <c r="I166" s="40"/>
      <c r="J166" s="40"/>
      <c r="K166" s="40"/>
      <c r="L166" s="39"/>
      <c r="M166" s="40"/>
      <c r="N166" s="40"/>
      <c r="O166" s="36" t="str">
        <f aca="false">IF($B166="","",INT((A166-1)/Parametros!$C$10)+1)</f>
        <v/>
      </c>
      <c r="P166" s="41" t="str">
        <f aca="false">IF($B166="","",IF(OR(C166="",D166=""),"",ROUND((D166-C166)*1440,0)))</f>
        <v/>
      </c>
      <c r="Q166" s="42" t="str">
        <f aca="false">IF($B166="","",I166*VLOOKUP(E166,Parametros!$B$18:$D$24,2,FALSE()))</f>
        <v/>
      </c>
      <c r="R166" s="42" t="str">
        <f aca="false">IF($B166="","",G166*VLOOKUP(E166,Parametros!$B$18:$D$24,3,FALSE()))</f>
        <v/>
      </c>
      <c r="S166" s="42" t="str">
        <f aca="false">IF($B166="","",Q166-R166)</f>
        <v/>
      </c>
      <c r="T166" s="43" t="str">
        <f aca="false">IF($B166="","",IF(S166&gt;0,"G","P"))</f>
        <v/>
      </c>
      <c r="U166" s="44" t="str">
        <f aca="false">IF($B166="","",S166/Parametros!$C$8)</f>
        <v/>
      </c>
      <c r="V166" s="42" t="str">
        <f aca="false">IF($B166="","",Parametros!$C$6+SUM($S$7:S166))</f>
        <v/>
      </c>
      <c r="W166" s="42" t="str">
        <f aca="false">IF($B166="","",MAX(V166,W165))</f>
        <v/>
      </c>
      <c r="X166" s="42" t="str">
        <f aca="false">IF($B166="","",V166-W166)</f>
        <v/>
      </c>
      <c r="Y166" s="45" t="str">
        <f aca="false">IF($B166="","",X166/W166)</f>
        <v/>
      </c>
      <c r="Z166" s="36" t="str">
        <f aca="false">IF($B166="","",IF(T166="G",IF(N(Z165)&gt;0,Z165+1,1),IF(N(Z165)&lt;0,Z165-1,-1)))</f>
        <v/>
      </c>
      <c r="AA166" s="46" t="str">
        <f aca="false">IF($B166="","",B166-WEEKDAY(B166,2)+1)</f>
        <v/>
      </c>
      <c r="AB166" s="47" t="str">
        <f aca="false">IF($B166="","",DATE(YEAR(B166),MONTH(B166),1))</f>
        <v/>
      </c>
      <c r="AC166" s="41" t="str">
        <f aca="false">IF($B166="","",CHOOSE(WEEKDAY(B166,2),"Lunes","Martes","Miércoles","Jueves","Viernes","Sábado","Domingo"))</f>
        <v/>
      </c>
      <c r="AD166" s="36" t="str">
        <f aca="false">IF($B166="","",HOUR(C166))</f>
        <v/>
      </c>
      <c r="AE166" s="42" t="str">
        <f aca="false">IF($B166="","",IF(O166&lt;&gt;O165,MAX(V166-S166,V166),MAX(V166,AE165)))</f>
        <v/>
      </c>
      <c r="AF166" s="42" t="str">
        <f aca="false">IF($B166="","",V166-AE166)</f>
        <v/>
      </c>
      <c r="AG166" s="36" t="str">
        <f aca="false">IF($B166="","",IF(O166&lt;&gt;O165,IF(T166="G",1,-1),IF(T166="G",IF(N(AG165)&gt;0,AG165+1,1),IF(N(AG165)&lt;0,AG165-1,-1))))</f>
        <v/>
      </c>
    </row>
    <row r="167" customFormat="false" ht="15" hidden="false" customHeight="false" outlineLevel="0" collapsed="false">
      <c r="A167" s="36" t="str">
        <f aca="false">IF(B167="","",ROW()-6)</f>
        <v/>
      </c>
      <c r="B167" s="37"/>
      <c r="C167" s="38"/>
      <c r="D167" s="38"/>
      <c r="E167" s="39"/>
      <c r="F167" s="39"/>
      <c r="G167" s="39"/>
      <c r="H167" s="40"/>
      <c r="I167" s="40"/>
      <c r="J167" s="40"/>
      <c r="K167" s="40"/>
      <c r="L167" s="39"/>
      <c r="M167" s="40"/>
      <c r="N167" s="40"/>
      <c r="O167" s="36" t="str">
        <f aca="false">IF($B167="","",INT((A167-1)/Parametros!$C$10)+1)</f>
        <v/>
      </c>
      <c r="P167" s="41" t="str">
        <f aca="false">IF($B167="","",IF(OR(C167="",D167=""),"",ROUND((D167-C167)*1440,0)))</f>
        <v/>
      </c>
      <c r="Q167" s="42" t="str">
        <f aca="false">IF($B167="","",I167*VLOOKUP(E167,Parametros!$B$18:$D$24,2,FALSE()))</f>
        <v/>
      </c>
      <c r="R167" s="42" t="str">
        <f aca="false">IF($B167="","",G167*VLOOKUP(E167,Parametros!$B$18:$D$24,3,FALSE()))</f>
        <v/>
      </c>
      <c r="S167" s="42" t="str">
        <f aca="false">IF($B167="","",Q167-R167)</f>
        <v/>
      </c>
      <c r="T167" s="43" t="str">
        <f aca="false">IF($B167="","",IF(S167&gt;0,"G","P"))</f>
        <v/>
      </c>
      <c r="U167" s="44" t="str">
        <f aca="false">IF($B167="","",S167/Parametros!$C$8)</f>
        <v/>
      </c>
      <c r="V167" s="42" t="str">
        <f aca="false">IF($B167="","",Parametros!$C$6+SUM($S$7:S167))</f>
        <v/>
      </c>
      <c r="W167" s="42" t="str">
        <f aca="false">IF($B167="","",MAX(V167,W166))</f>
        <v/>
      </c>
      <c r="X167" s="42" t="str">
        <f aca="false">IF($B167="","",V167-W167)</f>
        <v/>
      </c>
      <c r="Y167" s="45" t="str">
        <f aca="false">IF($B167="","",X167/W167)</f>
        <v/>
      </c>
      <c r="Z167" s="36" t="str">
        <f aca="false">IF($B167="","",IF(T167="G",IF(N(Z166)&gt;0,Z166+1,1),IF(N(Z166)&lt;0,Z166-1,-1)))</f>
        <v/>
      </c>
      <c r="AA167" s="46" t="str">
        <f aca="false">IF($B167="","",B167-WEEKDAY(B167,2)+1)</f>
        <v/>
      </c>
      <c r="AB167" s="47" t="str">
        <f aca="false">IF($B167="","",DATE(YEAR(B167),MONTH(B167),1))</f>
        <v/>
      </c>
      <c r="AC167" s="41" t="str">
        <f aca="false">IF($B167="","",CHOOSE(WEEKDAY(B167,2),"Lunes","Martes","Miércoles","Jueves","Viernes","Sábado","Domingo"))</f>
        <v/>
      </c>
      <c r="AD167" s="36" t="str">
        <f aca="false">IF($B167="","",HOUR(C167))</f>
        <v/>
      </c>
      <c r="AE167" s="42" t="str">
        <f aca="false">IF($B167="","",IF(O167&lt;&gt;O166,MAX(V167-S167,V167),MAX(V167,AE166)))</f>
        <v/>
      </c>
      <c r="AF167" s="42" t="str">
        <f aca="false">IF($B167="","",V167-AE167)</f>
        <v/>
      </c>
      <c r="AG167" s="36" t="str">
        <f aca="false">IF($B167="","",IF(O167&lt;&gt;O166,IF(T167="G",1,-1),IF(T167="G",IF(N(AG166)&gt;0,AG166+1,1),IF(N(AG166)&lt;0,AG166-1,-1))))</f>
        <v/>
      </c>
    </row>
    <row r="168" customFormat="false" ht="15" hidden="false" customHeight="false" outlineLevel="0" collapsed="false">
      <c r="A168" s="36" t="str">
        <f aca="false">IF(B168="","",ROW()-6)</f>
        <v/>
      </c>
      <c r="B168" s="37"/>
      <c r="C168" s="38"/>
      <c r="D168" s="38"/>
      <c r="E168" s="39"/>
      <c r="F168" s="39"/>
      <c r="G168" s="39"/>
      <c r="H168" s="40"/>
      <c r="I168" s="40"/>
      <c r="J168" s="40"/>
      <c r="K168" s="40"/>
      <c r="L168" s="39"/>
      <c r="M168" s="40"/>
      <c r="N168" s="40"/>
      <c r="O168" s="36" t="str">
        <f aca="false">IF($B168="","",INT((A168-1)/Parametros!$C$10)+1)</f>
        <v/>
      </c>
      <c r="P168" s="41" t="str">
        <f aca="false">IF($B168="","",IF(OR(C168="",D168=""),"",ROUND((D168-C168)*1440,0)))</f>
        <v/>
      </c>
      <c r="Q168" s="42" t="str">
        <f aca="false">IF($B168="","",I168*VLOOKUP(E168,Parametros!$B$18:$D$24,2,FALSE()))</f>
        <v/>
      </c>
      <c r="R168" s="42" t="str">
        <f aca="false">IF($B168="","",G168*VLOOKUP(E168,Parametros!$B$18:$D$24,3,FALSE()))</f>
        <v/>
      </c>
      <c r="S168" s="42" t="str">
        <f aca="false">IF($B168="","",Q168-R168)</f>
        <v/>
      </c>
      <c r="T168" s="43" t="str">
        <f aca="false">IF($B168="","",IF(S168&gt;0,"G","P"))</f>
        <v/>
      </c>
      <c r="U168" s="44" t="str">
        <f aca="false">IF($B168="","",S168/Parametros!$C$8)</f>
        <v/>
      </c>
      <c r="V168" s="42" t="str">
        <f aca="false">IF($B168="","",Parametros!$C$6+SUM($S$7:S168))</f>
        <v/>
      </c>
      <c r="W168" s="42" t="str">
        <f aca="false">IF($B168="","",MAX(V168,W167))</f>
        <v/>
      </c>
      <c r="X168" s="42" t="str">
        <f aca="false">IF($B168="","",V168-W168)</f>
        <v/>
      </c>
      <c r="Y168" s="45" t="str">
        <f aca="false">IF($B168="","",X168/W168)</f>
        <v/>
      </c>
      <c r="Z168" s="36" t="str">
        <f aca="false">IF($B168="","",IF(T168="G",IF(N(Z167)&gt;0,Z167+1,1),IF(N(Z167)&lt;0,Z167-1,-1)))</f>
        <v/>
      </c>
      <c r="AA168" s="46" t="str">
        <f aca="false">IF($B168="","",B168-WEEKDAY(B168,2)+1)</f>
        <v/>
      </c>
      <c r="AB168" s="47" t="str">
        <f aca="false">IF($B168="","",DATE(YEAR(B168),MONTH(B168),1))</f>
        <v/>
      </c>
      <c r="AC168" s="41" t="str">
        <f aca="false">IF($B168="","",CHOOSE(WEEKDAY(B168,2),"Lunes","Martes","Miércoles","Jueves","Viernes","Sábado","Domingo"))</f>
        <v/>
      </c>
      <c r="AD168" s="36" t="str">
        <f aca="false">IF($B168="","",HOUR(C168))</f>
        <v/>
      </c>
      <c r="AE168" s="42" t="str">
        <f aca="false">IF($B168="","",IF(O168&lt;&gt;O167,MAX(V168-S168,V168),MAX(V168,AE167)))</f>
        <v/>
      </c>
      <c r="AF168" s="42" t="str">
        <f aca="false">IF($B168="","",V168-AE168)</f>
        <v/>
      </c>
      <c r="AG168" s="36" t="str">
        <f aca="false">IF($B168="","",IF(O168&lt;&gt;O167,IF(T168="G",1,-1),IF(T168="G",IF(N(AG167)&gt;0,AG167+1,1),IF(N(AG167)&lt;0,AG167-1,-1))))</f>
        <v/>
      </c>
    </row>
    <row r="169" customFormat="false" ht="15" hidden="false" customHeight="false" outlineLevel="0" collapsed="false">
      <c r="A169" s="36" t="str">
        <f aca="false">IF(B169="","",ROW()-6)</f>
        <v/>
      </c>
      <c r="B169" s="37"/>
      <c r="C169" s="38"/>
      <c r="D169" s="38"/>
      <c r="E169" s="39"/>
      <c r="F169" s="39"/>
      <c r="G169" s="39"/>
      <c r="H169" s="40"/>
      <c r="I169" s="40"/>
      <c r="J169" s="40"/>
      <c r="K169" s="40"/>
      <c r="L169" s="39"/>
      <c r="M169" s="40"/>
      <c r="N169" s="40"/>
      <c r="O169" s="36" t="str">
        <f aca="false">IF($B169="","",INT((A169-1)/Parametros!$C$10)+1)</f>
        <v/>
      </c>
      <c r="P169" s="41" t="str">
        <f aca="false">IF($B169="","",IF(OR(C169="",D169=""),"",ROUND((D169-C169)*1440,0)))</f>
        <v/>
      </c>
      <c r="Q169" s="42" t="str">
        <f aca="false">IF($B169="","",I169*VLOOKUP(E169,Parametros!$B$18:$D$24,2,FALSE()))</f>
        <v/>
      </c>
      <c r="R169" s="42" t="str">
        <f aca="false">IF($B169="","",G169*VLOOKUP(E169,Parametros!$B$18:$D$24,3,FALSE()))</f>
        <v/>
      </c>
      <c r="S169" s="42" t="str">
        <f aca="false">IF($B169="","",Q169-R169)</f>
        <v/>
      </c>
      <c r="T169" s="43" t="str">
        <f aca="false">IF($B169="","",IF(S169&gt;0,"G","P"))</f>
        <v/>
      </c>
      <c r="U169" s="44" t="str">
        <f aca="false">IF($B169="","",S169/Parametros!$C$8)</f>
        <v/>
      </c>
      <c r="V169" s="42" t="str">
        <f aca="false">IF($B169="","",Parametros!$C$6+SUM($S$7:S169))</f>
        <v/>
      </c>
      <c r="W169" s="42" t="str">
        <f aca="false">IF($B169="","",MAX(V169,W168))</f>
        <v/>
      </c>
      <c r="X169" s="42" t="str">
        <f aca="false">IF($B169="","",V169-W169)</f>
        <v/>
      </c>
      <c r="Y169" s="45" t="str">
        <f aca="false">IF($B169="","",X169/W169)</f>
        <v/>
      </c>
      <c r="Z169" s="36" t="str">
        <f aca="false">IF($B169="","",IF(T169="G",IF(N(Z168)&gt;0,Z168+1,1),IF(N(Z168)&lt;0,Z168-1,-1)))</f>
        <v/>
      </c>
      <c r="AA169" s="46" t="str">
        <f aca="false">IF($B169="","",B169-WEEKDAY(B169,2)+1)</f>
        <v/>
      </c>
      <c r="AB169" s="47" t="str">
        <f aca="false">IF($B169="","",DATE(YEAR(B169),MONTH(B169),1))</f>
        <v/>
      </c>
      <c r="AC169" s="41" t="str">
        <f aca="false">IF($B169="","",CHOOSE(WEEKDAY(B169,2),"Lunes","Martes","Miércoles","Jueves","Viernes","Sábado","Domingo"))</f>
        <v/>
      </c>
      <c r="AD169" s="36" t="str">
        <f aca="false">IF($B169="","",HOUR(C169))</f>
        <v/>
      </c>
      <c r="AE169" s="42" t="str">
        <f aca="false">IF($B169="","",IF(O169&lt;&gt;O168,MAX(V169-S169,V169),MAX(V169,AE168)))</f>
        <v/>
      </c>
      <c r="AF169" s="42" t="str">
        <f aca="false">IF($B169="","",V169-AE169)</f>
        <v/>
      </c>
      <c r="AG169" s="36" t="str">
        <f aca="false">IF($B169="","",IF(O169&lt;&gt;O168,IF(T169="G",1,-1),IF(T169="G",IF(N(AG168)&gt;0,AG168+1,1),IF(N(AG168)&lt;0,AG168-1,-1))))</f>
        <v/>
      </c>
    </row>
    <row r="170" customFormat="false" ht="15" hidden="false" customHeight="false" outlineLevel="0" collapsed="false">
      <c r="A170" s="36" t="str">
        <f aca="false">IF(B170="","",ROW()-6)</f>
        <v/>
      </c>
      <c r="B170" s="37"/>
      <c r="C170" s="38"/>
      <c r="D170" s="38"/>
      <c r="E170" s="39"/>
      <c r="F170" s="39"/>
      <c r="G170" s="39"/>
      <c r="H170" s="40"/>
      <c r="I170" s="40"/>
      <c r="J170" s="40"/>
      <c r="K170" s="40"/>
      <c r="L170" s="39"/>
      <c r="M170" s="40"/>
      <c r="N170" s="40"/>
      <c r="O170" s="36" t="str">
        <f aca="false">IF($B170="","",INT((A170-1)/Parametros!$C$10)+1)</f>
        <v/>
      </c>
      <c r="P170" s="41" t="str">
        <f aca="false">IF($B170="","",IF(OR(C170="",D170=""),"",ROUND((D170-C170)*1440,0)))</f>
        <v/>
      </c>
      <c r="Q170" s="42" t="str">
        <f aca="false">IF($B170="","",I170*VLOOKUP(E170,Parametros!$B$18:$D$24,2,FALSE()))</f>
        <v/>
      </c>
      <c r="R170" s="42" t="str">
        <f aca="false">IF($B170="","",G170*VLOOKUP(E170,Parametros!$B$18:$D$24,3,FALSE()))</f>
        <v/>
      </c>
      <c r="S170" s="42" t="str">
        <f aca="false">IF($B170="","",Q170-R170)</f>
        <v/>
      </c>
      <c r="T170" s="43" t="str">
        <f aca="false">IF($B170="","",IF(S170&gt;0,"G","P"))</f>
        <v/>
      </c>
      <c r="U170" s="44" t="str">
        <f aca="false">IF($B170="","",S170/Parametros!$C$8)</f>
        <v/>
      </c>
      <c r="V170" s="42" t="str">
        <f aca="false">IF($B170="","",Parametros!$C$6+SUM($S$7:S170))</f>
        <v/>
      </c>
      <c r="W170" s="42" t="str">
        <f aca="false">IF($B170="","",MAX(V170,W169))</f>
        <v/>
      </c>
      <c r="X170" s="42" t="str">
        <f aca="false">IF($B170="","",V170-W170)</f>
        <v/>
      </c>
      <c r="Y170" s="45" t="str">
        <f aca="false">IF($B170="","",X170/W170)</f>
        <v/>
      </c>
      <c r="Z170" s="36" t="str">
        <f aca="false">IF($B170="","",IF(T170="G",IF(N(Z169)&gt;0,Z169+1,1),IF(N(Z169)&lt;0,Z169-1,-1)))</f>
        <v/>
      </c>
      <c r="AA170" s="46" t="str">
        <f aca="false">IF($B170="","",B170-WEEKDAY(B170,2)+1)</f>
        <v/>
      </c>
      <c r="AB170" s="47" t="str">
        <f aca="false">IF($B170="","",DATE(YEAR(B170),MONTH(B170),1))</f>
        <v/>
      </c>
      <c r="AC170" s="41" t="str">
        <f aca="false">IF($B170="","",CHOOSE(WEEKDAY(B170,2),"Lunes","Martes","Miércoles","Jueves","Viernes","Sábado","Domingo"))</f>
        <v/>
      </c>
      <c r="AD170" s="36" t="str">
        <f aca="false">IF($B170="","",HOUR(C170))</f>
        <v/>
      </c>
      <c r="AE170" s="42" t="str">
        <f aca="false">IF($B170="","",IF(O170&lt;&gt;O169,MAX(V170-S170,V170),MAX(V170,AE169)))</f>
        <v/>
      </c>
      <c r="AF170" s="42" t="str">
        <f aca="false">IF($B170="","",V170-AE170)</f>
        <v/>
      </c>
      <c r="AG170" s="36" t="str">
        <f aca="false">IF($B170="","",IF(O170&lt;&gt;O169,IF(T170="G",1,-1),IF(T170="G",IF(N(AG169)&gt;0,AG169+1,1),IF(N(AG169)&lt;0,AG169-1,-1))))</f>
        <v/>
      </c>
    </row>
    <row r="171" customFormat="false" ht="15" hidden="false" customHeight="false" outlineLevel="0" collapsed="false">
      <c r="A171" s="36" t="str">
        <f aca="false">IF(B171="","",ROW()-6)</f>
        <v/>
      </c>
      <c r="B171" s="37"/>
      <c r="C171" s="38"/>
      <c r="D171" s="38"/>
      <c r="E171" s="39"/>
      <c r="F171" s="39"/>
      <c r="G171" s="39"/>
      <c r="H171" s="40"/>
      <c r="I171" s="40"/>
      <c r="J171" s="40"/>
      <c r="K171" s="40"/>
      <c r="L171" s="39"/>
      <c r="M171" s="40"/>
      <c r="N171" s="40"/>
      <c r="O171" s="36" t="str">
        <f aca="false">IF($B171="","",INT((A171-1)/Parametros!$C$10)+1)</f>
        <v/>
      </c>
      <c r="P171" s="41" t="str">
        <f aca="false">IF($B171="","",IF(OR(C171="",D171=""),"",ROUND((D171-C171)*1440,0)))</f>
        <v/>
      </c>
      <c r="Q171" s="42" t="str">
        <f aca="false">IF($B171="","",I171*VLOOKUP(E171,Parametros!$B$18:$D$24,2,FALSE()))</f>
        <v/>
      </c>
      <c r="R171" s="42" t="str">
        <f aca="false">IF($B171="","",G171*VLOOKUP(E171,Parametros!$B$18:$D$24,3,FALSE()))</f>
        <v/>
      </c>
      <c r="S171" s="42" t="str">
        <f aca="false">IF($B171="","",Q171-R171)</f>
        <v/>
      </c>
      <c r="T171" s="43" t="str">
        <f aca="false">IF($B171="","",IF(S171&gt;0,"G","P"))</f>
        <v/>
      </c>
      <c r="U171" s="44" t="str">
        <f aca="false">IF($B171="","",S171/Parametros!$C$8)</f>
        <v/>
      </c>
      <c r="V171" s="42" t="str">
        <f aca="false">IF($B171="","",Parametros!$C$6+SUM($S$7:S171))</f>
        <v/>
      </c>
      <c r="W171" s="42" t="str">
        <f aca="false">IF($B171="","",MAX(V171,W170))</f>
        <v/>
      </c>
      <c r="X171" s="42" t="str">
        <f aca="false">IF($B171="","",V171-W171)</f>
        <v/>
      </c>
      <c r="Y171" s="45" t="str">
        <f aca="false">IF($B171="","",X171/W171)</f>
        <v/>
      </c>
      <c r="Z171" s="36" t="str">
        <f aca="false">IF($B171="","",IF(T171="G",IF(N(Z170)&gt;0,Z170+1,1),IF(N(Z170)&lt;0,Z170-1,-1)))</f>
        <v/>
      </c>
      <c r="AA171" s="46" t="str">
        <f aca="false">IF($B171="","",B171-WEEKDAY(B171,2)+1)</f>
        <v/>
      </c>
      <c r="AB171" s="47" t="str">
        <f aca="false">IF($B171="","",DATE(YEAR(B171),MONTH(B171),1))</f>
        <v/>
      </c>
      <c r="AC171" s="41" t="str">
        <f aca="false">IF($B171="","",CHOOSE(WEEKDAY(B171,2),"Lunes","Martes","Miércoles","Jueves","Viernes","Sábado","Domingo"))</f>
        <v/>
      </c>
      <c r="AD171" s="36" t="str">
        <f aca="false">IF($B171="","",HOUR(C171))</f>
        <v/>
      </c>
      <c r="AE171" s="42" t="str">
        <f aca="false">IF($B171="","",IF(O171&lt;&gt;O170,MAX(V171-S171,V171),MAX(V171,AE170)))</f>
        <v/>
      </c>
      <c r="AF171" s="42" t="str">
        <f aca="false">IF($B171="","",V171-AE171)</f>
        <v/>
      </c>
      <c r="AG171" s="36" t="str">
        <f aca="false">IF($B171="","",IF(O171&lt;&gt;O170,IF(T171="G",1,-1),IF(T171="G",IF(N(AG170)&gt;0,AG170+1,1),IF(N(AG170)&lt;0,AG170-1,-1))))</f>
        <v/>
      </c>
    </row>
    <row r="172" customFormat="false" ht="15" hidden="false" customHeight="false" outlineLevel="0" collapsed="false">
      <c r="A172" s="36" t="str">
        <f aca="false">IF(B172="","",ROW()-6)</f>
        <v/>
      </c>
      <c r="B172" s="37"/>
      <c r="C172" s="38"/>
      <c r="D172" s="38"/>
      <c r="E172" s="39"/>
      <c r="F172" s="39"/>
      <c r="G172" s="39"/>
      <c r="H172" s="40"/>
      <c r="I172" s="40"/>
      <c r="J172" s="40"/>
      <c r="K172" s="40"/>
      <c r="L172" s="39"/>
      <c r="M172" s="40"/>
      <c r="N172" s="40"/>
      <c r="O172" s="36" t="str">
        <f aca="false">IF($B172="","",INT((A172-1)/Parametros!$C$10)+1)</f>
        <v/>
      </c>
      <c r="P172" s="41" t="str">
        <f aca="false">IF($B172="","",IF(OR(C172="",D172=""),"",ROUND((D172-C172)*1440,0)))</f>
        <v/>
      </c>
      <c r="Q172" s="42" t="str">
        <f aca="false">IF($B172="","",I172*VLOOKUP(E172,Parametros!$B$18:$D$24,2,FALSE()))</f>
        <v/>
      </c>
      <c r="R172" s="42" t="str">
        <f aca="false">IF($B172="","",G172*VLOOKUP(E172,Parametros!$B$18:$D$24,3,FALSE()))</f>
        <v/>
      </c>
      <c r="S172" s="42" t="str">
        <f aca="false">IF($B172="","",Q172-R172)</f>
        <v/>
      </c>
      <c r="T172" s="43" t="str">
        <f aca="false">IF($B172="","",IF(S172&gt;0,"G","P"))</f>
        <v/>
      </c>
      <c r="U172" s="44" t="str">
        <f aca="false">IF($B172="","",S172/Parametros!$C$8)</f>
        <v/>
      </c>
      <c r="V172" s="42" t="str">
        <f aca="false">IF($B172="","",Parametros!$C$6+SUM($S$7:S172))</f>
        <v/>
      </c>
      <c r="W172" s="42" t="str">
        <f aca="false">IF($B172="","",MAX(V172,W171))</f>
        <v/>
      </c>
      <c r="X172" s="42" t="str">
        <f aca="false">IF($B172="","",V172-W172)</f>
        <v/>
      </c>
      <c r="Y172" s="45" t="str">
        <f aca="false">IF($B172="","",X172/W172)</f>
        <v/>
      </c>
      <c r="Z172" s="36" t="str">
        <f aca="false">IF($B172="","",IF(T172="G",IF(N(Z171)&gt;0,Z171+1,1),IF(N(Z171)&lt;0,Z171-1,-1)))</f>
        <v/>
      </c>
      <c r="AA172" s="46" t="str">
        <f aca="false">IF($B172="","",B172-WEEKDAY(B172,2)+1)</f>
        <v/>
      </c>
      <c r="AB172" s="47" t="str">
        <f aca="false">IF($B172="","",DATE(YEAR(B172),MONTH(B172),1))</f>
        <v/>
      </c>
      <c r="AC172" s="41" t="str">
        <f aca="false">IF($B172="","",CHOOSE(WEEKDAY(B172,2),"Lunes","Martes","Miércoles","Jueves","Viernes","Sábado","Domingo"))</f>
        <v/>
      </c>
      <c r="AD172" s="36" t="str">
        <f aca="false">IF($B172="","",HOUR(C172))</f>
        <v/>
      </c>
      <c r="AE172" s="42" t="str">
        <f aca="false">IF($B172="","",IF(O172&lt;&gt;O171,MAX(V172-S172,V172),MAX(V172,AE171)))</f>
        <v/>
      </c>
      <c r="AF172" s="42" t="str">
        <f aca="false">IF($B172="","",V172-AE172)</f>
        <v/>
      </c>
      <c r="AG172" s="36" t="str">
        <f aca="false">IF($B172="","",IF(O172&lt;&gt;O171,IF(T172="G",1,-1),IF(T172="G",IF(N(AG171)&gt;0,AG171+1,1),IF(N(AG171)&lt;0,AG171-1,-1))))</f>
        <v/>
      </c>
    </row>
    <row r="173" customFormat="false" ht="15" hidden="false" customHeight="false" outlineLevel="0" collapsed="false">
      <c r="A173" s="36" t="str">
        <f aca="false">IF(B173="","",ROW()-6)</f>
        <v/>
      </c>
      <c r="B173" s="37"/>
      <c r="C173" s="38"/>
      <c r="D173" s="38"/>
      <c r="E173" s="39"/>
      <c r="F173" s="39"/>
      <c r="G173" s="39"/>
      <c r="H173" s="40"/>
      <c r="I173" s="40"/>
      <c r="J173" s="40"/>
      <c r="K173" s="40"/>
      <c r="L173" s="39"/>
      <c r="M173" s="40"/>
      <c r="N173" s="40"/>
      <c r="O173" s="36" t="str">
        <f aca="false">IF($B173="","",INT((A173-1)/Parametros!$C$10)+1)</f>
        <v/>
      </c>
      <c r="P173" s="41" t="str">
        <f aca="false">IF($B173="","",IF(OR(C173="",D173=""),"",ROUND((D173-C173)*1440,0)))</f>
        <v/>
      </c>
      <c r="Q173" s="42" t="str">
        <f aca="false">IF($B173="","",I173*VLOOKUP(E173,Parametros!$B$18:$D$24,2,FALSE()))</f>
        <v/>
      </c>
      <c r="R173" s="42" t="str">
        <f aca="false">IF($B173="","",G173*VLOOKUP(E173,Parametros!$B$18:$D$24,3,FALSE()))</f>
        <v/>
      </c>
      <c r="S173" s="42" t="str">
        <f aca="false">IF($B173="","",Q173-R173)</f>
        <v/>
      </c>
      <c r="T173" s="43" t="str">
        <f aca="false">IF($B173="","",IF(S173&gt;0,"G","P"))</f>
        <v/>
      </c>
      <c r="U173" s="44" t="str">
        <f aca="false">IF($B173="","",S173/Parametros!$C$8)</f>
        <v/>
      </c>
      <c r="V173" s="42" t="str">
        <f aca="false">IF($B173="","",Parametros!$C$6+SUM($S$7:S173))</f>
        <v/>
      </c>
      <c r="W173" s="42" t="str">
        <f aca="false">IF($B173="","",MAX(V173,W172))</f>
        <v/>
      </c>
      <c r="X173" s="42" t="str">
        <f aca="false">IF($B173="","",V173-W173)</f>
        <v/>
      </c>
      <c r="Y173" s="45" t="str">
        <f aca="false">IF($B173="","",X173/W173)</f>
        <v/>
      </c>
      <c r="Z173" s="36" t="str">
        <f aca="false">IF($B173="","",IF(T173="G",IF(N(Z172)&gt;0,Z172+1,1),IF(N(Z172)&lt;0,Z172-1,-1)))</f>
        <v/>
      </c>
      <c r="AA173" s="46" t="str">
        <f aca="false">IF($B173="","",B173-WEEKDAY(B173,2)+1)</f>
        <v/>
      </c>
      <c r="AB173" s="47" t="str">
        <f aca="false">IF($B173="","",DATE(YEAR(B173),MONTH(B173),1))</f>
        <v/>
      </c>
      <c r="AC173" s="41" t="str">
        <f aca="false">IF($B173="","",CHOOSE(WEEKDAY(B173,2),"Lunes","Martes","Miércoles","Jueves","Viernes","Sábado","Domingo"))</f>
        <v/>
      </c>
      <c r="AD173" s="36" t="str">
        <f aca="false">IF($B173="","",HOUR(C173))</f>
        <v/>
      </c>
      <c r="AE173" s="42" t="str">
        <f aca="false">IF($B173="","",IF(O173&lt;&gt;O172,MAX(V173-S173,V173),MAX(V173,AE172)))</f>
        <v/>
      </c>
      <c r="AF173" s="42" t="str">
        <f aca="false">IF($B173="","",V173-AE173)</f>
        <v/>
      </c>
      <c r="AG173" s="36" t="str">
        <f aca="false">IF($B173="","",IF(O173&lt;&gt;O172,IF(T173="G",1,-1),IF(T173="G",IF(N(AG172)&gt;0,AG172+1,1),IF(N(AG172)&lt;0,AG172-1,-1))))</f>
        <v/>
      </c>
    </row>
    <row r="174" customFormat="false" ht="15" hidden="false" customHeight="false" outlineLevel="0" collapsed="false">
      <c r="A174" s="36" t="str">
        <f aca="false">IF(B174="","",ROW()-6)</f>
        <v/>
      </c>
      <c r="B174" s="37"/>
      <c r="C174" s="38"/>
      <c r="D174" s="38"/>
      <c r="E174" s="39"/>
      <c r="F174" s="39"/>
      <c r="G174" s="39"/>
      <c r="H174" s="40"/>
      <c r="I174" s="40"/>
      <c r="J174" s="40"/>
      <c r="K174" s="40"/>
      <c r="L174" s="39"/>
      <c r="M174" s="40"/>
      <c r="N174" s="40"/>
      <c r="O174" s="36" t="str">
        <f aca="false">IF($B174="","",INT((A174-1)/Parametros!$C$10)+1)</f>
        <v/>
      </c>
      <c r="P174" s="41" t="str">
        <f aca="false">IF($B174="","",IF(OR(C174="",D174=""),"",ROUND((D174-C174)*1440,0)))</f>
        <v/>
      </c>
      <c r="Q174" s="42" t="str">
        <f aca="false">IF($B174="","",I174*VLOOKUP(E174,Parametros!$B$18:$D$24,2,FALSE()))</f>
        <v/>
      </c>
      <c r="R174" s="42" t="str">
        <f aca="false">IF($B174="","",G174*VLOOKUP(E174,Parametros!$B$18:$D$24,3,FALSE()))</f>
        <v/>
      </c>
      <c r="S174" s="42" t="str">
        <f aca="false">IF($B174="","",Q174-R174)</f>
        <v/>
      </c>
      <c r="T174" s="43" t="str">
        <f aca="false">IF($B174="","",IF(S174&gt;0,"G","P"))</f>
        <v/>
      </c>
      <c r="U174" s="44" t="str">
        <f aca="false">IF($B174="","",S174/Parametros!$C$8)</f>
        <v/>
      </c>
      <c r="V174" s="42" t="str">
        <f aca="false">IF($B174="","",Parametros!$C$6+SUM($S$7:S174))</f>
        <v/>
      </c>
      <c r="W174" s="42" t="str">
        <f aca="false">IF($B174="","",MAX(V174,W173))</f>
        <v/>
      </c>
      <c r="X174" s="42" t="str">
        <f aca="false">IF($B174="","",V174-W174)</f>
        <v/>
      </c>
      <c r="Y174" s="45" t="str">
        <f aca="false">IF($B174="","",X174/W174)</f>
        <v/>
      </c>
      <c r="Z174" s="36" t="str">
        <f aca="false">IF($B174="","",IF(T174="G",IF(N(Z173)&gt;0,Z173+1,1),IF(N(Z173)&lt;0,Z173-1,-1)))</f>
        <v/>
      </c>
      <c r="AA174" s="46" t="str">
        <f aca="false">IF($B174="","",B174-WEEKDAY(B174,2)+1)</f>
        <v/>
      </c>
      <c r="AB174" s="47" t="str">
        <f aca="false">IF($B174="","",DATE(YEAR(B174),MONTH(B174),1))</f>
        <v/>
      </c>
      <c r="AC174" s="41" t="str">
        <f aca="false">IF($B174="","",CHOOSE(WEEKDAY(B174,2),"Lunes","Martes","Miércoles","Jueves","Viernes","Sábado","Domingo"))</f>
        <v/>
      </c>
      <c r="AD174" s="36" t="str">
        <f aca="false">IF($B174="","",HOUR(C174))</f>
        <v/>
      </c>
      <c r="AE174" s="42" t="str">
        <f aca="false">IF($B174="","",IF(O174&lt;&gt;O173,MAX(V174-S174,V174),MAX(V174,AE173)))</f>
        <v/>
      </c>
      <c r="AF174" s="42" t="str">
        <f aca="false">IF($B174="","",V174-AE174)</f>
        <v/>
      </c>
      <c r="AG174" s="36" t="str">
        <f aca="false">IF($B174="","",IF(O174&lt;&gt;O173,IF(T174="G",1,-1),IF(T174="G",IF(N(AG173)&gt;0,AG173+1,1),IF(N(AG173)&lt;0,AG173-1,-1))))</f>
        <v/>
      </c>
    </row>
    <row r="175" customFormat="false" ht="15" hidden="false" customHeight="false" outlineLevel="0" collapsed="false">
      <c r="A175" s="36" t="str">
        <f aca="false">IF(B175="","",ROW()-6)</f>
        <v/>
      </c>
      <c r="B175" s="37"/>
      <c r="C175" s="38"/>
      <c r="D175" s="38"/>
      <c r="E175" s="39"/>
      <c r="F175" s="39"/>
      <c r="G175" s="39"/>
      <c r="H175" s="40"/>
      <c r="I175" s="40"/>
      <c r="J175" s="40"/>
      <c r="K175" s="40"/>
      <c r="L175" s="39"/>
      <c r="M175" s="40"/>
      <c r="N175" s="40"/>
      <c r="O175" s="36" t="str">
        <f aca="false">IF($B175="","",INT((A175-1)/Parametros!$C$10)+1)</f>
        <v/>
      </c>
      <c r="P175" s="41" t="str">
        <f aca="false">IF($B175="","",IF(OR(C175="",D175=""),"",ROUND((D175-C175)*1440,0)))</f>
        <v/>
      </c>
      <c r="Q175" s="42" t="str">
        <f aca="false">IF($B175="","",I175*VLOOKUP(E175,Parametros!$B$18:$D$24,2,FALSE()))</f>
        <v/>
      </c>
      <c r="R175" s="42" t="str">
        <f aca="false">IF($B175="","",G175*VLOOKUP(E175,Parametros!$B$18:$D$24,3,FALSE()))</f>
        <v/>
      </c>
      <c r="S175" s="42" t="str">
        <f aca="false">IF($B175="","",Q175-R175)</f>
        <v/>
      </c>
      <c r="T175" s="43" t="str">
        <f aca="false">IF($B175="","",IF(S175&gt;0,"G","P"))</f>
        <v/>
      </c>
      <c r="U175" s="44" t="str">
        <f aca="false">IF($B175="","",S175/Parametros!$C$8)</f>
        <v/>
      </c>
      <c r="V175" s="42" t="str">
        <f aca="false">IF($B175="","",Parametros!$C$6+SUM($S$7:S175))</f>
        <v/>
      </c>
      <c r="W175" s="42" t="str">
        <f aca="false">IF($B175="","",MAX(V175,W174))</f>
        <v/>
      </c>
      <c r="X175" s="42" t="str">
        <f aca="false">IF($B175="","",V175-W175)</f>
        <v/>
      </c>
      <c r="Y175" s="45" t="str">
        <f aca="false">IF($B175="","",X175/W175)</f>
        <v/>
      </c>
      <c r="Z175" s="36" t="str">
        <f aca="false">IF($B175="","",IF(T175="G",IF(N(Z174)&gt;0,Z174+1,1),IF(N(Z174)&lt;0,Z174-1,-1)))</f>
        <v/>
      </c>
      <c r="AA175" s="46" t="str">
        <f aca="false">IF($B175="","",B175-WEEKDAY(B175,2)+1)</f>
        <v/>
      </c>
      <c r="AB175" s="47" t="str">
        <f aca="false">IF($B175="","",DATE(YEAR(B175),MONTH(B175),1))</f>
        <v/>
      </c>
      <c r="AC175" s="41" t="str">
        <f aca="false">IF($B175="","",CHOOSE(WEEKDAY(B175,2),"Lunes","Martes","Miércoles","Jueves","Viernes","Sábado","Domingo"))</f>
        <v/>
      </c>
      <c r="AD175" s="36" t="str">
        <f aca="false">IF($B175="","",HOUR(C175))</f>
        <v/>
      </c>
      <c r="AE175" s="42" t="str">
        <f aca="false">IF($B175="","",IF(O175&lt;&gt;O174,MAX(V175-S175,V175),MAX(V175,AE174)))</f>
        <v/>
      </c>
      <c r="AF175" s="42" t="str">
        <f aca="false">IF($B175="","",V175-AE175)</f>
        <v/>
      </c>
      <c r="AG175" s="36" t="str">
        <f aca="false">IF($B175="","",IF(O175&lt;&gt;O174,IF(T175="G",1,-1),IF(T175="G",IF(N(AG174)&gt;0,AG174+1,1),IF(N(AG174)&lt;0,AG174-1,-1))))</f>
        <v/>
      </c>
    </row>
    <row r="176" customFormat="false" ht="15" hidden="false" customHeight="false" outlineLevel="0" collapsed="false">
      <c r="A176" s="36" t="str">
        <f aca="false">IF(B176="","",ROW()-6)</f>
        <v/>
      </c>
      <c r="B176" s="37"/>
      <c r="C176" s="38"/>
      <c r="D176" s="38"/>
      <c r="E176" s="39"/>
      <c r="F176" s="39"/>
      <c r="G176" s="39"/>
      <c r="H176" s="40"/>
      <c r="I176" s="40"/>
      <c r="J176" s="40"/>
      <c r="K176" s="40"/>
      <c r="L176" s="39"/>
      <c r="M176" s="40"/>
      <c r="N176" s="40"/>
      <c r="O176" s="36" t="str">
        <f aca="false">IF($B176="","",INT((A176-1)/Parametros!$C$10)+1)</f>
        <v/>
      </c>
      <c r="P176" s="41" t="str">
        <f aca="false">IF($B176="","",IF(OR(C176="",D176=""),"",ROUND((D176-C176)*1440,0)))</f>
        <v/>
      </c>
      <c r="Q176" s="42" t="str">
        <f aca="false">IF($B176="","",I176*VLOOKUP(E176,Parametros!$B$18:$D$24,2,FALSE()))</f>
        <v/>
      </c>
      <c r="R176" s="42" t="str">
        <f aca="false">IF($B176="","",G176*VLOOKUP(E176,Parametros!$B$18:$D$24,3,FALSE()))</f>
        <v/>
      </c>
      <c r="S176" s="42" t="str">
        <f aca="false">IF($B176="","",Q176-R176)</f>
        <v/>
      </c>
      <c r="T176" s="43" t="str">
        <f aca="false">IF($B176="","",IF(S176&gt;0,"G","P"))</f>
        <v/>
      </c>
      <c r="U176" s="44" t="str">
        <f aca="false">IF($B176="","",S176/Parametros!$C$8)</f>
        <v/>
      </c>
      <c r="V176" s="42" t="str">
        <f aca="false">IF($B176="","",Parametros!$C$6+SUM($S$7:S176))</f>
        <v/>
      </c>
      <c r="W176" s="42" t="str">
        <f aca="false">IF($B176="","",MAX(V176,W175))</f>
        <v/>
      </c>
      <c r="X176" s="42" t="str">
        <f aca="false">IF($B176="","",V176-W176)</f>
        <v/>
      </c>
      <c r="Y176" s="45" t="str">
        <f aca="false">IF($B176="","",X176/W176)</f>
        <v/>
      </c>
      <c r="Z176" s="36" t="str">
        <f aca="false">IF($B176="","",IF(T176="G",IF(N(Z175)&gt;0,Z175+1,1),IF(N(Z175)&lt;0,Z175-1,-1)))</f>
        <v/>
      </c>
      <c r="AA176" s="46" t="str">
        <f aca="false">IF($B176="","",B176-WEEKDAY(B176,2)+1)</f>
        <v/>
      </c>
      <c r="AB176" s="47" t="str">
        <f aca="false">IF($B176="","",DATE(YEAR(B176),MONTH(B176),1))</f>
        <v/>
      </c>
      <c r="AC176" s="41" t="str">
        <f aca="false">IF($B176="","",CHOOSE(WEEKDAY(B176,2),"Lunes","Martes","Miércoles","Jueves","Viernes","Sábado","Domingo"))</f>
        <v/>
      </c>
      <c r="AD176" s="36" t="str">
        <f aca="false">IF($B176="","",HOUR(C176))</f>
        <v/>
      </c>
      <c r="AE176" s="42" t="str">
        <f aca="false">IF($B176="","",IF(O176&lt;&gt;O175,MAX(V176-S176,V176),MAX(V176,AE175)))</f>
        <v/>
      </c>
      <c r="AF176" s="42" t="str">
        <f aca="false">IF($B176="","",V176-AE176)</f>
        <v/>
      </c>
      <c r="AG176" s="36" t="str">
        <f aca="false">IF($B176="","",IF(O176&lt;&gt;O175,IF(T176="G",1,-1),IF(T176="G",IF(N(AG175)&gt;0,AG175+1,1),IF(N(AG175)&lt;0,AG175-1,-1))))</f>
        <v/>
      </c>
    </row>
    <row r="177" customFormat="false" ht="15" hidden="false" customHeight="false" outlineLevel="0" collapsed="false">
      <c r="A177" s="36" t="str">
        <f aca="false">IF(B177="","",ROW()-6)</f>
        <v/>
      </c>
      <c r="B177" s="37"/>
      <c r="C177" s="38"/>
      <c r="D177" s="38"/>
      <c r="E177" s="39"/>
      <c r="F177" s="39"/>
      <c r="G177" s="39"/>
      <c r="H177" s="40"/>
      <c r="I177" s="40"/>
      <c r="J177" s="40"/>
      <c r="K177" s="40"/>
      <c r="L177" s="39"/>
      <c r="M177" s="40"/>
      <c r="N177" s="40"/>
      <c r="O177" s="36" t="str">
        <f aca="false">IF($B177="","",INT((A177-1)/Parametros!$C$10)+1)</f>
        <v/>
      </c>
      <c r="P177" s="41" t="str">
        <f aca="false">IF($B177="","",IF(OR(C177="",D177=""),"",ROUND((D177-C177)*1440,0)))</f>
        <v/>
      </c>
      <c r="Q177" s="42" t="str">
        <f aca="false">IF($B177="","",I177*VLOOKUP(E177,Parametros!$B$18:$D$24,2,FALSE()))</f>
        <v/>
      </c>
      <c r="R177" s="42" t="str">
        <f aca="false">IF($B177="","",G177*VLOOKUP(E177,Parametros!$B$18:$D$24,3,FALSE()))</f>
        <v/>
      </c>
      <c r="S177" s="42" t="str">
        <f aca="false">IF($B177="","",Q177-R177)</f>
        <v/>
      </c>
      <c r="T177" s="43" t="str">
        <f aca="false">IF($B177="","",IF(S177&gt;0,"G","P"))</f>
        <v/>
      </c>
      <c r="U177" s="44" t="str">
        <f aca="false">IF($B177="","",S177/Parametros!$C$8)</f>
        <v/>
      </c>
      <c r="V177" s="42" t="str">
        <f aca="false">IF($B177="","",Parametros!$C$6+SUM($S$7:S177))</f>
        <v/>
      </c>
      <c r="W177" s="42" t="str">
        <f aca="false">IF($B177="","",MAX(V177,W176))</f>
        <v/>
      </c>
      <c r="X177" s="42" t="str">
        <f aca="false">IF($B177="","",V177-W177)</f>
        <v/>
      </c>
      <c r="Y177" s="45" t="str">
        <f aca="false">IF($B177="","",X177/W177)</f>
        <v/>
      </c>
      <c r="Z177" s="36" t="str">
        <f aca="false">IF($B177="","",IF(T177="G",IF(N(Z176)&gt;0,Z176+1,1),IF(N(Z176)&lt;0,Z176-1,-1)))</f>
        <v/>
      </c>
      <c r="AA177" s="46" t="str">
        <f aca="false">IF($B177="","",B177-WEEKDAY(B177,2)+1)</f>
        <v/>
      </c>
      <c r="AB177" s="47" t="str">
        <f aca="false">IF($B177="","",DATE(YEAR(B177),MONTH(B177),1))</f>
        <v/>
      </c>
      <c r="AC177" s="41" t="str">
        <f aca="false">IF($B177="","",CHOOSE(WEEKDAY(B177,2),"Lunes","Martes","Miércoles","Jueves","Viernes","Sábado","Domingo"))</f>
        <v/>
      </c>
      <c r="AD177" s="36" t="str">
        <f aca="false">IF($B177="","",HOUR(C177))</f>
        <v/>
      </c>
      <c r="AE177" s="42" t="str">
        <f aca="false">IF($B177="","",IF(O177&lt;&gt;O176,MAX(V177-S177,V177),MAX(V177,AE176)))</f>
        <v/>
      </c>
      <c r="AF177" s="42" t="str">
        <f aca="false">IF($B177="","",V177-AE177)</f>
        <v/>
      </c>
      <c r="AG177" s="36" t="str">
        <f aca="false">IF($B177="","",IF(O177&lt;&gt;O176,IF(T177="G",1,-1),IF(T177="G",IF(N(AG176)&gt;0,AG176+1,1),IF(N(AG176)&lt;0,AG176-1,-1))))</f>
        <v/>
      </c>
    </row>
    <row r="178" customFormat="false" ht="15" hidden="false" customHeight="false" outlineLevel="0" collapsed="false">
      <c r="A178" s="36" t="str">
        <f aca="false">IF(B178="","",ROW()-6)</f>
        <v/>
      </c>
      <c r="B178" s="37"/>
      <c r="C178" s="38"/>
      <c r="D178" s="38"/>
      <c r="E178" s="39"/>
      <c r="F178" s="39"/>
      <c r="G178" s="39"/>
      <c r="H178" s="40"/>
      <c r="I178" s="40"/>
      <c r="J178" s="40"/>
      <c r="K178" s="40"/>
      <c r="L178" s="39"/>
      <c r="M178" s="40"/>
      <c r="N178" s="40"/>
      <c r="O178" s="36" t="str">
        <f aca="false">IF($B178="","",INT((A178-1)/Parametros!$C$10)+1)</f>
        <v/>
      </c>
      <c r="P178" s="41" t="str">
        <f aca="false">IF($B178="","",IF(OR(C178="",D178=""),"",ROUND((D178-C178)*1440,0)))</f>
        <v/>
      </c>
      <c r="Q178" s="42" t="str">
        <f aca="false">IF($B178="","",I178*VLOOKUP(E178,Parametros!$B$18:$D$24,2,FALSE()))</f>
        <v/>
      </c>
      <c r="R178" s="42" t="str">
        <f aca="false">IF($B178="","",G178*VLOOKUP(E178,Parametros!$B$18:$D$24,3,FALSE()))</f>
        <v/>
      </c>
      <c r="S178" s="42" t="str">
        <f aca="false">IF($B178="","",Q178-R178)</f>
        <v/>
      </c>
      <c r="T178" s="43" t="str">
        <f aca="false">IF($B178="","",IF(S178&gt;0,"G","P"))</f>
        <v/>
      </c>
      <c r="U178" s="44" t="str">
        <f aca="false">IF($B178="","",S178/Parametros!$C$8)</f>
        <v/>
      </c>
      <c r="V178" s="42" t="str">
        <f aca="false">IF($B178="","",Parametros!$C$6+SUM($S$7:S178))</f>
        <v/>
      </c>
      <c r="W178" s="42" t="str">
        <f aca="false">IF($B178="","",MAX(V178,W177))</f>
        <v/>
      </c>
      <c r="X178" s="42" t="str">
        <f aca="false">IF($B178="","",V178-W178)</f>
        <v/>
      </c>
      <c r="Y178" s="45" t="str">
        <f aca="false">IF($B178="","",X178/W178)</f>
        <v/>
      </c>
      <c r="Z178" s="36" t="str">
        <f aca="false">IF($B178="","",IF(T178="G",IF(N(Z177)&gt;0,Z177+1,1),IF(N(Z177)&lt;0,Z177-1,-1)))</f>
        <v/>
      </c>
      <c r="AA178" s="46" t="str">
        <f aca="false">IF($B178="","",B178-WEEKDAY(B178,2)+1)</f>
        <v/>
      </c>
      <c r="AB178" s="47" t="str">
        <f aca="false">IF($B178="","",DATE(YEAR(B178),MONTH(B178),1))</f>
        <v/>
      </c>
      <c r="AC178" s="41" t="str">
        <f aca="false">IF($B178="","",CHOOSE(WEEKDAY(B178,2),"Lunes","Martes","Miércoles","Jueves","Viernes","Sábado","Domingo"))</f>
        <v/>
      </c>
      <c r="AD178" s="36" t="str">
        <f aca="false">IF($B178="","",HOUR(C178))</f>
        <v/>
      </c>
      <c r="AE178" s="42" t="str">
        <f aca="false">IF($B178="","",IF(O178&lt;&gt;O177,MAX(V178-S178,V178),MAX(V178,AE177)))</f>
        <v/>
      </c>
      <c r="AF178" s="42" t="str">
        <f aca="false">IF($B178="","",V178-AE178)</f>
        <v/>
      </c>
      <c r="AG178" s="36" t="str">
        <f aca="false">IF($B178="","",IF(O178&lt;&gt;O177,IF(T178="G",1,-1),IF(T178="G",IF(N(AG177)&gt;0,AG177+1,1),IF(N(AG177)&lt;0,AG177-1,-1))))</f>
        <v/>
      </c>
    </row>
    <row r="179" customFormat="false" ht="15" hidden="false" customHeight="false" outlineLevel="0" collapsed="false">
      <c r="A179" s="36" t="str">
        <f aca="false">IF(B179="","",ROW()-6)</f>
        <v/>
      </c>
      <c r="B179" s="37"/>
      <c r="C179" s="38"/>
      <c r="D179" s="38"/>
      <c r="E179" s="39"/>
      <c r="F179" s="39"/>
      <c r="G179" s="39"/>
      <c r="H179" s="40"/>
      <c r="I179" s="40"/>
      <c r="J179" s="40"/>
      <c r="K179" s="40"/>
      <c r="L179" s="39"/>
      <c r="M179" s="40"/>
      <c r="N179" s="40"/>
      <c r="O179" s="36" t="str">
        <f aca="false">IF($B179="","",INT((A179-1)/Parametros!$C$10)+1)</f>
        <v/>
      </c>
      <c r="P179" s="41" t="str">
        <f aca="false">IF($B179="","",IF(OR(C179="",D179=""),"",ROUND((D179-C179)*1440,0)))</f>
        <v/>
      </c>
      <c r="Q179" s="42" t="str">
        <f aca="false">IF($B179="","",I179*VLOOKUP(E179,Parametros!$B$18:$D$24,2,FALSE()))</f>
        <v/>
      </c>
      <c r="R179" s="42" t="str">
        <f aca="false">IF($B179="","",G179*VLOOKUP(E179,Parametros!$B$18:$D$24,3,FALSE()))</f>
        <v/>
      </c>
      <c r="S179" s="42" t="str">
        <f aca="false">IF($B179="","",Q179-R179)</f>
        <v/>
      </c>
      <c r="T179" s="43" t="str">
        <f aca="false">IF($B179="","",IF(S179&gt;0,"G","P"))</f>
        <v/>
      </c>
      <c r="U179" s="44" t="str">
        <f aca="false">IF($B179="","",S179/Parametros!$C$8)</f>
        <v/>
      </c>
      <c r="V179" s="42" t="str">
        <f aca="false">IF($B179="","",Parametros!$C$6+SUM($S$7:S179))</f>
        <v/>
      </c>
      <c r="W179" s="42" t="str">
        <f aca="false">IF($B179="","",MAX(V179,W178))</f>
        <v/>
      </c>
      <c r="X179" s="42" t="str">
        <f aca="false">IF($B179="","",V179-W179)</f>
        <v/>
      </c>
      <c r="Y179" s="45" t="str">
        <f aca="false">IF($B179="","",X179/W179)</f>
        <v/>
      </c>
      <c r="Z179" s="36" t="str">
        <f aca="false">IF($B179="","",IF(T179="G",IF(N(Z178)&gt;0,Z178+1,1),IF(N(Z178)&lt;0,Z178-1,-1)))</f>
        <v/>
      </c>
      <c r="AA179" s="46" t="str">
        <f aca="false">IF($B179="","",B179-WEEKDAY(B179,2)+1)</f>
        <v/>
      </c>
      <c r="AB179" s="47" t="str">
        <f aca="false">IF($B179="","",DATE(YEAR(B179),MONTH(B179),1))</f>
        <v/>
      </c>
      <c r="AC179" s="41" t="str">
        <f aca="false">IF($B179="","",CHOOSE(WEEKDAY(B179,2),"Lunes","Martes","Miércoles","Jueves","Viernes","Sábado","Domingo"))</f>
        <v/>
      </c>
      <c r="AD179" s="36" t="str">
        <f aca="false">IF($B179="","",HOUR(C179))</f>
        <v/>
      </c>
      <c r="AE179" s="42" t="str">
        <f aca="false">IF($B179="","",IF(O179&lt;&gt;O178,MAX(V179-S179,V179),MAX(V179,AE178)))</f>
        <v/>
      </c>
      <c r="AF179" s="42" t="str">
        <f aca="false">IF($B179="","",V179-AE179)</f>
        <v/>
      </c>
      <c r="AG179" s="36" t="str">
        <f aca="false">IF($B179="","",IF(O179&lt;&gt;O178,IF(T179="G",1,-1),IF(T179="G",IF(N(AG178)&gt;0,AG178+1,1),IF(N(AG178)&lt;0,AG178-1,-1))))</f>
        <v/>
      </c>
    </row>
    <row r="180" customFormat="false" ht="15" hidden="false" customHeight="false" outlineLevel="0" collapsed="false">
      <c r="A180" s="36" t="str">
        <f aca="false">IF(B180="","",ROW()-6)</f>
        <v/>
      </c>
      <c r="B180" s="37"/>
      <c r="C180" s="38"/>
      <c r="D180" s="38"/>
      <c r="E180" s="39"/>
      <c r="F180" s="39"/>
      <c r="G180" s="39"/>
      <c r="H180" s="40"/>
      <c r="I180" s="40"/>
      <c r="J180" s="40"/>
      <c r="K180" s="40"/>
      <c r="L180" s="39"/>
      <c r="M180" s="40"/>
      <c r="N180" s="40"/>
      <c r="O180" s="36" t="str">
        <f aca="false">IF($B180="","",INT((A180-1)/Parametros!$C$10)+1)</f>
        <v/>
      </c>
      <c r="P180" s="41" t="str">
        <f aca="false">IF($B180="","",IF(OR(C180="",D180=""),"",ROUND((D180-C180)*1440,0)))</f>
        <v/>
      </c>
      <c r="Q180" s="42" t="str">
        <f aca="false">IF($B180="","",I180*VLOOKUP(E180,Parametros!$B$18:$D$24,2,FALSE()))</f>
        <v/>
      </c>
      <c r="R180" s="42" t="str">
        <f aca="false">IF($B180="","",G180*VLOOKUP(E180,Parametros!$B$18:$D$24,3,FALSE()))</f>
        <v/>
      </c>
      <c r="S180" s="42" t="str">
        <f aca="false">IF($B180="","",Q180-R180)</f>
        <v/>
      </c>
      <c r="T180" s="43" t="str">
        <f aca="false">IF($B180="","",IF(S180&gt;0,"G","P"))</f>
        <v/>
      </c>
      <c r="U180" s="44" t="str">
        <f aca="false">IF($B180="","",S180/Parametros!$C$8)</f>
        <v/>
      </c>
      <c r="V180" s="42" t="str">
        <f aca="false">IF($B180="","",Parametros!$C$6+SUM($S$7:S180))</f>
        <v/>
      </c>
      <c r="W180" s="42" t="str">
        <f aca="false">IF($B180="","",MAX(V180,W179))</f>
        <v/>
      </c>
      <c r="X180" s="42" t="str">
        <f aca="false">IF($B180="","",V180-W180)</f>
        <v/>
      </c>
      <c r="Y180" s="45" t="str">
        <f aca="false">IF($B180="","",X180/W180)</f>
        <v/>
      </c>
      <c r="Z180" s="36" t="str">
        <f aca="false">IF($B180="","",IF(T180="G",IF(N(Z179)&gt;0,Z179+1,1),IF(N(Z179)&lt;0,Z179-1,-1)))</f>
        <v/>
      </c>
      <c r="AA180" s="46" t="str">
        <f aca="false">IF($B180="","",B180-WEEKDAY(B180,2)+1)</f>
        <v/>
      </c>
      <c r="AB180" s="47" t="str">
        <f aca="false">IF($B180="","",DATE(YEAR(B180),MONTH(B180),1))</f>
        <v/>
      </c>
      <c r="AC180" s="41" t="str">
        <f aca="false">IF($B180="","",CHOOSE(WEEKDAY(B180,2),"Lunes","Martes","Miércoles","Jueves","Viernes","Sábado","Domingo"))</f>
        <v/>
      </c>
      <c r="AD180" s="36" t="str">
        <f aca="false">IF($B180="","",HOUR(C180))</f>
        <v/>
      </c>
      <c r="AE180" s="42" t="str">
        <f aca="false">IF($B180="","",IF(O180&lt;&gt;O179,MAX(V180-S180,V180),MAX(V180,AE179)))</f>
        <v/>
      </c>
      <c r="AF180" s="42" t="str">
        <f aca="false">IF($B180="","",V180-AE180)</f>
        <v/>
      </c>
      <c r="AG180" s="36" t="str">
        <f aca="false">IF($B180="","",IF(O180&lt;&gt;O179,IF(T180="G",1,-1),IF(T180="G",IF(N(AG179)&gt;0,AG179+1,1),IF(N(AG179)&lt;0,AG179-1,-1))))</f>
        <v/>
      </c>
    </row>
    <row r="181" customFormat="false" ht="15" hidden="false" customHeight="false" outlineLevel="0" collapsed="false">
      <c r="A181" s="36" t="str">
        <f aca="false">IF(B181="","",ROW()-6)</f>
        <v/>
      </c>
      <c r="B181" s="37"/>
      <c r="C181" s="38"/>
      <c r="D181" s="38"/>
      <c r="E181" s="39"/>
      <c r="F181" s="39"/>
      <c r="G181" s="39"/>
      <c r="H181" s="40"/>
      <c r="I181" s="40"/>
      <c r="J181" s="40"/>
      <c r="K181" s="40"/>
      <c r="L181" s="39"/>
      <c r="M181" s="40"/>
      <c r="N181" s="40"/>
      <c r="O181" s="36" t="str">
        <f aca="false">IF($B181="","",INT((A181-1)/Parametros!$C$10)+1)</f>
        <v/>
      </c>
      <c r="P181" s="41" t="str">
        <f aca="false">IF($B181="","",IF(OR(C181="",D181=""),"",ROUND((D181-C181)*1440,0)))</f>
        <v/>
      </c>
      <c r="Q181" s="42" t="str">
        <f aca="false">IF($B181="","",I181*VLOOKUP(E181,Parametros!$B$18:$D$24,2,FALSE()))</f>
        <v/>
      </c>
      <c r="R181" s="42" t="str">
        <f aca="false">IF($B181="","",G181*VLOOKUP(E181,Parametros!$B$18:$D$24,3,FALSE()))</f>
        <v/>
      </c>
      <c r="S181" s="42" t="str">
        <f aca="false">IF($B181="","",Q181-R181)</f>
        <v/>
      </c>
      <c r="T181" s="43" t="str">
        <f aca="false">IF($B181="","",IF(S181&gt;0,"G","P"))</f>
        <v/>
      </c>
      <c r="U181" s="44" t="str">
        <f aca="false">IF($B181="","",S181/Parametros!$C$8)</f>
        <v/>
      </c>
      <c r="V181" s="42" t="str">
        <f aca="false">IF($B181="","",Parametros!$C$6+SUM($S$7:S181))</f>
        <v/>
      </c>
      <c r="W181" s="42" t="str">
        <f aca="false">IF($B181="","",MAX(V181,W180))</f>
        <v/>
      </c>
      <c r="X181" s="42" t="str">
        <f aca="false">IF($B181="","",V181-W181)</f>
        <v/>
      </c>
      <c r="Y181" s="45" t="str">
        <f aca="false">IF($B181="","",X181/W181)</f>
        <v/>
      </c>
      <c r="Z181" s="36" t="str">
        <f aca="false">IF($B181="","",IF(T181="G",IF(N(Z180)&gt;0,Z180+1,1),IF(N(Z180)&lt;0,Z180-1,-1)))</f>
        <v/>
      </c>
      <c r="AA181" s="46" t="str">
        <f aca="false">IF($B181="","",B181-WEEKDAY(B181,2)+1)</f>
        <v/>
      </c>
      <c r="AB181" s="47" t="str">
        <f aca="false">IF($B181="","",DATE(YEAR(B181),MONTH(B181),1))</f>
        <v/>
      </c>
      <c r="AC181" s="41" t="str">
        <f aca="false">IF($B181="","",CHOOSE(WEEKDAY(B181,2),"Lunes","Martes","Miércoles","Jueves","Viernes","Sábado","Domingo"))</f>
        <v/>
      </c>
      <c r="AD181" s="36" t="str">
        <f aca="false">IF($B181="","",HOUR(C181))</f>
        <v/>
      </c>
      <c r="AE181" s="42" t="str">
        <f aca="false">IF($B181="","",IF(O181&lt;&gt;O180,MAX(V181-S181,V181),MAX(V181,AE180)))</f>
        <v/>
      </c>
      <c r="AF181" s="42" t="str">
        <f aca="false">IF($B181="","",V181-AE181)</f>
        <v/>
      </c>
      <c r="AG181" s="36" t="str">
        <f aca="false">IF($B181="","",IF(O181&lt;&gt;O180,IF(T181="G",1,-1),IF(T181="G",IF(N(AG180)&gt;0,AG180+1,1),IF(N(AG180)&lt;0,AG180-1,-1))))</f>
        <v/>
      </c>
    </row>
    <row r="182" customFormat="false" ht="15" hidden="false" customHeight="false" outlineLevel="0" collapsed="false">
      <c r="A182" s="36" t="str">
        <f aca="false">IF(B182="","",ROW()-6)</f>
        <v/>
      </c>
      <c r="B182" s="37"/>
      <c r="C182" s="38"/>
      <c r="D182" s="38"/>
      <c r="E182" s="39"/>
      <c r="F182" s="39"/>
      <c r="G182" s="39"/>
      <c r="H182" s="40"/>
      <c r="I182" s="40"/>
      <c r="J182" s="40"/>
      <c r="K182" s="40"/>
      <c r="L182" s="39"/>
      <c r="M182" s="40"/>
      <c r="N182" s="40"/>
      <c r="O182" s="36" t="str">
        <f aca="false">IF($B182="","",INT((A182-1)/Parametros!$C$10)+1)</f>
        <v/>
      </c>
      <c r="P182" s="41" t="str">
        <f aca="false">IF($B182="","",IF(OR(C182="",D182=""),"",ROUND((D182-C182)*1440,0)))</f>
        <v/>
      </c>
      <c r="Q182" s="42" t="str">
        <f aca="false">IF($B182="","",I182*VLOOKUP(E182,Parametros!$B$18:$D$24,2,FALSE()))</f>
        <v/>
      </c>
      <c r="R182" s="42" t="str">
        <f aca="false">IF($B182="","",G182*VLOOKUP(E182,Parametros!$B$18:$D$24,3,FALSE()))</f>
        <v/>
      </c>
      <c r="S182" s="42" t="str">
        <f aca="false">IF($B182="","",Q182-R182)</f>
        <v/>
      </c>
      <c r="T182" s="43" t="str">
        <f aca="false">IF($B182="","",IF(S182&gt;0,"G","P"))</f>
        <v/>
      </c>
      <c r="U182" s="44" t="str">
        <f aca="false">IF($B182="","",S182/Parametros!$C$8)</f>
        <v/>
      </c>
      <c r="V182" s="42" t="str">
        <f aca="false">IF($B182="","",Parametros!$C$6+SUM($S$7:S182))</f>
        <v/>
      </c>
      <c r="W182" s="42" t="str">
        <f aca="false">IF($B182="","",MAX(V182,W181))</f>
        <v/>
      </c>
      <c r="X182" s="42" t="str">
        <f aca="false">IF($B182="","",V182-W182)</f>
        <v/>
      </c>
      <c r="Y182" s="45" t="str">
        <f aca="false">IF($B182="","",X182/W182)</f>
        <v/>
      </c>
      <c r="Z182" s="36" t="str">
        <f aca="false">IF($B182="","",IF(T182="G",IF(N(Z181)&gt;0,Z181+1,1),IF(N(Z181)&lt;0,Z181-1,-1)))</f>
        <v/>
      </c>
      <c r="AA182" s="46" t="str">
        <f aca="false">IF($B182="","",B182-WEEKDAY(B182,2)+1)</f>
        <v/>
      </c>
      <c r="AB182" s="47" t="str">
        <f aca="false">IF($B182="","",DATE(YEAR(B182),MONTH(B182),1))</f>
        <v/>
      </c>
      <c r="AC182" s="41" t="str">
        <f aca="false">IF($B182="","",CHOOSE(WEEKDAY(B182,2),"Lunes","Martes","Miércoles","Jueves","Viernes","Sábado","Domingo"))</f>
        <v/>
      </c>
      <c r="AD182" s="36" t="str">
        <f aca="false">IF($B182="","",HOUR(C182))</f>
        <v/>
      </c>
      <c r="AE182" s="42" t="str">
        <f aca="false">IF($B182="","",IF(O182&lt;&gt;O181,MAX(V182-S182,V182),MAX(V182,AE181)))</f>
        <v/>
      </c>
      <c r="AF182" s="42" t="str">
        <f aca="false">IF($B182="","",V182-AE182)</f>
        <v/>
      </c>
      <c r="AG182" s="36" t="str">
        <f aca="false">IF($B182="","",IF(O182&lt;&gt;O181,IF(T182="G",1,-1),IF(T182="G",IF(N(AG181)&gt;0,AG181+1,1),IF(N(AG181)&lt;0,AG181-1,-1))))</f>
        <v/>
      </c>
    </row>
    <row r="183" customFormat="false" ht="15" hidden="false" customHeight="false" outlineLevel="0" collapsed="false">
      <c r="A183" s="36" t="str">
        <f aca="false">IF(B183="","",ROW()-6)</f>
        <v/>
      </c>
      <c r="B183" s="37"/>
      <c r="C183" s="38"/>
      <c r="D183" s="38"/>
      <c r="E183" s="39"/>
      <c r="F183" s="39"/>
      <c r="G183" s="39"/>
      <c r="H183" s="40"/>
      <c r="I183" s="40"/>
      <c r="J183" s="40"/>
      <c r="K183" s="40"/>
      <c r="L183" s="39"/>
      <c r="M183" s="40"/>
      <c r="N183" s="40"/>
      <c r="O183" s="36" t="str">
        <f aca="false">IF($B183="","",INT((A183-1)/Parametros!$C$10)+1)</f>
        <v/>
      </c>
      <c r="P183" s="41" t="str">
        <f aca="false">IF($B183="","",IF(OR(C183="",D183=""),"",ROUND((D183-C183)*1440,0)))</f>
        <v/>
      </c>
      <c r="Q183" s="42" t="str">
        <f aca="false">IF($B183="","",I183*VLOOKUP(E183,Parametros!$B$18:$D$24,2,FALSE()))</f>
        <v/>
      </c>
      <c r="R183" s="42" t="str">
        <f aca="false">IF($B183="","",G183*VLOOKUP(E183,Parametros!$B$18:$D$24,3,FALSE()))</f>
        <v/>
      </c>
      <c r="S183" s="42" t="str">
        <f aca="false">IF($B183="","",Q183-R183)</f>
        <v/>
      </c>
      <c r="T183" s="43" t="str">
        <f aca="false">IF($B183="","",IF(S183&gt;0,"G","P"))</f>
        <v/>
      </c>
      <c r="U183" s="44" t="str">
        <f aca="false">IF($B183="","",S183/Parametros!$C$8)</f>
        <v/>
      </c>
      <c r="V183" s="42" t="str">
        <f aca="false">IF($B183="","",Parametros!$C$6+SUM($S$7:S183))</f>
        <v/>
      </c>
      <c r="W183" s="42" t="str">
        <f aca="false">IF($B183="","",MAX(V183,W182))</f>
        <v/>
      </c>
      <c r="X183" s="42" t="str">
        <f aca="false">IF($B183="","",V183-W183)</f>
        <v/>
      </c>
      <c r="Y183" s="45" t="str">
        <f aca="false">IF($B183="","",X183/W183)</f>
        <v/>
      </c>
      <c r="Z183" s="36" t="str">
        <f aca="false">IF($B183="","",IF(T183="G",IF(N(Z182)&gt;0,Z182+1,1),IF(N(Z182)&lt;0,Z182-1,-1)))</f>
        <v/>
      </c>
      <c r="AA183" s="46" t="str">
        <f aca="false">IF($B183="","",B183-WEEKDAY(B183,2)+1)</f>
        <v/>
      </c>
      <c r="AB183" s="47" t="str">
        <f aca="false">IF($B183="","",DATE(YEAR(B183),MONTH(B183),1))</f>
        <v/>
      </c>
      <c r="AC183" s="41" t="str">
        <f aca="false">IF($B183="","",CHOOSE(WEEKDAY(B183,2),"Lunes","Martes","Miércoles","Jueves","Viernes","Sábado","Domingo"))</f>
        <v/>
      </c>
      <c r="AD183" s="36" t="str">
        <f aca="false">IF($B183="","",HOUR(C183))</f>
        <v/>
      </c>
      <c r="AE183" s="42" t="str">
        <f aca="false">IF($B183="","",IF(O183&lt;&gt;O182,MAX(V183-S183,V183),MAX(V183,AE182)))</f>
        <v/>
      </c>
      <c r="AF183" s="42" t="str">
        <f aca="false">IF($B183="","",V183-AE183)</f>
        <v/>
      </c>
      <c r="AG183" s="36" t="str">
        <f aca="false">IF($B183="","",IF(O183&lt;&gt;O182,IF(T183="G",1,-1),IF(T183="G",IF(N(AG182)&gt;0,AG182+1,1),IF(N(AG182)&lt;0,AG182-1,-1))))</f>
        <v/>
      </c>
    </row>
    <row r="184" customFormat="false" ht="15" hidden="false" customHeight="false" outlineLevel="0" collapsed="false">
      <c r="A184" s="36" t="str">
        <f aca="false">IF(B184="","",ROW()-6)</f>
        <v/>
      </c>
      <c r="B184" s="37"/>
      <c r="C184" s="38"/>
      <c r="D184" s="38"/>
      <c r="E184" s="39"/>
      <c r="F184" s="39"/>
      <c r="G184" s="39"/>
      <c r="H184" s="40"/>
      <c r="I184" s="40"/>
      <c r="J184" s="40"/>
      <c r="K184" s="40"/>
      <c r="L184" s="39"/>
      <c r="M184" s="40"/>
      <c r="N184" s="40"/>
      <c r="O184" s="36" t="str">
        <f aca="false">IF($B184="","",INT((A184-1)/Parametros!$C$10)+1)</f>
        <v/>
      </c>
      <c r="P184" s="41" t="str">
        <f aca="false">IF($B184="","",IF(OR(C184="",D184=""),"",ROUND((D184-C184)*1440,0)))</f>
        <v/>
      </c>
      <c r="Q184" s="42" t="str">
        <f aca="false">IF($B184="","",I184*VLOOKUP(E184,Parametros!$B$18:$D$24,2,FALSE()))</f>
        <v/>
      </c>
      <c r="R184" s="42" t="str">
        <f aca="false">IF($B184="","",G184*VLOOKUP(E184,Parametros!$B$18:$D$24,3,FALSE()))</f>
        <v/>
      </c>
      <c r="S184" s="42" t="str">
        <f aca="false">IF($B184="","",Q184-R184)</f>
        <v/>
      </c>
      <c r="T184" s="43" t="str">
        <f aca="false">IF($B184="","",IF(S184&gt;0,"G","P"))</f>
        <v/>
      </c>
      <c r="U184" s="44" t="str">
        <f aca="false">IF($B184="","",S184/Parametros!$C$8)</f>
        <v/>
      </c>
      <c r="V184" s="42" t="str">
        <f aca="false">IF($B184="","",Parametros!$C$6+SUM($S$7:S184))</f>
        <v/>
      </c>
      <c r="W184" s="42" t="str">
        <f aca="false">IF($B184="","",MAX(V184,W183))</f>
        <v/>
      </c>
      <c r="X184" s="42" t="str">
        <f aca="false">IF($B184="","",V184-W184)</f>
        <v/>
      </c>
      <c r="Y184" s="45" t="str">
        <f aca="false">IF($B184="","",X184/W184)</f>
        <v/>
      </c>
      <c r="Z184" s="36" t="str">
        <f aca="false">IF($B184="","",IF(T184="G",IF(N(Z183)&gt;0,Z183+1,1),IF(N(Z183)&lt;0,Z183-1,-1)))</f>
        <v/>
      </c>
      <c r="AA184" s="46" t="str">
        <f aca="false">IF($B184="","",B184-WEEKDAY(B184,2)+1)</f>
        <v/>
      </c>
      <c r="AB184" s="47" t="str">
        <f aca="false">IF($B184="","",DATE(YEAR(B184),MONTH(B184),1))</f>
        <v/>
      </c>
      <c r="AC184" s="41" t="str">
        <f aca="false">IF($B184="","",CHOOSE(WEEKDAY(B184,2),"Lunes","Martes","Miércoles","Jueves","Viernes","Sábado","Domingo"))</f>
        <v/>
      </c>
      <c r="AD184" s="36" t="str">
        <f aca="false">IF($B184="","",HOUR(C184))</f>
        <v/>
      </c>
      <c r="AE184" s="42" t="str">
        <f aca="false">IF($B184="","",IF(O184&lt;&gt;O183,MAX(V184-S184,V184),MAX(V184,AE183)))</f>
        <v/>
      </c>
      <c r="AF184" s="42" t="str">
        <f aca="false">IF($B184="","",V184-AE184)</f>
        <v/>
      </c>
      <c r="AG184" s="36" t="str">
        <f aca="false">IF($B184="","",IF(O184&lt;&gt;O183,IF(T184="G",1,-1),IF(T184="G",IF(N(AG183)&gt;0,AG183+1,1),IF(N(AG183)&lt;0,AG183-1,-1))))</f>
        <v/>
      </c>
    </row>
    <row r="185" customFormat="false" ht="15" hidden="false" customHeight="false" outlineLevel="0" collapsed="false">
      <c r="A185" s="36" t="str">
        <f aca="false">IF(B185="","",ROW()-6)</f>
        <v/>
      </c>
      <c r="B185" s="37"/>
      <c r="C185" s="38"/>
      <c r="D185" s="38"/>
      <c r="E185" s="39"/>
      <c r="F185" s="39"/>
      <c r="G185" s="39"/>
      <c r="H185" s="40"/>
      <c r="I185" s="40"/>
      <c r="J185" s="40"/>
      <c r="K185" s="40"/>
      <c r="L185" s="39"/>
      <c r="M185" s="40"/>
      <c r="N185" s="40"/>
      <c r="O185" s="36" t="str">
        <f aca="false">IF($B185="","",INT((A185-1)/Parametros!$C$10)+1)</f>
        <v/>
      </c>
      <c r="P185" s="41" t="str">
        <f aca="false">IF($B185="","",IF(OR(C185="",D185=""),"",ROUND((D185-C185)*1440,0)))</f>
        <v/>
      </c>
      <c r="Q185" s="42" t="str">
        <f aca="false">IF($B185="","",I185*VLOOKUP(E185,Parametros!$B$18:$D$24,2,FALSE()))</f>
        <v/>
      </c>
      <c r="R185" s="42" t="str">
        <f aca="false">IF($B185="","",G185*VLOOKUP(E185,Parametros!$B$18:$D$24,3,FALSE()))</f>
        <v/>
      </c>
      <c r="S185" s="42" t="str">
        <f aca="false">IF($B185="","",Q185-R185)</f>
        <v/>
      </c>
      <c r="T185" s="43" t="str">
        <f aca="false">IF($B185="","",IF(S185&gt;0,"G","P"))</f>
        <v/>
      </c>
      <c r="U185" s="44" t="str">
        <f aca="false">IF($B185="","",S185/Parametros!$C$8)</f>
        <v/>
      </c>
      <c r="V185" s="42" t="str">
        <f aca="false">IF($B185="","",Parametros!$C$6+SUM($S$7:S185))</f>
        <v/>
      </c>
      <c r="W185" s="42" t="str">
        <f aca="false">IF($B185="","",MAX(V185,W184))</f>
        <v/>
      </c>
      <c r="X185" s="42" t="str">
        <f aca="false">IF($B185="","",V185-W185)</f>
        <v/>
      </c>
      <c r="Y185" s="45" t="str">
        <f aca="false">IF($B185="","",X185/W185)</f>
        <v/>
      </c>
      <c r="Z185" s="36" t="str">
        <f aca="false">IF($B185="","",IF(T185="G",IF(N(Z184)&gt;0,Z184+1,1),IF(N(Z184)&lt;0,Z184-1,-1)))</f>
        <v/>
      </c>
      <c r="AA185" s="46" t="str">
        <f aca="false">IF($B185="","",B185-WEEKDAY(B185,2)+1)</f>
        <v/>
      </c>
      <c r="AB185" s="47" t="str">
        <f aca="false">IF($B185="","",DATE(YEAR(B185),MONTH(B185),1))</f>
        <v/>
      </c>
      <c r="AC185" s="41" t="str">
        <f aca="false">IF($B185="","",CHOOSE(WEEKDAY(B185,2),"Lunes","Martes","Miércoles","Jueves","Viernes","Sábado","Domingo"))</f>
        <v/>
      </c>
      <c r="AD185" s="36" t="str">
        <f aca="false">IF($B185="","",HOUR(C185))</f>
        <v/>
      </c>
      <c r="AE185" s="42" t="str">
        <f aca="false">IF($B185="","",IF(O185&lt;&gt;O184,MAX(V185-S185,V185),MAX(V185,AE184)))</f>
        <v/>
      </c>
      <c r="AF185" s="42" t="str">
        <f aca="false">IF($B185="","",V185-AE185)</f>
        <v/>
      </c>
      <c r="AG185" s="36" t="str">
        <f aca="false">IF($B185="","",IF(O185&lt;&gt;O184,IF(T185="G",1,-1),IF(T185="G",IF(N(AG184)&gt;0,AG184+1,1),IF(N(AG184)&lt;0,AG184-1,-1))))</f>
        <v/>
      </c>
    </row>
    <row r="186" customFormat="false" ht="15" hidden="false" customHeight="false" outlineLevel="0" collapsed="false">
      <c r="A186" s="36" t="str">
        <f aca="false">IF(B186="","",ROW()-6)</f>
        <v/>
      </c>
      <c r="B186" s="37"/>
      <c r="C186" s="38"/>
      <c r="D186" s="38"/>
      <c r="E186" s="39"/>
      <c r="F186" s="39"/>
      <c r="G186" s="39"/>
      <c r="H186" s="40"/>
      <c r="I186" s="40"/>
      <c r="J186" s="40"/>
      <c r="K186" s="40"/>
      <c r="L186" s="39"/>
      <c r="M186" s="40"/>
      <c r="N186" s="40"/>
      <c r="O186" s="36" t="str">
        <f aca="false">IF($B186="","",INT((A186-1)/Parametros!$C$10)+1)</f>
        <v/>
      </c>
      <c r="P186" s="41" t="str">
        <f aca="false">IF($B186="","",IF(OR(C186="",D186=""),"",ROUND((D186-C186)*1440,0)))</f>
        <v/>
      </c>
      <c r="Q186" s="42" t="str">
        <f aca="false">IF($B186="","",I186*VLOOKUP(E186,Parametros!$B$18:$D$24,2,FALSE()))</f>
        <v/>
      </c>
      <c r="R186" s="42" t="str">
        <f aca="false">IF($B186="","",G186*VLOOKUP(E186,Parametros!$B$18:$D$24,3,FALSE()))</f>
        <v/>
      </c>
      <c r="S186" s="42" t="str">
        <f aca="false">IF($B186="","",Q186-R186)</f>
        <v/>
      </c>
      <c r="T186" s="43" t="str">
        <f aca="false">IF($B186="","",IF(S186&gt;0,"G","P"))</f>
        <v/>
      </c>
      <c r="U186" s="44" t="str">
        <f aca="false">IF($B186="","",S186/Parametros!$C$8)</f>
        <v/>
      </c>
      <c r="V186" s="42" t="str">
        <f aca="false">IF($B186="","",Parametros!$C$6+SUM($S$7:S186))</f>
        <v/>
      </c>
      <c r="W186" s="42" t="str">
        <f aca="false">IF($B186="","",MAX(V186,W185))</f>
        <v/>
      </c>
      <c r="X186" s="42" t="str">
        <f aca="false">IF($B186="","",V186-W186)</f>
        <v/>
      </c>
      <c r="Y186" s="45" t="str">
        <f aca="false">IF($B186="","",X186/W186)</f>
        <v/>
      </c>
      <c r="Z186" s="36" t="str">
        <f aca="false">IF($B186="","",IF(T186="G",IF(N(Z185)&gt;0,Z185+1,1),IF(N(Z185)&lt;0,Z185-1,-1)))</f>
        <v/>
      </c>
      <c r="AA186" s="46" t="str">
        <f aca="false">IF($B186="","",B186-WEEKDAY(B186,2)+1)</f>
        <v/>
      </c>
      <c r="AB186" s="47" t="str">
        <f aca="false">IF($B186="","",DATE(YEAR(B186),MONTH(B186),1))</f>
        <v/>
      </c>
      <c r="AC186" s="41" t="str">
        <f aca="false">IF($B186="","",CHOOSE(WEEKDAY(B186,2),"Lunes","Martes","Miércoles","Jueves","Viernes","Sábado","Domingo"))</f>
        <v/>
      </c>
      <c r="AD186" s="36" t="str">
        <f aca="false">IF($B186="","",HOUR(C186))</f>
        <v/>
      </c>
      <c r="AE186" s="42" t="str">
        <f aca="false">IF($B186="","",IF(O186&lt;&gt;O185,MAX(V186-S186,V186),MAX(V186,AE185)))</f>
        <v/>
      </c>
      <c r="AF186" s="42" t="str">
        <f aca="false">IF($B186="","",V186-AE186)</f>
        <v/>
      </c>
      <c r="AG186" s="36" t="str">
        <f aca="false">IF($B186="","",IF(O186&lt;&gt;O185,IF(T186="G",1,-1),IF(T186="G",IF(N(AG185)&gt;0,AG185+1,1),IF(N(AG185)&lt;0,AG185-1,-1))))</f>
        <v/>
      </c>
    </row>
    <row r="187" customFormat="false" ht="15" hidden="false" customHeight="false" outlineLevel="0" collapsed="false">
      <c r="A187" s="36" t="str">
        <f aca="false">IF(B187="","",ROW()-6)</f>
        <v/>
      </c>
      <c r="B187" s="37"/>
      <c r="C187" s="38"/>
      <c r="D187" s="38"/>
      <c r="E187" s="39"/>
      <c r="F187" s="39"/>
      <c r="G187" s="39"/>
      <c r="H187" s="40"/>
      <c r="I187" s="40"/>
      <c r="J187" s="40"/>
      <c r="K187" s="40"/>
      <c r="L187" s="39"/>
      <c r="M187" s="40"/>
      <c r="N187" s="40"/>
      <c r="O187" s="36" t="str">
        <f aca="false">IF($B187="","",INT((A187-1)/Parametros!$C$10)+1)</f>
        <v/>
      </c>
      <c r="P187" s="41" t="str">
        <f aca="false">IF($B187="","",IF(OR(C187="",D187=""),"",ROUND((D187-C187)*1440,0)))</f>
        <v/>
      </c>
      <c r="Q187" s="42" t="str">
        <f aca="false">IF($B187="","",I187*VLOOKUP(E187,Parametros!$B$18:$D$24,2,FALSE()))</f>
        <v/>
      </c>
      <c r="R187" s="42" t="str">
        <f aca="false">IF($B187="","",G187*VLOOKUP(E187,Parametros!$B$18:$D$24,3,FALSE()))</f>
        <v/>
      </c>
      <c r="S187" s="42" t="str">
        <f aca="false">IF($B187="","",Q187-R187)</f>
        <v/>
      </c>
      <c r="T187" s="43" t="str">
        <f aca="false">IF($B187="","",IF(S187&gt;0,"G","P"))</f>
        <v/>
      </c>
      <c r="U187" s="44" t="str">
        <f aca="false">IF($B187="","",S187/Parametros!$C$8)</f>
        <v/>
      </c>
      <c r="V187" s="42" t="str">
        <f aca="false">IF($B187="","",Parametros!$C$6+SUM($S$7:S187))</f>
        <v/>
      </c>
      <c r="W187" s="42" t="str">
        <f aca="false">IF($B187="","",MAX(V187,W186))</f>
        <v/>
      </c>
      <c r="X187" s="42" t="str">
        <f aca="false">IF($B187="","",V187-W187)</f>
        <v/>
      </c>
      <c r="Y187" s="45" t="str">
        <f aca="false">IF($B187="","",X187/W187)</f>
        <v/>
      </c>
      <c r="Z187" s="36" t="str">
        <f aca="false">IF($B187="","",IF(T187="G",IF(N(Z186)&gt;0,Z186+1,1),IF(N(Z186)&lt;0,Z186-1,-1)))</f>
        <v/>
      </c>
      <c r="AA187" s="46" t="str">
        <f aca="false">IF($B187="","",B187-WEEKDAY(B187,2)+1)</f>
        <v/>
      </c>
      <c r="AB187" s="47" t="str">
        <f aca="false">IF($B187="","",DATE(YEAR(B187),MONTH(B187),1))</f>
        <v/>
      </c>
      <c r="AC187" s="41" t="str">
        <f aca="false">IF($B187="","",CHOOSE(WEEKDAY(B187,2),"Lunes","Martes","Miércoles","Jueves","Viernes","Sábado","Domingo"))</f>
        <v/>
      </c>
      <c r="AD187" s="36" t="str">
        <f aca="false">IF($B187="","",HOUR(C187))</f>
        <v/>
      </c>
      <c r="AE187" s="42" t="str">
        <f aca="false">IF($B187="","",IF(O187&lt;&gt;O186,MAX(V187-S187,V187),MAX(V187,AE186)))</f>
        <v/>
      </c>
      <c r="AF187" s="42" t="str">
        <f aca="false">IF($B187="","",V187-AE187)</f>
        <v/>
      </c>
      <c r="AG187" s="36" t="str">
        <f aca="false">IF($B187="","",IF(O187&lt;&gt;O186,IF(T187="G",1,-1),IF(T187="G",IF(N(AG186)&gt;0,AG186+1,1),IF(N(AG186)&lt;0,AG186-1,-1))))</f>
        <v/>
      </c>
    </row>
    <row r="188" customFormat="false" ht="15" hidden="false" customHeight="false" outlineLevel="0" collapsed="false">
      <c r="A188" s="36" t="str">
        <f aca="false">IF(B188="","",ROW()-6)</f>
        <v/>
      </c>
      <c r="B188" s="37"/>
      <c r="C188" s="38"/>
      <c r="D188" s="38"/>
      <c r="E188" s="39"/>
      <c r="F188" s="39"/>
      <c r="G188" s="39"/>
      <c r="H188" s="40"/>
      <c r="I188" s="40"/>
      <c r="J188" s="40"/>
      <c r="K188" s="40"/>
      <c r="L188" s="39"/>
      <c r="M188" s="40"/>
      <c r="N188" s="40"/>
      <c r="O188" s="36" t="str">
        <f aca="false">IF($B188="","",INT((A188-1)/Parametros!$C$10)+1)</f>
        <v/>
      </c>
      <c r="P188" s="41" t="str">
        <f aca="false">IF($B188="","",IF(OR(C188="",D188=""),"",ROUND((D188-C188)*1440,0)))</f>
        <v/>
      </c>
      <c r="Q188" s="42" t="str">
        <f aca="false">IF($B188="","",I188*VLOOKUP(E188,Parametros!$B$18:$D$24,2,FALSE()))</f>
        <v/>
      </c>
      <c r="R188" s="42" t="str">
        <f aca="false">IF($B188="","",G188*VLOOKUP(E188,Parametros!$B$18:$D$24,3,FALSE()))</f>
        <v/>
      </c>
      <c r="S188" s="42" t="str">
        <f aca="false">IF($B188="","",Q188-R188)</f>
        <v/>
      </c>
      <c r="T188" s="43" t="str">
        <f aca="false">IF($B188="","",IF(S188&gt;0,"G","P"))</f>
        <v/>
      </c>
      <c r="U188" s="44" t="str">
        <f aca="false">IF($B188="","",S188/Parametros!$C$8)</f>
        <v/>
      </c>
      <c r="V188" s="42" t="str">
        <f aca="false">IF($B188="","",Parametros!$C$6+SUM($S$7:S188))</f>
        <v/>
      </c>
      <c r="W188" s="42" t="str">
        <f aca="false">IF($B188="","",MAX(V188,W187))</f>
        <v/>
      </c>
      <c r="X188" s="42" t="str">
        <f aca="false">IF($B188="","",V188-W188)</f>
        <v/>
      </c>
      <c r="Y188" s="45" t="str">
        <f aca="false">IF($B188="","",X188/W188)</f>
        <v/>
      </c>
      <c r="Z188" s="36" t="str">
        <f aca="false">IF($B188="","",IF(T188="G",IF(N(Z187)&gt;0,Z187+1,1),IF(N(Z187)&lt;0,Z187-1,-1)))</f>
        <v/>
      </c>
      <c r="AA188" s="46" t="str">
        <f aca="false">IF($B188="","",B188-WEEKDAY(B188,2)+1)</f>
        <v/>
      </c>
      <c r="AB188" s="47" t="str">
        <f aca="false">IF($B188="","",DATE(YEAR(B188),MONTH(B188),1))</f>
        <v/>
      </c>
      <c r="AC188" s="41" t="str">
        <f aca="false">IF($B188="","",CHOOSE(WEEKDAY(B188,2),"Lunes","Martes","Miércoles","Jueves","Viernes","Sábado","Domingo"))</f>
        <v/>
      </c>
      <c r="AD188" s="36" t="str">
        <f aca="false">IF($B188="","",HOUR(C188))</f>
        <v/>
      </c>
      <c r="AE188" s="42" t="str">
        <f aca="false">IF($B188="","",IF(O188&lt;&gt;O187,MAX(V188-S188,V188),MAX(V188,AE187)))</f>
        <v/>
      </c>
      <c r="AF188" s="42" t="str">
        <f aca="false">IF($B188="","",V188-AE188)</f>
        <v/>
      </c>
      <c r="AG188" s="36" t="str">
        <f aca="false">IF($B188="","",IF(O188&lt;&gt;O187,IF(T188="G",1,-1),IF(T188="G",IF(N(AG187)&gt;0,AG187+1,1),IF(N(AG187)&lt;0,AG187-1,-1))))</f>
        <v/>
      </c>
    </row>
    <row r="189" customFormat="false" ht="15" hidden="false" customHeight="false" outlineLevel="0" collapsed="false">
      <c r="A189" s="36" t="str">
        <f aca="false">IF(B189="","",ROW()-6)</f>
        <v/>
      </c>
      <c r="B189" s="37"/>
      <c r="C189" s="38"/>
      <c r="D189" s="38"/>
      <c r="E189" s="39"/>
      <c r="F189" s="39"/>
      <c r="G189" s="39"/>
      <c r="H189" s="40"/>
      <c r="I189" s="40"/>
      <c r="J189" s="40"/>
      <c r="K189" s="40"/>
      <c r="L189" s="39"/>
      <c r="M189" s="40"/>
      <c r="N189" s="40"/>
      <c r="O189" s="36" t="str">
        <f aca="false">IF($B189="","",INT((A189-1)/Parametros!$C$10)+1)</f>
        <v/>
      </c>
      <c r="P189" s="41" t="str">
        <f aca="false">IF($B189="","",IF(OR(C189="",D189=""),"",ROUND((D189-C189)*1440,0)))</f>
        <v/>
      </c>
      <c r="Q189" s="42" t="str">
        <f aca="false">IF($B189="","",I189*VLOOKUP(E189,Parametros!$B$18:$D$24,2,FALSE()))</f>
        <v/>
      </c>
      <c r="R189" s="42" t="str">
        <f aca="false">IF($B189="","",G189*VLOOKUP(E189,Parametros!$B$18:$D$24,3,FALSE()))</f>
        <v/>
      </c>
      <c r="S189" s="42" t="str">
        <f aca="false">IF($B189="","",Q189-R189)</f>
        <v/>
      </c>
      <c r="T189" s="43" t="str">
        <f aca="false">IF($B189="","",IF(S189&gt;0,"G","P"))</f>
        <v/>
      </c>
      <c r="U189" s="44" t="str">
        <f aca="false">IF($B189="","",S189/Parametros!$C$8)</f>
        <v/>
      </c>
      <c r="V189" s="42" t="str">
        <f aca="false">IF($B189="","",Parametros!$C$6+SUM($S$7:S189))</f>
        <v/>
      </c>
      <c r="W189" s="42" t="str">
        <f aca="false">IF($B189="","",MAX(V189,W188))</f>
        <v/>
      </c>
      <c r="X189" s="42" t="str">
        <f aca="false">IF($B189="","",V189-W189)</f>
        <v/>
      </c>
      <c r="Y189" s="45" t="str">
        <f aca="false">IF($B189="","",X189/W189)</f>
        <v/>
      </c>
      <c r="Z189" s="36" t="str">
        <f aca="false">IF($B189="","",IF(T189="G",IF(N(Z188)&gt;0,Z188+1,1),IF(N(Z188)&lt;0,Z188-1,-1)))</f>
        <v/>
      </c>
      <c r="AA189" s="46" t="str">
        <f aca="false">IF($B189="","",B189-WEEKDAY(B189,2)+1)</f>
        <v/>
      </c>
      <c r="AB189" s="47" t="str">
        <f aca="false">IF($B189="","",DATE(YEAR(B189),MONTH(B189),1))</f>
        <v/>
      </c>
      <c r="AC189" s="41" t="str">
        <f aca="false">IF($B189="","",CHOOSE(WEEKDAY(B189,2),"Lunes","Martes","Miércoles","Jueves","Viernes","Sábado","Domingo"))</f>
        <v/>
      </c>
      <c r="AD189" s="36" t="str">
        <f aca="false">IF($B189="","",HOUR(C189))</f>
        <v/>
      </c>
      <c r="AE189" s="42" t="str">
        <f aca="false">IF($B189="","",IF(O189&lt;&gt;O188,MAX(V189-S189,V189),MAX(V189,AE188)))</f>
        <v/>
      </c>
      <c r="AF189" s="42" t="str">
        <f aca="false">IF($B189="","",V189-AE189)</f>
        <v/>
      </c>
      <c r="AG189" s="36" t="str">
        <f aca="false">IF($B189="","",IF(O189&lt;&gt;O188,IF(T189="G",1,-1),IF(T189="G",IF(N(AG188)&gt;0,AG188+1,1),IF(N(AG188)&lt;0,AG188-1,-1))))</f>
        <v/>
      </c>
    </row>
    <row r="190" customFormat="false" ht="15" hidden="false" customHeight="false" outlineLevel="0" collapsed="false">
      <c r="A190" s="36" t="str">
        <f aca="false">IF(B190="","",ROW()-6)</f>
        <v/>
      </c>
      <c r="B190" s="37"/>
      <c r="C190" s="38"/>
      <c r="D190" s="38"/>
      <c r="E190" s="39"/>
      <c r="F190" s="39"/>
      <c r="G190" s="39"/>
      <c r="H190" s="40"/>
      <c r="I190" s="40"/>
      <c r="J190" s="40"/>
      <c r="K190" s="40"/>
      <c r="L190" s="39"/>
      <c r="M190" s="40"/>
      <c r="N190" s="40"/>
      <c r="O190" s="36" t="str">
        <f aca="false">IF($B190="","",INT((A190-1)/Parametros!$C$10)+1)</f>
        <v/>
      </c>
      <c r="P190" s="41" t="str">
        <f aca="false">IF($B190="","",IF(OR(C190="",D190=""),"",ROUND((D190-C190)*1440,0)))</f>
        <v/>
      </c>
      <c r="Q190" s="42" t="str">
        <f aca="false">IF($B190="","",I190*VLOOKUP(E190,Parametros!$B$18:$D$24,2,FALSE()))</f>
        <v/>
      </c>
      <c r="R190" s="42" t="str">
        <f aca="false">IF($B190="","",G190*VLOOKUP(E190,Parametros!$B$18:$D$24,3,FALSE()))</f>
        <v/>
      </c>
      <c r="S190" s="42" t="str">
        <f aca="false">IF($B190="","",Q190-R190)</f>
        <v/>
      </c>
      <c r="T190" s="43" t="str">
        <f aca="false">IF($B190="","",IF(S190&gt;0,"G","P"))</f>
        <v/>
      </c>
      <c r="U190" s="44" t="str">
        <f aca="false">IF($B190="","",S190/Parametros!$C$8)</f>
        <v/>
      </c>
      <c r="V190" s="42" t="str">
        <f aca="false">IF($B190="","",Parametros!$C$6+SUM($S$7:S190))</f>
        <v/>
      </c>
      <c r="W190" s="42" t="str">
        <f aca="false">IF($B190="","",MAX(V190,W189))</f>
        <v/>
      </c>
      <c r="X190" s="42" t="str">
        <f aca="false">IF($B190="","",V190-W190)</f>
        <v/>
      </c>
      <c r="Y190" s="45" t="str">
        <f aca="false">IF($B190="","",X190/W190)</f>
        <v/>
      </c>
      <c r="Z190" s="36" t="str">
        <f aca="false">IF($B190="","",IF(T190="G",IF(N(Z189)&gt;0,Z189+1,1),IF(N(Z189)&lt;0,Z189-1,-1)))</f>
        <v/>
      </c>
      <c r="AA190" s="46" t="str">
        <f aca="false">IF($B190="","",B190-WEEKDAY(B190,2)+1)</f>
        <v/>
      </c>
      <c r="AB190" s="47" t="str">
        <f aca="false">IF($B190="","",DATE(YEAR(B190),MONTH(B190),1))</f>
        <v/>
      </c>
      <c r="AC190" s="41" t="str">
        <f aca="false">IF($B190="","",CHOOSE(WEEKDAY(B190,2),"Lunes","Martes","Miércoles","Jueves","Viernes","Sábado","Domingo"))</f>
        <v/>
      </c>
      <c r="AD190" s="36" t="str">
        <f aca="false">IF($B190="","",HOUR(C190))</f>
        <v/>
      </c>
      <c r="AE190" s="42" t="str">
        <f aca="false">IF($B190="","",IF(O190&lt;&gt;O189,MAX(V190-S190,V190),MAX(V190,AE189)))</f>
        <v/>
      </c>
      <c r="AF190" s="42" t="str">
        <f aca="false">IF($B190="","",V190-AE190)</f>
        <v/>
      </c>
      <c r="AG190" s="36" t="str">
        <f aca="false">IF($B190="","",IF(O190&lt;&gt;O189,IF(T190="G",1,-1),IF(T190="G",IF(N(AG189)&gt;0,AG189+1,1),IF(N(AG189)&lt;0,AG189-1,-1))))</f>
        <v/>
      </c>
    </row>
    <row r="191" customFormat="false" ht="15" hidden="false" customHeight="false" outlineLevel="0" collapsed="false">
      <c r="A191" s="36" t="str">
        <f aca="false">IF(B191="","",ROW()-6)</f>
        <v/>
      </c>
      <c r="B191" s="37"/>
      <c r="C191" s="38"/>
      <c r="D191" s="38"/>
      <c r="E191" s="39"/>
      <c r="F191" s="39"/>
      <c r="G191" s="39"/>
      <c r="H191" s="40"/>
      <c r="I191" s="40"/>
      <c r="J191" s="40"/>
      <c r="K191" s="40"/>
      <c r="L191" s="39"/>
      <c r="M191" s="40"/>
      <c r="N191" s="40"/>
      <c r="O191" s="36" t="str">
        <f aca="false">IF($B191="","",INT((A191-1)/Parametros!$C$10)+1)</f>
        <v/>
      </c>
      <c r="P191" s="41" t="str">
        <f aca="false">IF($B191="","",IF(OR(C191="",D191=""),"",ROUND((D191-C191)*1440,0)))</f>
        <v/>
      </c>
      <c r="Q191" s="42" t="str">
        <f aca="false">IF($B191="","",I191*VLOOKUP(E191,Parametros!$B$18:$D$24,2,FALSE()))</f>
        <v/>
      </c>
      <c r="R191" s="42" t="str">
        <f aca="false">IF($B191="","",G191*VLOOKUP(E191,Parametros!$B$18:$D$24,3,FALSE()))</f>
        <v/>
      </c>
      <c r="S191" s="42" t="str">
        <f aca="false">IF($B191="","",Q191-R191)</f>
        <v/>
      </c>
      <c r="T191" s="43" t="str">
        <f aca="false">IF($B191="","",IF(S191&gt;0,"G","P"))</f>
        <v/>
      </c>
      <c r="U191" s="44" t="str">
        <f aca="false">IF($B191="","",S191/Parametros!$C$8)</f>
        <v/>
      </c>
      <c r="V191" s="42" t="str">
        <f aca="false">IF($B191="","",Parametros!$C$6+SUM($S$7:S191))</f>
        <v/>
      </c>
      <c r="W191" s="42" t="str">
        <f aca="false">IF($B191="","",MAX(V191,W190))</f>
        <v/>
      </c>
      <c r="X191" s="42" t="str">
        <f aca="false">IF($B191="","",V191-W191)</f>
        <v/>
      </c>
      <c r="Y191" s="45" t="str">
        <f aca="false">IF($B191="","",X191/W191)</f>
        <v/>
      </c>
      <c r="Z191" s="36" t="str">
        <f aca="false">IF($B191="","",IF(T191="G",IF(N(Z190)&gt;0,Z190+1,1),IF(N(Z190)&lt;0,Z190-1,-1)))</f>
        <v/>
      </c>
      <c r="AA191" s="46" t="str">
        <f aca="false">IF($B191="","",B191-WEEKDAY(B191,2)+1)</f>
        <v/>
      </c>
      <c r="AB191" s="47" t="str">
        <f aca="false">IF($B191="","",DATE(YEAR(B191),MONTH(B191),1))</f>
        <v/>
      </c>
      <c r="AC191" s="41" t="str">
        <f aca="false">IF($B191="","",CHOOSE(WEEKDAY(B191,2),"Lunes","Martes","Miércoles","Jueves","Viernes","Sábado","Domingo"))</f>
        <v/>
      </c>
      <c r="AD191" s="36" t="str">
        <f aca="false">IF($B191="","",HOUR(C191))</f>
        <v/>
      </c>
      <c r="AE191" s="42" t="str">
        <f aca="false">IF($B191="","",IF(O191&lt;&gt;O190,MAX(V191-S191,V191),MAX(V191,AE190)))</f>
        <v/>
      </c>
      <c r="AF191" s="42" t="str">
        <f aca="false">IF($B191="","",V191-AE191)</f>
        <v/>
      </c>
      <c r="AG191" s="36" t="str">
        <f aca="false">IF($B191="","",IF(O191&lt;&gt;O190,IF(T191="G",1,-1),IF(T191="G",IF(N(AG190)&gt;0,AG190+1,1),IF(N(AG190)&lt;0,AG190-1,-1))))</f>
        <v/>
      </c>
    </row>
    <row r="192" customFormat="false" ht="15" hidden="false" customHeight="false" outlineLevel="0" collapsed="false">
      <c r="A192" s="36" t="str">
        <f aca="false">IF(B192="","",ROW()-6)</f>
        <v/>
      </c>
      <c r="B192" s="37"/>
      <c r="C192" s="38"/>
      <c r="D192" s="38"/>
      <c r="E192" s="39"/>
      <c r="F192" s="39"/>
      <c r="G192" s="39"/>
      <c r="H192" s="40"/>
      <c r="I192" s="40"/>
      <c r="J192" s="40"/>
      <c r="K192" s="40"/>
      <c r="L192" s="39"/>
      <c r="M192" s="40"/>
      <c r="N192" s="40"/>
      <c r="O192" s="36" t="str">
        <f aca="false">IF($B192="","",INT((A192-1)/Parametros!$C$10)+1)</f>
        <v/>
      </c>
      <c r="P192" s="41" t="str">
        <f aca="false">IF($B192="","",IF(OR(C192="",D192=""),"",ROUND((D192-C192)*1440,0)))</f>
        <v/>
      </c>
      <c r="Q192" s="42" t="str">
        <f aca="false">IF($B192="","",I192*VLOOKUP(E192,Parametros!$B$18:$D$24,2,FALSE()))</f>
        <v/>
      </c>
      <c r="R192" s="42" t="str">
        <f aca="false">IF($B192="","",G192*VLOOKUP(E192,Parametros!$B$18:$D$24,3,FALSE()))</f>
        <v/>
      </c>
      <c r="S192" s="42" t="str">
        <f aca="false">IF($B192="","",Q192-R192)</f>
        <v/>
      </c>
      <c r="T192" s="43" t="str">
        <f aca="false">IF($B192="","",IF(S192&gt;0,"G","P"))</f>
        <v/>
      </c>
      <c r="U192" s="44" t="str">
        <f aca="false">IF($B192="","",S192/Parametros!$C$8)</f>
        <v/>
      </c>
      <c r="V192" s="42" t="str">
        <f aca="false">IF($B192="","",Parametros!$C$6+SUM($S$7:S192))</f>
        <v/>
      </c>
      <c r="W192" s="42" t="str">
        <f aca="false">IF($B192="","",MAX(V192,W191))</f>
        <v/>
      </c>
      <c r="X192" s="42" t="str">
        <f aca="false">IF($B192="","",V192-W192)</f>
        <v/>
      </c>
      <c r="Y192" s="45" t="str">
        <f aca="false">IF($B192="","",X192/W192)</f>
        <v/>
      </c>
      <c r="Z192" s="36" t="str">
        <f aca="false">IF($B192="","",IF(T192="G",IF(N(Z191)&gt;0,Z191+1,1),IF(N(Z191)&lt;0,Z191-1,-1)))</f>
        <v/>
      </c>
      <c r="AA192" s="46" t="str">
        <f aca="false">IF($B192="","",B192-WEEKDAY(B192,2)+1)</f>
        <v/>
      </c>
      <c r="AB192" s="47" t="str">
        <f aca="false">IF($B192="","",DATE(YEAR(B192),MONTH(B192),1))</f>
        <v/>
      </c>
      <c r="AC192" s="41" t="str">
        <f aca="false">IF($B192="","",CHOOSE(WEEKDAY(B192,2),"Lunes","Martes","Miércoles","Jueves","Viernes","Sábado","Domingo"))</f>
        <v/>
      </c>
      <c r="AD192" s="36" t="str">
        <f aca="false">IF($B192="","",HOUR(C192))</f>
        <v/>
      </c>
      <c r="AE192" s="42" t="str">
        <f aca="false">IF($B192="","",IF(O192&lt;&gt;O191,MAX(V192-S192,V192),MAX(V192,AE191)))</f>
        <v/>
      </c>
      <c r="AF192" s="42" t="str">
        <f aca="false">IF($B192="","",V192-AE192)</f>
        <v/>
      </c>
      <c r="AG192" s="36" t="str">
        <f aca="false">IF($B192="","",IF(O192&lt;&gt;O191,IF(T192="G",1,-1),IF(T192="G",IF(N(AG191)&gt;0,AG191+1,1),IF(N(AG191)&lt;0,AG191-1,-1))))</f>
        <v/>
      </c>
    </row>
    <row r="193" customFormat="false" ht="15" hidden="false" customHeight="false" outlineLevel="0" collapsed="false">
      <c r="A193" s="36" t="str">
        <f aca="false">IF(B193="","",ROW()-6)</f>
        <v/>
      </c>
      <c r="B193" s="37"/>
      <c r="C193" s="38"/>
      <c r="D193" s="38"/>
      <c r="E193" s="39"/>
      <c r="F193" s="39"/>
      <c r="G193" s="39"/>
      <c r="H193" s="40"/>
      <c r="I193" s="40"/>
      <c r="J193" s="40"/>
      <c r="K193" s="40"/>
      <c r="L193" s="39"/>
      <c r="M193" s="40"/>
      <c r="N193" s="40"/>
      <c r="O193" s="36" t="str">
        <f aca="false">IF($B193="","",INT((A193-1)/Parametros!$C$10)+1)</f>
        <v/>
      </c>
      <c r="P193" s="41" t="str">
        <f aca="false">IF($B193="","",IF(OR(C193="",D193=""),"",ROUND((D193-C193)*1440,0)))</f>
        <v/>
      </c>
      <c r="Q193" s="42" t="str">
        <f aca="false">IF($B193="","",I193*VLOOKUP(E193,Parametros!$B$18:$D$24,2,FALSE()))</f>
        <v/>
      </c>
      <c r="R193" s="42" t="str">
        <f aca="false">IF($B193="","",G193*VLOOKUP(E193,Parametros!$B$18:$D$24,3,FALSE()))</f>
        <v/>
      </c>
      <c r="S193" s="42" t="str">
        <f aca="false">IF($B193="","",Q193-R193)</f>
        <v/>
      </c>
      <c r="T193" s="43" t="str">
        <f aca="false">IF($B193="","",IF(S193&gt;0,"G","P"))</f>
        <v/>
      </c>
      <c r="U193" s="44" t="str">
        <f aca="false">IF($B193="","",S193/Parametros!$C$8)</f>
        <v/>
      </c>
      <c r="V193" s="42" t="str">
        <f aca="false">IF($B193="","",Parametros!$C$6+SUM($S$7:S193))</f>
        <v/>
      </c>
      <c r="W193" s="42" t="str">
        <f aca="false">IF($B193="","",MAX(V193,W192))</f>
        <v/>
      </c>
      <c r="X193" s="42" t="str">
        <f aca="false">IF($B193="","",V193-W193)</f>
        <v/>
      </c>
      <c r="Y193" s="45" t="str">
        <f aca="false">IF($B193="","",X193/W193)</f>
        <v/>
      </c>
      <c r="Z193" s="36" t="str">
        <f aca="false">IF($B193="","",IF(T193="G",IF(N(Z192)&gt;0,Z192+1,1),IF(N(Z192)&lt;0,Z192-1,-1)))</f>
        <v/>
      </c>
      <c r="AA193" s="46" t="str">
        <f aca="false">IF($B193="","",B193-WEEKDAY(B193,2)+1)</f>
        <v/>
      </c>
      <c r="AB193" s="47" t="str">
        <f aca="false">IF($B193="","",DATE(YEAR(B193),MONTH(B193),1))</f>
        <v/>
      </c>
      <c r="AC193" s="41" t="str">
        <f aca="false">IF($B193="","",CHOOSE(WEEKDAY(B193,2),"Lunes","Martes","Miércoles","Jueves","Viernes","Sábado","Domingo"))</f>
        <v/>
      </c>
      <c r="AD193" s="36" t="str">
        <f aca="false">IF($B193="","",HOUR(C193))</f>
        <v/>
      </c>
      <c r="AE193" s="42" t="str">
        <f aca="false">IF($B193="","",IF(O193&lt;&gt;O192,MAX(V193-S193,V193),MAX(V193,AE192)))</f>
        <v/>
      </c>
      <c r="AF193" s="42" t="str">
        <f aca="false">IF($B193="","",V193-AE193)</f>
        <v/>
      </c>
      <c r="AG193" s="36" t="str">
        <f aca="false">IF($B193="","",IF(O193&lt;&gt;O192,IF(T193="G",1,-1),IF(T193="G",IF(N(AG192)&gt;0,AG192+1,1),IF(N(AG192)&lt;0,AG192-1,-1))))</f>
        <v/>
      </c>
    </row>
    <row r="194" customFormat="false" ht="15" hidden="false" customHeight="false" outlineLevel="0" collapsed="false">
      <c r="A194" s="36" t="str">
        <f aca="false">IF(B194="","",ROW()-6)</f>
        <v/>
      </c>
      <c r="B194" s="37"/>
      <c r="C194" s="38"/>
      <c r="D194" s="38"/>
      <c r="E194" s="39"/>
      <c r="F194" s="39"/>
      <c r="G194" s="39"/>
      <c r="H194" s="40"/>
      <c r="I194" s="40"/>
      <c r="J194" s="40"/>
      <c r="K194" s="40"/>
      <c r="L194" s="39"/>
      <c r="M194" s="40"/>
      <c r="N194" s="40"/>
      <c r="O194" s="36" t="str">
        <f aca="false">IF($B194="","",INT((A194-1)/Parametros!$C$10)+1)</f>
        <v/>
      </c>
      <c r="P194" s="41" t="str">
        <f aca="false">IF($B194="","",IF(OR(C194="",D194=""),"",ROUND((D194-C194)*1440,0)))</f>
        <v/>
      </c>
      <c r="Q194" s="42" t="str">
        <f aca="false">IF($B194="","",I194*VLOOKUP(E194,Parametros!$B$18:$D$24,2,FALSE()))</f>
        <v/>
      </c>
      <c r="R194" s="42" t="str">
        <f aca="false">IF($B194="","",G194*VLOOKUP(E194,Parametros!$B$18:$D$24,3,FALSE()))</f>
        <v/>
      </c>
      <c r="S194" s="42" t="str">
        <f aca="false">IF($B194="","",Q194-R194)</f>
        <v/>
      </c>
      <c r="T194" s="43" t="str">
        <f aca="false">IF($B194="","",IF(S194&gt;0,"G","P"))</f>
        <v/>
      </c>
      <c r="U194" s="44" t="str">
        <f aca="false">IF($B194="","",S194/Parametros!$C$8)</f>
        <v/>
      </c>
      <c r="V194" s="42" t="str">
        <f aca="false">IF($B194="","",Parametros!$C$6+SUM($S$7:S194))</f>
        <v/>
      </c>
      <c r="W194" s="42" t="str">
        <f aca="false">IF($B194="","",MAX(V194,W193))</f>
        <v/>
      </c>
      <c r="X194" s="42" t="str">
        <f aca="false">IF($B194="","",V194-W194)</f>
        <v/>
      </c>
      <c r="Y194" s="45" t="str">
        <f aca="false">IF($B194="","",X194/W194)</f>
        <v/>
      </c>
      <c r="Z194" s="36" t="str">
        <f aca="false">IF($B194="","",IF(T194="G",IF(N(Z193)&gt;0,Z193+1,1),IF(N(Z193)&lt;0,Z193-1,-1)))</f>
        <v/>
      </c>
      <c r="AA194" s="46" t="str">
        <f aca="false">IF($B194="","",B194-WEEKDAY(B194,2)+1)</f>
        <v/>
      </c>
      <c r="AB194" s="47" t="str">
        <f aca="false">IF($B194="","",DATE(YEAR(B194),MONTH(B194),1))</f>
        <v/>
      </c>
      <c r="AC194" s="41" t="str">
        <f aca="false">IF($B194="","",CHOOSE(WEEKDAY(B194,2),"Lunes","Martes","Miércoles","Jueves","Viernes","Sábado","Domingo"))</f>
        <v/>
      </c>
      <c r="AD194" s="36" t="str">
        <f aca="false">IF($B194="","",HOUR(C194))</f>
        <v/>
      </c>
      <c r="AE194" s="42" t="str">
        <f aca="false">IF($B194="","",IF(O194&lt;&gt;O193,MAX(V194-S194,V194),MAX(V194,AE193)))</f>
        <v/>
      </c>
      <c r="AF194" s="42" t="str">
        <f aca="false">IF($B194="","",V194-AE194)</f>
        <v/>
      </c>
      <c r="AG194" s="36" t="str">
        <f aca="false">IF($B194="","",IF(O194&lt;&gt;O193,IF(T194="G",1,-1),IF(T194="G",IF(N(AG193)&gt;0,AG193+1,1),IF(N(AG193)&lt;0,AG193-1,-1))))</f>
        <v/>
      </c>
    </row>
    <row r="195" customFormat="false" ht="15" hidden="false" customHeight="false" outlineLevel="0" collapsed="false">
      <c r="A195" s="36" t="str">
        <f aca="false">IF(B195="","",ROW()-6)</f>
        <v/>
      </c>
      <c r="B195" s="37"/>
      <c r="C195" s="38"/>
      <c r="D195" s="38"/>
      <c r="E195" s="39"/>
      <c r="F195" s="39"/>
      <c r="G195" s="39"/>
      <c r="H195" s="40"/>
      <c r="I195" s="40"/>
      <c r="J195" s="40"/>
      <c r="K195" s="40"/>
      <c r="L195" s="39"/>
      <c r="M195" s="40"/>
      <c r="N195" s="40"/>
      <c r="O195" s="36" t="str">
        <f aca="false">IF($B195="","",INT((A195-1)/Parametros!$C$10)+1)</f>
        <v/>
      </c>
      <c r="P195" s="41" t="str">
        <f aca="false">IF($B195="","",IF(OR(C195="",D195=""),"",ROUND((D195-C195)*1440,0)))</f>
        <v/>
      </c>
      <c r="Q195" s="42" t="str">
        <f aca="false">IF($B195="","",I195*VLOOKUP(E195,Parametros!$B$18:$D$24,2,FALSE()))</f>
        <v/>
      </c>
      <c r="R195" s="42" t="str">
        <f aca="false">IF($B195="","",G195*VLOOKUP(E195,Parametros!$B$18:$D$24,3,FALSE()))</f>
        <v/>
      </c>
      <c r="S195" s="42" t="str">
        <f aca="false">IF($B195="","",Q195-R195)</f>
        <v/>
      </c>
      <c r="T195" s="43" t="str">
        <f aca="false">IF($B195="","",IF(S195&gt;0,"G","P"))</f>
        <v/>
      </c>
      <c r="U195" s="44" t="str">
        <f aca="false">IF($B195="","",S195/Parametros!$C$8)</f>
        <v/>
      </c>
      <c r="V195" s="42" t="str">
        <f aca="false">IF($B195="","",Parametros!$C$6+SUM($S$7:S195))</f>
        <v/>
      </c>
      <c r="W195" s="42" t="str">
        <f aca="false">IF($B195="","",MAX(V195,W194))</f>
        <v/>
      </c>
      <c r="X195" s="42" t="str">
        <f aca="false">IF($B195="","",V195-W195)</f>
        <v/>
      </c>
      <c r="Y195" s="45" t="str">
        <f aca="false">IF($B195="","",X195/W195)</f>
        <v/>
      </c>
      <c r="Z195" s="36" t="str">
        <f aca="false">IF($B195="","",IF(T195="G",IF(N(Z194)&gt;0,Z194+1,1),IF(N(Z194)&lt;0,Z194-1,-1)))</f>
        <v/>
      </c>
      <c r="AA195" s="46" t="str">
        <f aca="false">IF($B195="","",B195-WEEKDAY(B195,2)+1)</f>
        <v/>
      </c>
      <c r="AB195" s="47" t="str">
        <f aca="false">IF($B195="","",DATE(YEAR(B195),MONTH(B195),1))</f>
        <v/>
      </c>
      <c r="AC195" s="41" t="str">
        <f aca="false">IF($B195="","",CHOOSE(WEEKDAY(B195,2),"Lunes","Martes","Miércoles","Jueves","Viernes","Sábado","Domingo"))</f>
        <v/>
      </c>
      <c r="AD195" s="36" t="str">
        <f aca="false">IF($B195="","",HOUR(C195))</f>
        <v/>
      </c>
      <c r="AE195" s="42" t="str">
        <f aca="false">IF($B195="","",IF(O195&lt;&gt;O194,MAX(V195-S195,V195),MAX(V195,AE194)))</f>
        <v/>
      </c>
      <c r="AF195" s="42" t="str">
        <f aca="false">IF($B195="","",V195-AE195)</f>
        <v/>
      </c>
      <c r="AG195" s="36" t="str">
        <f aca="false">IF($B195="","",IF(O195&lt;&gt;O194,IF(T195="G",1,-1),IF(T195="G",IF(N(AG194)&gt;0,AG194+1,1),IF(N(AG194)&lt;0,AG194-1,-1))))</f>
        <v/>
      </c>
    </row>
    <row r="196" customFormat="false" ht="15" hidden="false" customHeight="false" outlineLevel="0" collapsed="false">
      <c r="A196" s="36" t="str">
        <f aca="false">IF(B196="","",ROW()-6)</f>
        <v/>
      </c>
      <c r="B196" s="37"/>
      <c r="C196" s="38"/>
      <c r="D196" s="38"/>
      <c r="E196" s="39"/>
      <c r="F196" s="39"/>
      <c r="G196" s="39"/>
      <c r="H196" s="40"/>
      <c r="I196" s="40"/>
      <c r="J196" s="40"/>
      <c r="K196" s="40"/>
      <c r="L196" s="39"/>
      <c r="M196" s="40"/>
      <c r="N196" s="40"/>
      <c r="O196" s="36" t="str">
        <f aca="false">IF($B196="","",INT((A196-1)/Parametros!$C$10)+1)</f>
        <v/>
      </c>
      <c r="P196" s="41" t="str">
        <f aca="false">IF($B196="","",IF(OR(C196="",D196=""),"",ROUND((D196-C196)*1440,0)))</f>
        <v/>
      </c>
      <c r="Q196" s="42" t="str">
        <f aca="false">IF($B196="","",I196*VLOOKUP(E196,Parametros!$B$18:$D$24,2,FALSE()))</f>
        <v/>
      </c>
      <c r="R196" s="42" t="str">
        <f aca="false">IF($B196="","",G196*VLOOKUP(E196,Parametros!$B$18:$D$24,3,FALSE()))</f>
        <v/>
      </c>
      <c r="S196" s="42" t="str">
        <f aca="false">IF($B196="","",Q196-R196)</f>
        <v/>
      </c>
      <c r="T196" s="43" t="str">
        <f aca="false">IF($B196="","",IF(S196&gt;0,"G","P"))</f>
        <v/>
      </c>
      <c r="U196" s="44" t="str">
        <f aca="false">IF($B196="","",S196/Parametros!$C$8)</f>
        <v/>
      </c>
      <c r="V196" s="42" t="str">
        <f aca="false">IF($B196="","",Parametros!$C$6+SUM($S$7:S196))</f>
        <v/>
      </c>
      <c r="W196" s="42" t="str">
        <f aca="false">IF($B196="","",MAX(V196,W195))</f>
        <v/>
      </c>
      <c r="X196" s="42" t="str">
        <f aca="false">IF($B196="","",V196-W196)</f>
        <v/>
      </c>
      <c r="Y196" s="45" t="str">
        <f aca="false">IF($B196="","",X196/W196)</f>
        <v/>
      </c>
      <c r="Z196" s="36" t="str">
        <f aca="false">IF($B196="","",IF(T196="G",IF(N(Z195)&gt;0,Z195+1,1),IF(N(Z195)&lt;0,Z195-1,-1)))</f>
        <v/>
      </c>
      <c r="AA196" s="46" t="str">
        <f aca="false">IF($B196="","",B196-WEEKDAY(B196,2)+1)</f>
        <v/>
      </c>
      <c r="AB196" s="47" t="str">
        <f aca="false">IF($B196="","",DATE(YEAR(B196),MONTH(B196),1))</f>
        <v/>
      </c>
      <c r="AC196" s="41" t="str">
        <f aca="false">IF($B196="","",CHOOSE(WEEKDAY(B196,2),"Lunes","Martes","Miércoles","Jueves","Viernes","Sábado","Domingo"))</f>
        <v/>
      </c>
      <c r="AD196" s="36" t="str">
        <f aca="false">IF($B196="","",HOUR(C196))</f>
        <v/>
      </c>
      <c r="AE196" s="42" t="str">
        <f aca="false">IF($B196="","",IF(O196&lt;&gt;O195,MAX(V196-S196,V196),MAX(V196,AE195)))</f>
        <v/>
      </c>
      <c r="AF196" s="42" t="str">
        <f aca="false">IF($B196="","",V196-AE196)</f>
        <v/>
      </c>
      <c r="AG196" s="36" t="str">
        <f aca="false">IF($B196="","",IF(O196&lt;&gt;O195,IF(T196="G",1,-1),IF(T196="G",IF(N(AG195)&gt;0,AG195+1,1),IF(N(AG195)&lt;0,AG195-1,-1))))</f>
        <v/>
      </c>
    </row>
    <row r="197" customFormat="false" ht="15" hidden="false" customHeight="false" outlineLevel="0" collapsed="false">
      <c r="A197" s="36" t="str">
        <f aca="false">IF(B197="","",ROW()-6)</f>
        <v/>
      </c>
      <c r="B197" s="37"/>
      <c r="C197" s="38"/>
      <c r="D197" s="38"/>
      <c r="E197" s="39"/>
      <c r="F197" s="39"/>
      <c r="G197" s="39"/>
      <c r="H197" s="40"/>
      <c r="I197" s="40"/>
      <c r="J197" s="40"/>
      <c r="K197" s="40"/>
      <c r="L197" s="39"/>
      <c r="M197" s="40"/>
      <c r="N197" s="40"/>
      <c r="O197" s="36" t="str">
        <f aca="false">IF($B197="","",INT((A197-1)/Parametros!$C$10)+1)</f>
        <v/>
      </c>
      <c r="P197" s="41" t="str">
        <f aca="false">IF($B197="","",IF(OR(C197="",D197=""),"",ROUND((D197-C197)*1440,0)))</f>
        <v/>
      </c>
      <c r="Q197" s="42" t="str">
        <f aca="false">IF($B197="","",I197*VLOOKUP(E197,Parametros!$B$18:$D$24,2,FALSE()))</f>
        <v/>
      </c>
      <c r="R197" s="42" t="str">
        <f aca="false">IF($B197="","",G197*VLOOKUP(E197,Parametros!$B$18:$D$24,3,FALSE()))</f>
        <v/>
      </c>
      <c r="S197" s="42" t="str">
        <f aca="false">IF($B197="","",Q197-R197)</f>
        <v/>
      </c>
      <c r="T197" s="43" t="str">
        <f aca="false">IF($B197="","",IF(S197&gt;0,"G","P"))</f>
        <v/>
      </c>
      <c r="U197" s="44" t="str">
        <f aca="false">IF($B197="","",S197/Parametros!$C$8)</f>
        <v/>
      </c>
      <c r="V197" s="42" t="str">
        <f aca="false">IF($B197="","",Parametros!$C$6+SUM($S$7:S197))</f>
        <v/>
      </c>
      <c r="W197" s="42" t="str">
        <f aca="false">IF($B197="","",MAX(V197,W196))</f>
        <v/>
      </c>
      <c r="X197" s="42" t="str">
        <f aca="false">IF($B197="","",V197-W197)</f>
        <v/>
      </c>
      <c r="Y197" s="45" t="str">
        <f aca="false">IF($B197="","",X197/W197)</f>
        <v/>
      </c>
      <c r="Z197" s="36" t="str">
        <f aca="false">IF($B197="","",IF(T197="G",IF(N(Z196)&gt;0,Z196+1,1),IF(N(Z196)&lt;0,Z196-1,-1)))</f>
        <v/>
      </c>
      <c r="AA197" s="46" t="str">
        <f aca="false">IF($B197="","",B197-WEEKDAY(B197,2)+1)</f>
        <v/>
      </c>
      <c r="AB197" s="47" t="str">
        <f aca="false">IF($B197="","",DATE(YEAR(B197),MONTH(B197),1))</f>
        <v/>
      </c>
      <c r="AC197" s="41" t="str">
        <f aca="false">IF($B197="","",CHOOSE(WEEKDAY(B197,2),"Lunes","Martes","Miércoles","Jueves","Viernes","Sábado","Domingo"))</f>
        <v/>
      </c>
      <c r="AD197" s="36" t="str">
        <f aca="false">IF($B197="","",HOUR(C197))</f>
        <v/>
      </c>
      <c r="AE197" s="42" t="str">
        <f aca="false">IF($B197="","",IF(O197&lt;&gt;O196,MAX(V197-S197,V197),MAX(V197,AE196)))</f>
        <v/>
      </c>
      <c r="AF197" s="42" t="str">
        <f aca="false">IF($B197="","",V197-AE197)</f>
        <v/>
      </c>
      <c r="AG197" s="36" t="str">
        <f aca="false">IF($B197="","",IF(O197&lt;&gt;O196,IF(T197="G",1,-1),IF(T197="G",IF(N(AG196)&gt;0,AG196+1,1),IF(N(AG196)&lt;0,AG196-1,-1))))</f>
        <v/>
      </c>
    </row>
    <row r="198" customFormat="false" ht="15" hidden="false" customHeight="false" outlineLevel="0" collapsed="false">
      <c r="A198" s="36" t="str">
        <f aca="false">IF(B198="","",ROW()-6)</f>
        <v/>
      </c>
      <c r="B198" s="37"/>
      <c r="C198" s="38"/>
      <c r="D198" s="38"/>
      <c r="E198" s="39"/>
      <c r="F198" s="39"/>
      <c r="G198" s="39"/>
      <c r="H198" s="40"/>
      <c r="I198" s="40"/>
      <c r="J198" s="40"/>
      <c r="K198" s="40"/>
      <c r="L198" s="39"/>
      <c r="M198" s="40"/>
      <c r="N198" s="40"/>
      <c r="O198" s="36" t="str">
        <f aca="false">IF($B198="","",INT((A198-1)/Parametros!$C$10)+1)</f>
        <v/>
      </c>
      <c r="P198" s="41" t="str">
        <f aca="false">IF($B198="","",IF(OR(C198="",D198=""),"",ROUND((D198-C198)*1440,0)))</f>
        <v/>
      </c>
      <c r="Q198" s="42" t="str">
        <f aca="false">IF($B198="","",I198*VLOOKUP(E198,Parametros!$B$18:$D$24,2,FALSE()))</f>
        <v/>
      </c>
      <c r="R198" s="42" t="str">
        <f aca="false">IF($B198="","",G198*VLOOKUP(E198,Parametros!$B$18:$D$24,3,FALSE()))</f>
        <v/>
      </c>
      <c r="S198" s="42" t="str">
        <f aca="false">IF($B198="","",Q198-R198)</f>
        <v/>
      </c>
      <c r="T198" s="43" t="str">
        <f aca="false">IF($B198="","",IF(S198&gt;0,"G","P"))</f>
        <v/>
      </c>
      <c r="U198" s="44" t="str">
        <f aca="false">IF($B198="","",S198/Parametros!$C$8)</f>
        <v/>
      </c>
      <c r="V198" s="42" t="str">
        <f aca="false">IF($B198="","",Parametros!$C$6+SUM($S$7:S198))</f>
        <v/>
      </c>
      <c r="W198" s="42" t="str">
        <f aca="false">IF($B198="","",MAX(V198,W197))</f>
        <v/>
      </c>
      <c r="X198" s="42" t="str">
        <f aca="false">IF($B198="","",V198-W198)</f>
        <v/>
      </c>
      <c r="Y198" s="45" t="str">
        <f aca="false">IF($B198="","",X198/W198)</f>
        <v/>
      </c>
      <c r="Z198" s="36" t="str">
        <f aca="false">IF($B198="","",IF(T198="G",IF(N(Z197)&gt;0,Z197+1,1),IF(N(Z197)&lt;0,Z197-1,-1)))</f>
        <v/>
      </c>
      <c r="AA198" s="46" t="str">
        <f aca="false">IF($B198="","",B198-WEEKDAY(B198,2)+1)</f>
        <v/>
      </c>
      <c r="AB198" s="47" t="str">
        <f aca="false">IF($B198="","",DATE(YEAR(B198),MONTH(B198),1))</f>
        <v/>
      </c>
      <c r="AC198" s="41" t="str">
        <f aca="false">IF($B198="","",CHOOSE(WEEKDAY(B198,2),"Lunes","Martes","Miércoles","Jueves","Viernes","Sábado","Domingo"))</f>
        <v/>
      </c>
      <c r="AD198" s="36" t="str">
        <f aca="false">IF($B198="","",HOUR(C198))</f>
        <v/>
      </c>
      <c r="AE198" s="42" t="str">
        <f aca="false">IF($B198="","",IF(O198&lt;&gt;O197,MAX(V198-S198,V198),MAX(V198,AE197)))</f>
        <v/>
      </c>
      <c r="AF198" s="42" t="str">
        <f aca="false">IF($B198="","",V198-AE198)</f>
        <v/>
      </c>
      <c r="AG198" s="36" t="str">
        <f aca="false">IF($B198="","",IF(O198&lt;&gt;O197,IF(T198="G",1,-1),IF(T198="G",IF(N(AG197)&gt;0,AG197+1,1),IF(N(AG197)&lt;0,AG197-1,-1))))</f>
        <v/>
      </c>
    </row>
    <row r="199" customFormat="false" ht="15" hidden="false" customHeight="false" outlineLevel="0" collapsed="false">
      <c r="A199" s="36" t="str">
        <f aca="false">IF(B199="","",ROW()-6)</f>
        <v/>
      </c>
      <c r="B199" s="37"/>
      <c r="C199" s="38"/>
      <c r="D199" s="38"/>
      <c r="E199" s="39"/>
      <c r="F199" s="39"/>
      <c r="G199" s="39"/>
      <c r="H199" s="40"/>
      <c r="I199" s="40"/>
      <c r="J199" s="40"/>
      <c r="K199" s="40"/>
      <c r="L199" s="39"/>
      <c r="M199" s="40"/>
      <c r="N199" s="40"/>
      <c r="O199" s="36" t="str">
        <f aca="false">IF($B199="","",INT((A199-1)/Parametros!$C$10)+1)</f>
        <v/>
      </c>
      <c r="P199" s="41" t="str">
        <f aca="false">IF($B199="","",IF(OR(C199="",D199=""),"",ROUND((D199-C199)*1440,0)))</f>
        <v/>
      </c>
      <c r="Q199" s="42" t="str">
        <f aca="false">IF($B199="","",I199*VLOOKUP(E199,Parametros!$B$18:$D$24,2,FALSE()))</f>
        <v/>
      </c>
      <c r="R199" s="42" t="str">
        <f aca="false">IF($B199="","",G199*VLOOKUP(E199,Parametros!$B$18:$D$24,3,FALSE()))</f>
        <v/>
      </c>
      <c r="S199" s="42" t="str">
        <f aca="false">IF($B199="","",Q199-R199)</f>
        <v/>
      </c>
      <c r="T199" s="43" t="str">
        <f aca="false">IF($B199="","",IF(S199&gt;0,"G","P"))</f>
        <v/>
      </c>
      <c r="U199" s="44" t="str">
        <f aca="false">IF($B199="","",S199/Parametros!$C$8)</f>
        <v/>
      </c>
      <c r="V199" s="42" t="str">
        <f aca="false">IF($B199="","",Parametros!$C$6+SUM($S$7:S199))</f>
        <v/>
      </c>
      <c r="W199" s="42" t="str">
        <f aca="false">IF($B199="","",MAX(V199,W198))</f>
        <v/>
      </c>
      <c r="X199" s="42" t="str">
        <f aca="false">IF($B199="","",V199-W199)</f>
        <v/>
      </c>
      <c r="Y199" s="45" t="str">
        <f aca="false">IF($B199="","",X199/W199)</f>
        <v/>
      </c>
      <c r="Z199" s="36" t="str">
        <f aca="false">IF($B199="","",IF(T199="G",IF(N(Z198)&gt;0,Z198+1,1),IF(N(Z198)&lt;0,Z198-1,-1)))</f>
        <v/>
      </c>
      <c r="AA199" s="46" t="str">
        <f aca="false">IF($B199="","",B199-WEEKDAY(B199,2)+1)</f>
        <v/>
      </c>
      <c r="AB199" s="47" t="str">
        <f aca="false">IF($B199="","",DATE(YEAR(B199),MONTH(B199),1))</f>
        <v/>
      </c>
      <c r="AC199" s="41" t="str">
        <f aca="false">IF($B199="","",CHOOSE(WEEKDAY(B199,2),"Lunes","Martes","Miércoles","Jueves","Viernes","Sábado","Domingo"))</f>
        <v/>
      </c>
      <c r="AD199" s="36" t="str">
        <f aca="false">IF($B199="","",HOUR(C199))</f>
        <v/>
      </c>
      <c r="AE199" s="42" t="str">
        <f aca="false">IF($B199="","",IF(O199&lt;&gt;O198,MAX(V199-S199,V199),MAX(V199,AE198)))</f>
        <v/>
      </c>
      <c r="AF199" s="42" t="str">
        <f aca="false">IF($B199="","",V199-AE199)</f>
        <v/>
      </c>
      <c r="AG199" s="36" t="str">
        <f aca="false">IF($B199="","",IF(O199&lt;&gt;O198,IF(T199="G",1,-1),IF(T199="G",IF(N(AG198)&gt;0,AG198+1,1),IF(N(AG198)&lt;0,AG198-1,-1))))</f>
        <v/>
      </c>
    </row>
    <row r="200" customFormat="false" ht="15" hidden="false" customHeight="false" outlineLevel="0" collapsed="false">
      <c r="A200" s="36" t="str">
        <f aca="false">IF(B200="","",ROW()-6)</f>
        <v/>
      </c>
      <c r="B200" s="37"/>
      <c r="C200" s="38"/>
      <c r="D200" s="38"/>
      <c r="E200" s="39"/>
      <c r="F200" s="39"/>
      <c r="G200" s="39"/>
      <c r="H200" s="40"/>
      <c r="I200" s="40"/>
      <c r="J200" s="40"/>
      <c r="K200" s="40"/>
      <c r="L200" s="39"/>
      <c r="M200" s="40"/>
      <c r="N200" s="40"/>
      <c r="O200" s="36" t="str">
        <f aca="false">IF($B200="","",INT((A200-1)/Parametros!$C$10)+1)</f>
        <v/>
      </c>
      <c r="P200" s="41" t="str">
        <f aca="false">IF($B200="","",IF(OR(C200="",D200=""),"",ROUND((D200-C200)*1440,0)))</f>
        <v/>
      </c>
      <c r="Q200" s="42" t="str">
        <f aca="false">IF($B200="","",I200*VLOOKUP(E200,Parametros!$B$18:$D$24,2,FALSE()))</f>
        <v/>
      </c>
      <c r="R200" s="42" t="str">
        <f aca="false">IF($B200="","",G200*VLOOKUP(E200,Parametros!$B$18:$D$24,3,FALSE()))</f>
        <v/>
      </c>
      <c r="S200" s="42" t="str">
        <f aca="false">IF($B200="","",Q200-R200)</f>
        <v/>
      </c>
      <c r="T200" s="43" t="str">
        <f aca="false">IF($B200="","",IF(S200&gt;0,"G","P"))</f>
        <v/>
      </c>
      <c r="U200" s="44" t="str">
        <f aca="false">IF($B200="","",S200/Parametros!$C$8)</f>
        <v/>
      </c>
      <c r="V200" s="42" t="str">
        <f aca="false">IF($B200="","",Parametros!$C$6+SUM($S$7:S200))</f>
        <v/>
      </c>
      <c r="W200" s="42" t="str">
        <f aca="false">IF($B200="","",MAX(V200,W199))</f>
        <v/>
      </c>
      <c r="X200" s="42" t="str">
        <f aca="false">IF($B200="","",V200-W200)</f>
        <v/>
      </c>
      <c r="Y200" s="45" t="str">
        <f aca="false">IF($B200="","",X200/W200)</f>
        <v/>
      </c>
      <c r="Z200" s="36" t="str">
        <f aca="false">IF($B200="","",IF(T200="G",IF(N(Z199)&gt;0,Z199+1,1),IF(N(Z199)&lt;0,Z199-1,-1)))</f>
        <v/>
      </c>
      <c r="AA200" s="46" t="str">
        <f aca="false">IF($B200="","",B200-WEEKDAY(B200,2)+1)</f>
        <v/>
      </c>
      <c r="AB200" s="47" t="str">
        <f aca="false">IF($B200="","",DATE(YEAR(B200),MONTH(B200),1))</f>
        <v/>
      </c>
      <c r="AC200" s="41" t="str">
        <f aca="false">IF($B200="","",CHOOSE(WEEKDAY(B200,2),"Lunes","Martes","Miércoles","Jueves","Viernes","Sábado","Domingo"))</f>
        <v/>
      </c>
      <c r="AD200" s="36" t="str">
        <f aca="false">IF($B200="","",HOUR(C200))</f>
        <v/>
      </c>
      <c r="AE200" s="42" t="str">
        <f aca="false">IF($B200="","",IF(O200&lt;&gt;O199,MAX(V200-S200,V200),MAX(V200,AE199)))</f>
        <v/>
      </c>
      <c r="AF200" s="42" t="str">
        <f aca="false">IF($B200="","",V200-AE200)</f>
        <v/>
      </c>
      <c r="AG200" s="36" t="str">
        <f aca="false">IF($B200="","",IF(O200&lt;&gt;O199,IF(T200="G",1,-1),IF(T200="G",IF(N(AG199)&gt;0,AG199+1,1),IF(N(AG199)&lt;0,AG199-1,-1))))</f>
        <v/>
      </c>
    </row>
    <row r="201" customFormat="false" ht="15" hidden="false" customHeight="false" outlineLevel="0" collapsed="false">
      <c r="A201" s="36" t="str">
        <f aca="false">IF(B201="","",ROW()-6)</f>
        <v/>
      </c>
      <c r="B201" s="37"/>
      <c r="C201" s="38"/>
      <c r="D201" s="38"/>
      <c r="E201" s="39"/>
      <c r="F201" s="39"/>
      <c r="G201" s="39"/>
      <c r="H201" s="40"/>
      <c r="I201" s="40"/>
      <c r="J201" s="40"/>
      <c r="K201" s="40"/>
      <c r="L201" s="39"/>
      <c r="M201" s="40"/>
      <c r="N201" s="40"/>
      <c r="O201" s="36" t="str">
        <f aca="false">IF($B201="","",INT((A201-1)/Parametros!$C$10)+1)</f>
        <v/>
      </c>
      <c r="P201" s="41" t="str">
        <f aca="false">IF($B201="","",IF(OR(C201="",D201=""),"",ROUND((D201-C201)*1440,0)))</f>
        <v/>
      </c>
      <c r="Q201" s="42" t="str">
        <f aca="false">IF($B201="","",I201*VLOOKUP(E201,Parametros!$B$18:$D$24,2,FALSE()))</f>
        <v/>
      </c>
      <c r="R201" s="42" t="str">
        <f aca="false">IF($B201="","",G201*VLOOKUP(E201,Parametros!$B$18:$D$24,3,FALSE()))</f>
        <v/>
      </c>
      <c r="S201" s="42" t="str">
        <f aca="false">IF($B201="","",Q201-R201)</f>
        <v/>
      </c>
      <c r="T201" s="43" t="str">
        <f aca="false">IF($B201="","",IF(S201&gt;0,"G","P"))</f>
        <v/>
      </c>
      <c r="U201" s="44" t="str">
        <f aca="false">IF($B201="","",S201/Parametros!$C$8)</f>
        <v/>
      </c>
      <c r="V201" s="42" t="str">
        <f aca="false">IF($B201="","",Parametros!$C$6+SUM($S$7:S201))</f>
        <v/>
      </c>
      <c r="W201" s="42" t="str">
        <f aca="false">IF($B201="","",MAX(V201,W200))</f>
        <v/>
      </c>
      <c r="X201" s="42" t="str">
        <f aca="false">IF($B201="","",V201-W201)</f>
        <v/>
      </c>
      <c r="Y201" s="45" t="str">
        <f aca="false">IF($B201="","",X201/W201)</f>
        <v/>
      </c>
      <c r="Z201" s="36" t="str">
        <f aca="false">IF($B201="","",IF(T201="G",IF(N(Z200)&gt;0,Z200+1,1),IF(N(Z200)&lt;0,Z200-1,-1)))</f>
        <v/>
      </c>
      <c r="AA201" s="46" t="str">
        <f aca="false">IF($B201="","",B201-WEEKDAY(B201,2)+1)</f>
        <v/>
      </c>
      <c r="AB201" s="47" t="str">
        <f aca="false">IF($B201="","",DATE(YEAR(B201),MONTH(B201),1))</f>
        <v/>
      </c>
      <c r="AC201" s="41" t="str">
        <f aca="false">IF($B201="","",CHOOSE(WEEKDAY(B201,2),"Lunes","Martes","Miércoles","Jueves","Viernes","Sábado","Domingo"))</f>
        <v/>
      </c>
      <c r="AD201" s="36" t="str">
        <f aca="false">IF($B201="","",HOUR(C201))</f>
        <v/>
      </c>
      <c r="AE201" s="42" t="str">
        <f aca="false">IF($B201="","",IF(O201&lt;&gt;O200,MAX(V201-S201,V201),MAX(V201,AE200)))</f>
        <v/>
      </c>
      <c r="AF201" s="42" t="str">
        <f aca="false">IF($B201="","",V201-AE201)</f>
        <v/>
      </c>
      <c r="AG201" s="36" t="str">
        <f aca="false">IF($B201="","",IF(O201&lt;&gt;O200,IF(T201="G",1,-1),IF(T201="G",IF(N(AG200)&gt;0,AG200+1,1),IF(N(AG200)&lt;0,AG200-1,-1))))</f>
        <v/>
      </c>
    </row>
    <row r="202" customFormat="false" ht="15" hidden="false" customHeight="false" outlineLevel="0" collapsed="false">
      <c r="A202" s="36" t="str">
        <f aca="false">IF(B202="","",ROW()-6)</f>
        <v/>
      </c>
      <c r="B202" s="37"/>
      <c r="C202" s="38"/>
      <c r="D202" s="38"/>
      <c r="E202" s="39"/>
      <c r="F202" s="39"/>
      <c r="G202" s="39"/>
      <c r="H202" s="40"/>
      <c r="I202" s="40"/>
      <c r="J202" s="40"/>
      <c r="K202" s="40"/>
      <c r="L202" s="39"/>
      <c r="M202" s="40"/>
      <c r="N202" s="40"/>
      <c r="O202" s="36" t="str">
        <f aca="false">IF($B202="","",INT((A202-1)/Parametros!$C$10)+1)</f>
        <v/>
      </c>
      <c r="P202" s="41" t="str">
        <f aca="false">IF($B202="","",IF(OR(C202="",D202=""),"",ROUND((D202-C202)*1440,0)))</f>
        <v/>
      </c>
      <c r="Q202" s="42" t="str">
        <f aca="false">IF($B202="","",I202*VLOOKUP(E202,Parametros!$B$18:$D$24,2,FALSE()))</f>
        <v/>
      </c>
      <c r="R202" s="42" t="str">
        <f aca="false">IF($B202="","",G202*VLOOKUP(E202,Parametros!$B$18:$D$24,3,FALSE()))</f>
        <v/>
      </c>
      <c r="S202" s="42" t="str">
        <f aca="false">IF($B202="","",Q202-R202)</f>
        <v/>
      </c>
      <c r="T202" s="43" t="str">
        <f aca="false">IF($B202="","",IF(S202&gt;0,"G","P"))</f>
        <v/>
      </c>
      <c r="U202" s="44" t="str">
        <f aca="false">IF($B202="","",S202/Parametros!$C$8)</f>
        <v/>
      </c>
      <c r="V202" s="42" t="str">
        <f aca="false">IF($B202="","",Parametros!$C$6+SUM($S$7:S202))</f>
        <v/>
      </c>
      <c r="W202" s="42" t="str">
        <f aca="false">IF($B202="","",MAX(V202,W201))</f>
        <v/>
      </c>
      <c r="X202" s="42" t="str">
        <f aca="false">IF($B202="","",V202-W202)</f>
        <v/>
      </c>
      <c r="Y202" s="45" t="str">
        <f aca="false">IF($B202="","",X202/W202)</f>
        <v/>
      </c>
      <c r="Z202" s="36" t="str">
        <f aca="false">IF($B202="","",IF(T202="G",IF(N(Z201)&gt;0,Z201+1,1),IF(N(Z201)&lt;0,Z201-1,-1)))</f>
        <v/>
      </c>
      <c r="AA202" s="46" t="str">
        <f aca="false">IF($B202="","",B202-WEEKDAY(B202,2)+1)</f>
        <v/>
      </c>
      <c r="AB202" s="47" t="str">
        <f aca="false">IF($B202="","",DATE(YEAR(B202),MONTH(B202),1))</f>
        <v/>
      </c>
      <c r="AC202" s="41" t="str">
        <f aca="false">IF($B202="","",CHOOSE(WEEKDAY(B202,2),"Lunes","Martes","Miércoles","Jueves","Viernes","Sábado","Domingo"))</f>
        <v/>
      </c>
      <c r="AD202" s="36" t="str">
        <f aca="false">IF($B202="","",HOUR(C202))</f>
        <v/>
      </c>
      <c r="AE202" s="42" t="str">
        <f aca="false">IF($B202="","",IF(O202&lt;&gt;O201,MAX(V202-S202,V202),MAX(V202,AE201)))</f>
        <v/>
      </c>
      <c r="AF202" s="42" t="str">
        <f aca="false">IF($B202="","",V202-AE202)</f>
        <v/>
      </c>
      <c r="AG202" s="36" t="str">
        <f aca="false">IF($B202="","",IF(O202&lt;&gt;O201,IF(T202="G",1,-1),IF(T202="G",IF(N(AG201)&gt;0,AG201+1,1),IF(N(AG201)&lt;0,AG201-1,-1))))</f>
        <v/>
      </c>
    </row>
    <row r="203" customFormat="false" ht="15" hidden="false" customHeight="false" outlineLevel="0" collapsed="false">
      <c r="A203" s="36" t="str">
        <f aca="false">IF(B203="","",ROW()-6)</f>
        <v/>
      </c>
      <c r="B203" s="37"/>
      <c r="C203" s="38"/>
      <c r="D203" s="38"/>
      <c r="E203" s="39"/>
      <c r="F203" s="39"/>
      <c r="G203" s="39"/>
      <c r="H203" s="40"/>
      <c r="I203" s="40"/>
      <c r="J203" s="40"/>
      <c r="K203" s="40"/>
      <c r="L203" s="39"/>
      <c r="M203" s="40"/>
      <c r="N203" s="40"/>
      <c r="O203" s="36" t="str">
        <f aca="false">IF($B203="","",INT((A203-1)/Parametros!$C$10)+1)</f>
        <v/>
      </c>
      <c r="P203" s="41" t="str">
        <f aca="false">IF($B203="","",IF(OR(C203="",D203=""),"",ROUND((D203-C203)*1440,0)))</f>
        <v/>
      </c>
      <c r="Q203" s="42" t="str">
        <f aca="false">IF($B203="","",I203*VLOOKUP(E203,Parametros!$B$18:$D$24,2,FALSE()))</f>
        <v/>
      </c>
      <c r="R203" s="42" t="str">
        <f aca="false">IF($B203="","",G203*VLOOKUP(E203,Parametros!$B$18:$D$24,3,FALSE()))</f>
        <v/>
      </c>
      <c r="S203" s="42" t="str">
        <f aca="false">IF($B203="","",Q203-R203)</f>
        <v/>
      </c>
      <c r="T203" s="43" t="str">
        <f aca="false">IF($B203="","",IF(S203&gt;0,"G","P"))</f>
        <v/>
      </c>
      <c r="U203" s="44" t="str">
        <f aca="false">IF($B203="","",S203/Parametros!$C$8)</f>
        <v/>
      </c>
      <c r="V203" s="42" t="str">
        <f aca="false">IF($B203="","",Parametros!$C$6+SUM($S$7:S203))</f>
        <v/>
      </c>
      <c r="W203" s="42" t="str">
        <f aca="false">IF($B203="","",MAX(V203,W202))</f>
        <v/>
      </c>
      <c r="X203" s="42" t="str">
        <f aca="false">IF($B203="","",V203-W203)</f>
        <v/>
      </c>
      <c r="Y203" s="45" t="str">
        <f aca="false">IF($B203="","",X203/W203)</f>
        <v/>
      </c>
      <c r="Z203" s="36" t="str">
        <f aca="false">IF($B203="","",IF(T203="G",IF(N(Z202)&gt;0,Z202+1,1),IF(N(Z202)&lt;0,Z202-1,-1)))</f>
        <v/>
      </c>
      <c r="AA203" s="46" t="str">
        <f aca="false">IF($B203="","",B203-WEEKDAY(B203,2)+1)</f>
        <v/>
      </c>
      <c r="AB203" s="47" t="str">
        <f aca="false">IF($B203="","",DATE(YEAR(B203),MONTH(B203),1))</f>
        <v/>
      </c>
      <c r="AC203" s="41" t="str">
        <f aca="false">IF($B203="","",CHOOSE(WEEKDAY(B203,2),"Lunes","Martes","Miércoles","Jueves","Viernes","Sábado","Domingo"))</f>
        <v/>
      </c>
      <c r="AD203" s="36" t="str">
        <f aca="false">IF($B203="","",HOUR(C203))</f>
        <v/>
      </c>
      <c r="AE203" s="42" t="str">
        <f aca="false">IF($B203="","",IF(O203&lt;&gt;O202,MAX(V203-S203,V203),MAX(V203,AE202)))</f>
        <v/>
      </c>
      <c r="AF203" s="42" t="str">
        <f aca="false">IF($B203="","",V203-AE203)</f>
        <v/>
      </c>
      <c r="AG203" s="36" t="str">
        <f aca="false">IF($B203="","",IF(O203&lt;&gt;O202,IF(T203="G",1,-1),IF(T203="G",IF(N(AG202)&gt;0,AG202+1,1),IF(N(AG202)&lt;0,AG202-1,-1))))</f>
        <v/>
      </c>
    </row>
    <row r="204" customFormat="false" ht="15" hidden="false" customHeight="false" outlineLevel="0" collapsed="false">
      <c r="A204" s="36" t="str">
        <f aca="false">IF(B204="","",ROW()-6)</f>
        <v/>
      </c>
      <c r="B204" s="37"/>
      <c r="C204" s="38"/>
      <c r="D204" s="38"/>
      <c r="E204" s="39"/>
      <c r="F204" s="39"/>
      <c r="G204" s="39"/>
      <c r="H204" s="40"/>
      <c r="I204" s="40"/>
      <c r="J204" s="40"/>
      <c r="K204" s="40"/>
      <c r="L204" s="39"/>
      <c r="M204" s="40"/>
      <c r="N204" s="40"/>
      <c r="O204" s="36" t="str">
        <f aca="false">IF($B204="","",INT((A204-1)/Parametros!$C$10)+1)</f>
        <v/>
      </c>
      <c r="P204" s="41" t="str">
        <f aca="false">IF($B204="","",IF(OR(C204="",D204=""),"",ROUND((D204-C204)*1440,0)))</f>
        <v/>
      </c>
      <c r="Q204" s="42" t="str">
        <f aca="false">IF($B204="","",I204*VLOOKUP(E204,Parametros!$B$18:$D$24,2,FALSE()))</f>
        <v/>
      </c>
      <c r="R204" s="42" t="str">
        <f aca="false">IF($B204="","",G204*VLOOKUP(E204,Parametros!$B$18:$D$24,3,FALSE()))</f>
        <v/>
      </c>
      <c r="S204" s="42" t="str">
        <f aca="false">IF($B204="","",Q204-R204)</f>
        <v/>
      </c>
      <c r="T204" s="43" t="str">
        <f aca="false">IF($B204="","",IF(S204&gt;0,"G","P"))</f>
        <v/>
      </c>
      <c r="U204" s="44" t="str">
        <f aca="false">IF($B204="","",S204/Parametros!$C$8)</f>
        <v/>
      </c>
      <c r="V204" s="42" t="str">
        <f aca="false">IF($B204="","",Parametros!$C$6+SUM($S$7:S204))</f>
        <v/>
      </c>
      <c r="W204" s="42" t="str">
        <f aca="false">IF($B204="","",MAX(V204,W203))</f>
        <v/>
      </c>
      <c r="X204" s="42" t="str">
        <f aca="false">IF($B204="","",V204-W204)</f>
        <v/>
      </c>
      <c r="Y204" s="45" t="str">
        <f aca="false">IF($B204="","",X204/W204)</f>
        <v/>
      </c>
      <c r="Z204" s="36" t="str">
        <f aca="false">IF($B204="","",IF(T204="G",IF(N(Z203)&gt;0,Z203+1,1),IF(N(Z203)&lt;0,Z203-1,-1)))</f>
        <v/>
      </c>
      <c r="AA204" s="46" t="str">
        <f aca="false">IF($B204="","",B204-WEEKDAY(B204,2)+1)</f>
        <v/>
      </c>
      <c r="AB204" s="47" t="str">
        <f aca="false">IF($B204="","",DATE(YEAR(B204),MONTH(B204),1))</f>
        <v/>
      </c>
      <c r="AC204" s="41" t="str">
        <f aca="false">IF($B204="","",CHOOSE(WEEKDAY(B204,2),"Lunes","Martes","Miércoles","Jueves","Viernes","Sábado","Domingo"))</f>
        <v/>
      </c>
      <c r="AD204" s="36" t="str">
        <f aca="false">IF($B204="","",HOUR(C204))</f>
        <v/>
      </c>
      <c r="AE204" s="42" t="str">
        <f aca="false">IF($B204="","",IF(O204&lt;&gt;O203,MAX(V204-S204,V204),MAX(V204,AE203)))</f>
        <v/>
      </c>
      <c r="AF204" s="42" t="str">
        <f aca="false">IF($B204="","",V204-AE204)</f>
        <v/>
      </c>
      <c r="AG204" s="36" t="str">
        <f aca="false">IF($B204="","",IF(O204&lt;&gt;O203,IF(T204="G",1,-1),IF(T204="G",IF(N(AG203)&gt;0,AG203+1,1),IF(N(AG203)&lt;0,AG203-1,-1))))</f>
        <v/>
      </c>
    </row>
    <row r="205" customFormat="false" ht="15" hidden="false" customHeight="false" outlineLevel="0" collapsed="false">
      <c r="A205" s="36" t="str">
        <f aca="false">IF(B205="","",ROW()-6)</f>
        <v/>
      </c>
      <c r="B205" s="37"/>
      <c r="C205" s="38"/>
      <c r="D205" s="38"/>
      <c r="E205" s="39"/>
      <c r="F205" s="39"/>
      <c r="G205" s="39"/>
      <c r="H205" s="40"/>
      <c r="I205" s="40"/>
      <c r="J205" s="40"/>
      <c r="K205" s="40"/>
      <c r="L205" s="39"/>
      <c r="M205" s="40"/>
      <c r="N205" s="40"/>
      <c r="O205" s="36" t="str">
        <f aca="false">IF($B205="","",INT((A205-1)/Parametros!$C$10)+1)</f>
        <v/>
      </c>
      <c r="P205" s="41" t="str">
        <f aca="false">IF($B205="","",IF(OR(C205="",D205=""),"",ROUND((D205-C205)*1440,0)))</f>
        <v/>
      </c>
      <c r="Q205" s="42" t="str">
        <f aca="false">IF($B205="","",I205*VLOOKUP(E205,Parametros!$B$18:$D$24,2,FALSE()))</f>
        <v/>
      </c>
      <c r="R205" s="42" t="str">
        <f aca="false">IF($B205="","",G205*VLOOKUP(E205,Parametros!$B$18:$D$24,3,FALSE()))</f>
        <v/>
      </c>
      <c r="S205" s="42" t="str">
        <f aca="false">IF($B205="","",Q205-R205)</f>
        <v/>
      </c>
      <c r="T205" s="43" t="str">
        <f aca="false">IF($B205="","",IF(S205&gt;0,"G","P"))</f>
        <v/>
      </c>
      <c r="U205" s="44" t="str">
        <f aca="false">IF($B205="","",S205/Parametros!$C$8)</f>
        <v/>
      </c>
      <c r="V205" s="42" t="str">
        <f aca="false">IF($B205="","",Parametros!$C$6+SUM($S$7:S205))</f>
        <v/>
      </c>
      <c r="W205" s="42" t="str">
        <f aca="false">IF($B205="","",MAX(V205,W204))</f>
        <v/>
      </c>
      <c r="X205" s="42" t="str">
        <f aca="false">IF($B205="","",V205-W205)</f>
        <v/>
      </c>
      <c r="Y205" s="45" t="str">
        <f aca="false">IF($B205="","",X205/W205)</f>
        <v/>
      </c>
      <c r="Z205" s="36" t="str">
        <f aca="false">IF($B205="","",IF(T205="G",IF(N(Z204)&gt;0,Z204+1,1),IF(N(Z204)&lt;0,Z204-1,-1)))</f>
        <v/>
      </c>
      <c r="AA205" s="46" t="str">
        <f aca="false">IF($B205="","",B205-WEEKDAY(B205,2)+1)</f>
        <v/>
      </c>
      <c r="AB205" s="47" t="str">
        <f aca="false">IF($B205="","",DATE(YEAR(B205),MONTH(B205),1))</f>
        <v/>
      </c>
      <c r="AC205" s="41" t="str">
        <f aca="false">IF($B205="","",CHOOSE(WEEKDAY(B205,2),"Lunes","Martes","Miércoles","Jueves","Viernes","Sábado","Domingo"))</f>
        <v/>
      </c>
      <c r="AD205" s="36" t="str">
        <f aca="false">IF($B205="","",HOUR(C205))</f>
        <v/>
      </c>
      <c r="AE205" s="42" t="str">
        <f aca="false">IF($B205="","",IF(O205&lt;&gt;O204,MAX(V205-S205,V205),MAX(V205,AE204)))</f>
        <v/>
      </c>
      <c r="AF205" s="42" t="str">
        <f aca="false">IF($B205="","",V205-AE205)</f>
        <v/>
      </c>
      <c r="AG205" s="36" t="str">
        <f aca="false">IF($B205="","",IF(O205&lt;&gt;O204,IF(T205="G",1,-1),IF(T205="G",IF(N(AG204)&gt;0,AG204+1,1),IF(N(AG204)&lt;0,AG204-1,-1))))</f>
        <v/>
      </c>
    </row>
    <row r="206" customFormat="false" ht="15" hidden="false" customHeight="false" outlineLevel="0" collapsed="false">
      <c r="A206" s="36" t="str">
        <f aca="false">IF(B206="","",ROW()-6)</f>
        <v/>
      </c>
      <c r="B206" s="37"/>
      <c r="C206" s="38"/>
      <c r="D206" s="38"/>
      <c r="E206" s="39"/>
      <c r="F206" s="39"/>
      <c r="G206" s="39"/>
      <c r="H206" s="40"/>
      <c r="I206" s="40"/>
      <c r="J206" s="40"/>
      <c r="K206" s="40"/>
      <c r="L206" s="39"/>
      <c r="M206" s="40"/>
      <c r="N206" s="40"/>
      <c r="O206" s="36" t="str">
        <f aca="false">IF($B206="","",INT((A206-1)/Parametros!$C$10)+1)</f>
        <v/>
      </c>
      <c r="P206" s="41" t="str">
        <f aca="false">IF($B206="","",IF(OR(C206="",D206=""),"",ROUND((D206-C206)*1440,0)))</f>
        <v/>
      </c>
      <c r="Q206" s="42" t="str">
        <f aca="false">IF($B206="","",I206*VLOOKUP(E206,Parametros!$B$18:$D$24,2,FALSE()))</f>
        <v/>
      </c>
      <c r="R206" s="42" t="str">
        <f aca="false">IF($B206="","",G206*VLOOKUP(E206,Parametros!$B$18:$D$24,3,FALSE()))</f>
        <v/>
      </c>
      <c r="S206" s="42" t="str">
        <f aca="false">IF($B206="","",Q206-R206)</f>
        <v/>
      </c>
      <c r="T206" s="43" t="str">
        <f aca="false">IF($B206="","",IF(S206&gt;0,"G","P"))</f>
        <v/>
      </c>
      <c r="U206" s="44" t="str">
        <f aca="false">IF($B206="","",S206/Parametros!$C$8)</f>
        <v/>
      </c>
      <c r="V206" s="42" t="str">
        <f aca="false">IF($B206="","",Parametros!$C$6+SUM($S$7:S206))</f>
        <v/>
      </c>
      <c r="W206" s="42" t="str">
        <f aca="false">IF($B206="","",MAX(V206,W205))</f>
        <v/>
      </c>
      <c r="X206" s="42" t="str">
        <f aca="false">IF($B206="","",V206-W206)</f>
        <v/>
      </c>
      <c r="Y206" s="45" t="str">
        <f aca="false">IF($B206="","",X206/W206)</f>
        <v/>
      </c>
      <c r="Z206" s="36" t="str">
        <f aca="false">IF($B206="","",IF(T206="G",IF(N(Z205)&gt;0,Z205+1,1),IF(N(Z205)&lt;0,Z205-1,-1)))</f>
        <v/>
      </c>
      <c r="AA206" s="46" t="str">
        <f aca="false">IF($B206="","",B206-WEEKDAY(B206,2)+1)</f>
        <v/>
      </c>
      <c r="AB206" s="47" t="str">
        <f aca="false">IF($B206="","",DATE(YEAR(B206),MONTH(B206),1))</f>
        <v/>
      </c>
      <c r="AC206" s="41" t="str">
        <f aca="false">IF($B206="","",CHOOSE(WEEKDAY(B206,2),"Lunes","Martes","Miércoles","Jueves","Viernes","Sábado","Domingo"))</f>
        <v/>
      </c>
      <c r="AD206" s="36" t="str">
        <f aca="false">IF($B206="","",HOUR(C206))</f>
        <v/>
      </c>
      <c r="AE206" s="42" t="str">
        <f aca="false">IF($B206="","",IF(O206&lt;&gt;O205,MAX(V206-S206,V206),MAX(V206,AE205)))</f>
        <v/>
      </c>
      <c r="AF206" s="42" t="str">
        <f aca="false">IF($B206="","",V206-AE206)</f>
        <v/>
      </c>
      <c r="AG206" s="36" t="str">
        <f aca="false">IF($B206="","",IF(O206&lt;&gt;O205,IF(T206="G",1,-1),IF(T206="G",IF(N(AG205)&gt;0,AG205+1,1),IF(N(AG205)&lt;0,AG205-1,-1))))</f>
        <v/>
      </c>
    </row>
    <row r="207" customFormat="false" ht="15" hidden="false" customHeight="false" outlineLevel="0" collapsed="false">
      <c r="A207" s="36" t="str">
        <f aca="false">IF(B207="","",ROW()-6)</f>
        <v/>
      </c>
      <c r="B207" s="37"/>
      <c r="C207" s="38"/>
      <c r="D207" s="38"/>
      <c r="E207" s="39"/>
      <c r="F207" s="39"/>
      <c r="G207" s="39"/>
      <c r="H207" s="40"/>
      <c r="I207" s="40"/>
      <c r="J207" s="40"/>
      <c r="K207" s="40"/>
      <c r="L207" s="39"/>
      <c r="M207" s="40"/>
      <c r="N207" s="40"/>
      <c r="O207" s="36" t="str">
        <f aca="false">IF($B207="","",INT((A207-1)/Parametros!$C$10)+1)</f>
        <v/>
      </c>
      <c r="P207" s="41" t="str">
        <f aca="false">IF($B207="","",IF(OR(C207="",D207=""),"",ROUND((D207-C207)*1440,0)))</f>
        <v/>
      </c>
      <c r="Q207" s="42" t="str">
        <f aca="false">IF($B207="","",I207*VLOOKUP(E207,Parametros!$B$18:$D$24,2,FALSE()))</f>
        <v/>
      </c>
      <c r="R207" s="42" t="str">
        <f aca="false">IF($B207="","",G207*VLOOKUP(E207,Parametros!$B$18:$D$24,3,FALSE()))</f>
        <v/>
      </c>
      <c r="S207" s="42" t="str">
        <f aca="false">IF($B207="","",Q207-R207)</f>
        <v/>
      </c>
      <c r="T207" s="43" t="str">
        <f aca="false">IF($B207="","",IF(S207&gt;0,"G","P"))</f>
        <v/>
      </c>
      <c r="U207" s="44" t="str">
        <f aca="false">IF($B207="","",S207/Parametros!$C$8)</f>
        <v/>
      </c>
      <c r="V207" s="42" t="str">
        <f aca="false">IF($B207="","",Parametros!$C$6+SUM($S$7:S207))</f>
        <v/>
      </c>
      <c r="W207" s="42" t="str">
        <f aca="false">IF($B207="","",MAX(V207,W206))</f>
        <v/>
      </c>
      <c r="X207" s="42" t="str">
        <f aca="false">IF($B207="","",V207-W207)</f>
        <v/>
      </c>
      <c r="Y207" s="45" t="str">
        <f aca="false">IF($B207="","",X207/W207)</f>
        <v/>
      </c>
      <c r="Z207" s="36" t="str">
        <f aca="false">IF($B207="","",IF(T207="G",IF(N(Z206)&gt;0,Z206+1,1),IF(N(Z206)&lt;0,Z206-1,-1)))</f>
        <v/>
      </c>
      <c r="AA207" s="46" t="str">
        <f aca="false">IF($B207="","",B207-WEEKDAY(B207,2)+1)</f>
        <v/>
      </c>
      <c r="AB207" s="47" t="str">
        <f aca="false">IF($B207="","",DATE(YEAR(B207),MONTH(B207),1))</f>
        <v/>
      </c>
      <c r="AC207" s="41" t="str">
        <f aca="false">IF($B207="","",CHOOSE(WEEKDAY(B207,2),"Lunes","Martes","Miércoles","Jueves","Viernes","Sábado","Domingo"))</f>
        <v/>
      </c>
      <c r="AD207" s="36" t="str">
        <f aca="false">IF($B207="","",HOUR(C207))</f>
        <v/>
      </c>
      <c r="AE207" s="42" t="str">
        <f aca="false">IF($B207="","",IF(O207&lt;&gt;O206,MAX(V207-S207,V207),MAX(V207,AE206)))</f>
        <v/>
      </c>
      <c r="AF207" s="42" t="str">
        <f aca="false">IF($B207="","",V207-AE207)</f>
        <v/>
      </c>
      <c r="AG207" s="36" t="str">
        <f aca="false">IF($B207="","",IF(O207&lt;&gt;O206,IF(T207="G",1,-1),IF(T207="G",IF(N(AG206)&gt;0,AG206+1,1),IF(N(AG206)&lt;0,AG206-1,-1))))</f>
        <v/>
      </c>
    </row>
    <row r="208" customFormat="false" ht="15" hidden="false" customHeight="false" outlineLevel="0" collapsed="false">
      <c r="A208" s="36" t="str">
        <f aca="false">IF(B208="","",ROW()-6)</f>
        <v/>
      </c>
      <c r="B208" s="37"/>
      <c r="C208" s="38"/>
      <c r="D208" s="38"/>
      <c r="E208" s="39"/>
      <c r="F208" s="39"/>
      <c r="G208" s="39"/>
      <c r="H208" s="40"/>
      <c r="I208" s="40"/>
      <c r="J208" s="40"/>
      <c r="K208" s="40"/>
      <c r="L208" s="39"/>
      <c r="M208" s="40"/>
      <c r="N208" s="40"/>
      <c r="O208" s="36" t="str">
        <f aca="false">IF($B208="","",INT((A208-1)/Parametros!$C$10)+1)</f>
        <v/>
      </c>
      <c r="P208" s="41" t="str">
        <f aca="false">IF($B208="","",IF(OR(C208="",D208=""),"",ROUND((D208-C208)*1440,0)))</f>
        <v/>
      </c>
      <c r="Q208" s="42" t="str">
        <f aca="false">IF($B208="","",I208*VLOOKUP(E208,Parametros!$B$18:$D$24,2,FALSE()))</f>
        <v/>
      </c>
      <c r="R208" s="42" t="str">
        <f aca="false">IF($B208="","",G208*VLOOKUP(E208,Parametros!$B$18:$D$24,3,FALSE()))</f>
        <v/>
      </c>
      <c r="S208" s="42" t="str">
        <f aca="false">IF($B208="","",Q208-R208)</f>
        <v/>
      </c>
      <c r="T208" s="43" t="str">
        <f aca="false">IF($B208="","",IF(S208&gt;0,"G","P"))</f>
        <v/>
      </c>
      <c r="U208" s="44" t="str">
        <f aca="false">IF($B208="","",S208/Parametros!$C$8)</f>
        <v/>
      </c>
      <c r="V208" s="42" t="str">
        <f aca="false">IF($B208="","",Parametros!$C$6+SUM($S$7:S208))</f>
        <v/>
      </c>
      <c r="W208" s="42" t="str">
        <f aca="false">IF($B208="","",MAX(V208,W207))</f>
        <v/>
      </c>
      <c r="X208" s="42" t="str">
        <f aca="false">IF($B208="","",V208-W208)</f>
        <v/>
      </c>
      <c r="Y208" s="45" t="str">
        <f aca="false">IF($B208="","",X208/W208)</f>
        <v/>
      </c>
      <c r="Z208" s="36" t="str">
        <f aca="false">IF($B208="","",IF(T208="G",IF(N(Z207)&gt;0,Z207+1,1),IF(N(Z207)&lt;0,Z207-1,-1)))</f>
        <v/>
      </c>
      <c r="AA208" s="46" t="str">
        <f aca="false">IF($B208="","",B208-WEEKDAY(B208,2)+1)</f>
        <v/>
      </c>
      <c r="AB208" s="47" t="str">
        <f aca="false">IF($B208="","",DATE(YEAR(B208),MONTH(B208),1))</f>
        <v/>
      </c>
      <c r="AC208" s="41" t="str">
        <f aca="false">IF($B208="","",CHOOSE(WEEKDAY(B208,2),"Lunes","Martes","Miércoles","Jueves","Viernes","Sábado","Domingo"))</f>
        <v/>
      </c>
      <c r="AD208" s="36" t="str">
        <f aca="false">IF($B208="","",HOUR(C208))</f>
        <v/>
      </c>
      <c r="AE208" s="42" t="str">
        <f aca="false">IF($B208="","",IF(O208&lt;&gt;O207,MAX(V208-S208,V208),MAX(V208,AE207)))</f>
        <v/>
      </c>
      <c r="AF208" s="42" t="str">
        <f aca="false">IF($B208="","",V208-AE208)</f>
        <v/>
      </c>
      <c r="AG208" s="36" t="str">
        <f aca="false">IF($B208="","",IF(O208&lt;&gt;O207,IF(T208="G",1,-1),IF(T208="G",IF(N(AG207)&gt;0,AG207+1,1),IF(N(AG207)&lt;0,AG207-1,-1))))</f>
        <v/>
      </c>
    </row>
    <row r="209" customFormat="false" ht="15" hidden="false" customHeight="false" outlineLevel="0" collapsed="false">
      <c r="A209" s="36" t="str">
        <f aca="false">IF(B209="","",ROW()-6)</f>
        <v/>
      </c>
      <c r="B209" s="37"/>
      <c r="C209" s="38"/>
      <c r="D209" s="38"/>
      <c r="E209" s="39"/>
      <c r="F209" s="39"/>
      <c r="G209" s="39"/>
      <c r="H209" s="40"/>
      <c r="I209" s="40"/>
      <c r="J209" s="40"/>
      <c r="K209" s="40"/>
      <c r="L209" s="39"/>
      <c r="M209" s="40"/>
      <c r="N209" s="40"/>
      <c r="O209" s="36" t="str">
        <f aca="false">IF($B209="","",INT((A209-1)/Parametros!$C$10)+1)</f>
        <v/>
      </c>
      <c r="P209" s="41" t="str">
        <f aca="false">IF($B209="","",IF(OR(C209="",D209=""),"",ROUND((D209-C209)*1440,0)))</f>
        <v/>
      </c>
      <c r="Q209" s="42" t="str">
        <f aca="false">IF($B209="","",I209*VLOOKUP(E209,Parametros!$B$18:$D$24,2,FALSE()))</f>
        <v/>
      </c>
      <c r="R209" s="42" t="str">
        <f aca="false">IF($B209="","",G209*VLOOKUP(E209,Parametros!$B$18:$D$24,3,FALSE()))</f>
        <v/>
      </c>
      <c r="S209" s="42" t="str">
        <f aca="false">IF($B209="","",Q209-R209)</f>
        <v/>
      </c>
      <c r="T209" s="43" t="str">
        <f aca="false">IF($B209="","",IF(S209&gt;0,"G","P"))</f>
        <v/>
      </c>
      <c r="U209" s="44" t="str">
        <f aca="false">IF($B209="","",S209/Parametros!$C$8)</f>
        <v/>
      </c>
      <c r="V209" s="42" t="str">
        <f aca="false">IF($B209="","",Parametros!$C$6+SUM($S$7:S209))</f>
        <v/>
      </c>
      <c r="W209" s="42" t="str">
        <f aca="false">IF($B209="","",MAX(V209,W208))</f>
        <v/>
      </c>
      <c r="X209" s="42" t="str">
        <f aca="false">IF($B209="","",V209-W209)</f>
        <v/>
      </c>
      <c r="Y209" s="45" t="str">
        <f aca="false">IF($B209="","",X209/W209)</f>
        <v/>
      </c>
      <c r="Z209" s="36" t="str">
        <f aca="false">IF($B209="","",IF(T209="G",IF(N(Z208)&gt;0,Z208+1,1),IF(N(Z208)&lt;0,Z208-1,-1)))</f>
        <v/>
      </c>
      <c r="AA209" s="46" t="str">
        <f aca="false">IF($B209="","",B209-WEEKDAY(B209,2)+1)</f>
        <v/>
      </c>
      <c r="AB209" s="47" t="str">
        <f aca="false">IF($B209="","",DATE(YEAR(B209),MONTH(B209),1))</f>
        <v/>
      </c>
      <c r="AC209" s="41" t="str">
        <f aca="false">IF($B209="","",CHOOSE(WEEKDAY(B209,2),"Lunes","Martes","Miércoles","Jueves","Viernes","Sábado","Domingo"))</f>
        <v/>
      </c>
      <c r="AD209" s="36" t="str">
        <f aca="false">IF($B209="","",HOUR(C209))</f>
        <v/>
      </c>
      <c r="AE209" s="42" t="str">
        <f aca="false">IF($B209="","",IF(O209&lt;&gt;O208,MAX(V209-S209,V209),MAX(V209,AE208)))</f>
        <v/>
      </c>
      <c r="AF209" s="42" t="str">
        <f aca="false">IF($B209="","",V209-AE209)</f>
        <v/>
      </c>
      <c r="AG209" s="36" t="str">
        <f aca="false">IF($B209="","",IF(O209&lt;&gt;O208,IF(T209="G",1,-1),IF(T209="G",IF(N(AG208)&gt;0,AG208+1,1),IF(N(AG208)&lt;0,AG208-1,-1))))</f>
        <v/>
      </c>
    </row>
    <row r="210" customFormat="false" ht="15" hidden="false" customHeight="false" outlineLevel="0" collapsed="false">
      <c r="A210" s="36" t="str">
        <f aca="false">IF(B210="","",ROW()-6)</f>
        <v/>
      </c>
      <c r="B210" s="37"/>
      <c r="C210" s="38"/>
      <c r="D210" s="38"/>
      <c r="E210" s="39"/>
      <c r="F210" s="39"/>
      <c r="G210" s="39"/>
      <c r="H210" s="40"/>
      <c r="I210" s="40"/>
      <c r="J210" s="40"/>
      <c r="K210" s="40"/>
      <c r="L210" s="39"/>
      <c r="M210" s="40"/>
      <c r="N210" s="40"/>
      <c r="O210" s="36" t="str">
        <f aca="false">IF($B210="","",INT((A210-1)/Parametros!$C$10)+1)</f>
        <v/>
      </c>
      <c r="P210" s="41" t="str">
        <f aca="false">IF($B210="","",IF(OR(C210="",D210=""),"",ROUND((D210-C210)*1440,0)))</f>
        <v/>
      </c>
      <c r="Q210" s="42" t="str">
        <f aca="false">IF($B210="","",I210*VLOOKUP(E210,Parametros!$B$18:$D$24,2,FALSE()))</f>
        <v/>
      </c>
      <c r="R210" s="42" t="str">
        <f aca="false">IF($B210="","",G210*VLOOKUP(E210,Parametros!$B$18:$D$24,3,FALSE()))</f>
        <v/>
      </c>
      <c r="S210" s="42" t="str">
        <f aca="false">IF($B210="","",Q210-R210)</f>
        <v/>
      </c>
      <c r="T210" s="43" t="str">
        <f aca="false">IF($B210="","",IF(S210&gt;0,"G","P"))</f>
        <v/>
      </c>
      <c r="U210" s="44" t="str">
        <f aca="false">IF($B210="","",S210/Parametros!$C$8)</f>
        <v/>
      </c>
      <c r="V210" s="42" t="str">
        <f aca="false">IF($B210="","",Parametros!$C$6+SUM($S$7:S210))</f>
        <v/>
      </c>
      <c r="W210" s="42" t="str">
        <f aca="false">IF($B210="","",MAX(V210,W209))</f>
        <v/>
      </c>
      <c r="X210" s="42" t="str">
        <f aca="false">IF($B210="","",V210-W210)</f>
        <v/>
      </c>
      <c r="Y210" s="45" t="str">
        <f aca="false">IF($B210="","",X210/W210)</f>
        <v/>
      </c>
      <c r="Z210" s="36" t="str">
        <f aca="false">IF($B210="","",IF(T210="G",IF(N(Z209)&gt;0,Z209+1,1),IF(N(Z209)&lt;0,Z209-1,-1)))</f>
        <v/>
      </c>
      <c r="AA210" s="46" t="str">
        <f aca="false">IF($B210="","",B210-WEEKDAY(B210,2)+1)</f>
        <v/>
      </c>
      <c r="AB210" s="47" t="str">
        <f aca="false">IF($B210="","",DATE(YEAR(B210),MONTH(B210),1))</f>
        <v/>
      </c>
      <c r="AC210" s="41" t="str">
        <f aca="false">IF($B210="","",CHOOSE(WEEKDAY(B210,2),"Lunes","Martes","Miércoles","Jueves","Viernes","Sábado","Domingo"))</f>
        <v/>
      </c>
      <c r="AD210" s="36" t="str">
        <f aca="false">IF($B210="","",HOUR(C210))</f>
        <v/>
      </c>
      <c r="AE210" s="42" t="str">
        <f aca="false">IF($B210="","",IF(O210&lt;&gt;O209,MAX(V210-S210,V210),MAX(V210,AE209)))</f>
        <v/>
      </c>
      <c r="AF210" s="42" t="str">
        <f aca="false">IF($B210="","",V210-AE210)</f>
        <v/>
      </c>
      <c r="AG210" s="36" t="str">
        <f aca="false">IF($B210="","",IF(O210&lt;&gt;O209,IF(T210="G",1,-1),IF(T210="G",IF(N(AG209)&gt;0,AG209+1,1),IF(N(AG209)&lt;0,AG209-1,-1))))</f>
        <v/>
      </c>
    </row>
    <row r="211" customFormat="false" ht="15" hidden="false" customHeight="false" outlineLevel="0" collapsed="false">
      <c r="A211" s="36" t="str">
        <f aca="false">IF(B211="","",ROW()-6)</f>
        <v/>
      </c>
      <c r="B211" s="37"/>
      <c r="C211" s="38"/>
      <c r="D211" s="38"/>
      <c r="E211" s="39"/>
      <c r="F211" s="39"/>
      <c r="G211" s="39"/>
      <c r="H211" s="40"/>
      <c r="I211" s="40"/>
      <c r="J211" s="40"/>
      <c r="K211" s="40"/>
      <c r="L211" s="39"/>
      <c r="M211" s="40"/>
      <c r="N211" s="40"/>
      <c r="O211" s="36" t="str">
        <f aca="false">IF($B211="","",INT((A211-1)/Parametros!$C$10)+1)</f>
        <v/>
      </c>
      <c r="P211" s="41" t="str">
        <f aca="false">IF($B211="","",IF(OR(C211="",D211=""),"",ROUND((D211-C211)*1440,0)))</f>
        <v/>
      </c>
      <c r="Q211" s="42" t="str">
        <f aca="false">IF($B211="","",I211*VLOOKUP(E211,Parametros!$B$18:$D$24,2,FALSE()))</f>
        <v/>
      </c>
      <c r="R211" s="42" t="str">
        <f aca="false">IF($B211="","",G211*VLOOKUP(E211,Parametros!$B$18:$D$24,3,FALSE()))</f>
        <v/>
      </c>
      <c r="S211" s="42" t="str">
        <f aca="false">IF($B211="","",Q211-R211)</f>
        <v/>
      </c>
      <c r="T211" s="43" t="str">
        <f aca="false">IF($B211="","",IF(S211&gt;0,"G","P"))</f>
        <v/>
      </c>
      <c r="U211" s="44" t="str">
        <f aca="false">IF($B211="","",S211/Parametros!$C$8)</f>
        <v/>
      </c>
      <c r="V211" s="42" t="str">
        <f aca="false">IF($B211="","",Parametros!$C$6+SUM($S$7:S211))</f>
        <v/>
      </c>
      <c r="W211" s="42" t="str">
        <f aca="false">IF($B211="","",MAX(V211,W210))</f>
        <v/>
      </c>
      <c r="X211" s="42" t="str">
        <f aca="false">IF($B211="","",V211-W211)</f>
        <v/>
      </c>
      <c r="Y211" s="45" t="str">
        <f aca="false">IF($B211="","",X211/W211)</f>
        <v/>
      </c>
      <c r="Z211" s="36" t="str">
        <f aca="false">IF($B211="","",IF(T211="G",IF(N(Z210)&gt;0,Z210+1,1),IF(N(Z210)&lt;0,Z210-1,-1)))</f>
        <v/>
      </c>
      <c r="AA211" s="46" t="str">
        <f aca="false">IF($B211="","",B211-WEEKDAY(B211,2)+1)</f>
        <v/>
      </c>
      <c r="AB211" s="47" t="str">
        <f aca="false">IF($B211="","",DATE(YEAR(B211),MONTH(B211),1))</f>
        <v/>
      </c>
      <c r="AC211" s="41" t="str">
        <f aca="false">IF($B211="","",CHOOSE(WEEKDAY(B211,2),"Lunes","Martes","Miércoles","Jueves","Viernes","Sábado","Domingo"))</f>
        <v/>
      </c>
      <c r="AD211" s="36" t="str">
        <f aca="false">IF($B211="","",HOUR(C211))</f>
        <v/>
      </c>
      <c r="AE211" s="42" t="str">
        <f aca="false">IF($B211="","",IF(O211&lt;&gt;O210,MAX(V211-S211,V211),MAX(V211,AE210)))</f>
        <v/>
      </c>
      <c r="AF211" s="42" t="str">
        <f aca="false">IF($B211="","",V211-AE211)</f>
        <v/>
      </c>
      <c r="AG211" s="36" t="str">
        <f aca="false">IF($B211="","",IF(O211&lt;&gt;O210,IF(T211="G",1,-1),IF(T211="G",IF(N(AG210)&gt;0,AG210+1,1),IF(N(AG210)&lt;0,AG210-1,-1))))</f>
        <v/>
      </c>
    </row>
    <row r="212" customFormat="false" ht="15" hidden="false" customHeight="false" outlineLevel="0" collapsed="false">
      <c r="A212" s="36" t="str">
        <f aca="false">IF(B212="","",ROW()-6)</f>
        <v/>
      </c>
      <c r="B212" s="37"/>
      <c r="C212" s="38"/>
      <c r="D212" s="38"/>
      <c r="E212" s="39"/>
      <c r="F212" s="39"/>
      <c r="G212" s="39"/>
      <c r="H212" s="40"/>
      <c r="I212" s="40"/>
      <c r="J212" s="40"/>
      <c r="K212" s="40"/>
      <c r="L212" s="39"/>
      <c r="M212" s="40"/>
      <c r="N212" s="40"/>
      <c r="O212" s="36" t="str">
        <f aca="false">IF($B212="","",INT((A212-1)/Parametros!$C$10)+1)</f>
        <v/>
      </c>
      <c r="P212" s="41" t="str">
        <f aca="false">IF($B212="","",IF(OR(C212="",D212=""),"",ROUND((D212-C212)*1440,0)))</f>
        <v/>
      </c>
      <c r="Q212" s="42" t="str">
        <f aca="false">IF($B212="","",I212*VLOOKUP(E212,Parametros!$B$18:$D$24,2,FALSE()))</f>
        <v/>
      </c>
      <c r="R212" s="42" t="str">
        <f aca="false">IF($B212="","",G212*VLOOKUP(E212,Parametros!$B$18:$D$24,3,FALSE()))</f>
        <v/>
      </c>
      <c r="S212" s="42" t="str">
        <f aca="false">IF($B212="","",Q212-R212)</f>
        <v/>
      </c>
      <c r="T212" s="43" t="str">
        <f aca="false">IF($B212="","",IF(S212&gt;0,"G","P"))</f>
        <v/>
      </c>
      <c r="U212" s="44" t="str">
        <f aca="false">IF($B212="","",S212/Parametros!$C$8)</f>
        <v/>
      </c>
      <c r="V212" s="42" t="str">
        <f aca="false">IF($B212="","",Parametros!$C$6+SUM($S$7:S212))</f>
        <v/>
      </c>
      <c r="W212" s="42" t="str">
        <f aca="false">IF($B212="","",MAX(V212,W211))</f>
        <v/>
      </c>
      <c r="X212" s="42" t="str">
        <f aca="false">IF($B212="","",V212-W212)</f>
        <v/>
      </c>
      <c r="Y212" s="45" t="str">
        <f aca="false">IF($B212="","",X212/W212)</f>
        <v/>
      </c>
      <c r="Z212" s="36" t="str">
        <f aca="false">IF($B212="","",IF(T212="G",IF(N(Z211)&gt;0,Z211+1,1),IF(N(Z211)&lt;0,Z211-1,-1)))</f>
        <v/>
      </c>
      <c r="AA212" s="46" t="str">
        <f aca="false">IF($B212="","",B212-WEEKDAY(B212,2)+1)</f>
        <v/>
      </c>
      <c r="AB212" s="47" t="str">
        <f aca="false">IF($B212="","",DATE(YEAR(B212),MONTH(B212),1))</f>
        <v/>
      </c>
      <c r="AC212" s="41" t="str">
        <f aca="false">IF($B212="","",CHOOSE(WEEKDAY(B212,2),"Lunes","Martes","Miércoles","Jueves","Viernes","Sábado","Domingo"))</f>
        <v/>
      </c>
      <c r="AD212" s="36" t="str">
        <f aca="false">IF($B212="","",HOUR(C212))</f>
        <v/>
      </c>
      <c r="AE212" s="42" t="str">
        <f aca="false">IF($B212="","",IF(O212&lt;&gt;O211,MAX(V212-S212,V212),MAX(V212,AE211)))</f>
        <v/>
      </c>
      <c r="AF212" s="42" t="str">
        <f aca="false">IF($B212="","",V212-AE212)</f>
        <v/>
      </c>
      <c r="AG212" s="36" t="str">
        <f aca="false">IF($B212="","",IF(O212&lt;&gt;O211,IF(T212="G",1,-1),IF(T212="G",IF(N(AG211)&gt;0,AG211+1,1),IF(N(AG211)&lt;0,AG211-1,-1))))</f>
        <v/>
      </c>
    </row>
    <row r="213" customFormat="false" ht="15" hidden="false" customHeight="false" outlineLevel="0" collapsed="false">
      <c r="A213" s="36" t="str">
        <f aca="false">IF(B213="","",ROW()-6)</f>
        <v/>
      </c>
      <c r="B213" s="37"/>
      <c r="C213" s="38"/>
      <c r="D213" s="38"/>
      <c r="E213" s="39"/>
      <c r="F213" s="39"/>
      <c r="G213" s="39"/>
      <c r="H213" s="40"/>
      <c r="I213" s="40"/>
      <c r="J213" s="40"/>
      <c r="K213" s="40"/>
      <c r="L213" s="39"/>
      <c r="M213" s="40"/>
      <c r="N213" s="40"/>
      <c r="O213" s="36" t="str">
        <f aca="false">IF($B213="","",INT((A213-1)/Parametros!$C$10)+1)</f>
        <v/>
      </c>
      <c r="P213" s="41" t="str">
        <f aca="false">IF($B213="","",IF(OR(C213="",D213=""),"",ROUND((D213-C213)*1440,0)))</f>
        <v/>
      </c>
      <c r="Q213" s="42" t="str">
        <f aca="false">IF($B213="","",I213*VLOOKUP(E213,Parametros!$B$18:$D$24,2,FALSE()))</f>
        <v/>
      </c>
      <c r="R213" s="42" t="str">
        <f aca="false">IF($B213="","",G213*VLOOKUP(E213,Parametros!$B$18:$D$24,3,FALSE()))</f>
        <v/>
      </c>
      <c r="S213" s="42" t="str">
        <f aca="false">IF($B213="","",Q213-R213)</f>
        <v/>
      </c>
      <c r="T213" s="43" t="str">
        <f aca="false">IF($B213="","",IF(S213&gt;0,"G","P"))</f>
        <v/>
      </c>
      <c r="U213" s="44" t="str">
        <f aca="false">IF($B213="","",S213/Parametros!$C$8)</f>
        <v/>
      </c>
      <c r="V213" s="42" t="str">
        <f aca="false">IF($B213="","",Parametros!$C$6+SUM($S$7:S213))</f>
        <v/>
      </c>
      <c r="W213" s="42" t="str">
        <f aca="false">IF($B213="","",MAX(V213,W212))</f>
        <v/>
      </c>
      <c r="X213" s="42" t="str">
        <f aca="false">IF($B213="","",V213-W213)</f>
        <v/>
      </c>
      <c r="Y213" s="45" t="str">
        <f aca="false">IF($B213="","",X213/W213)</f>
        <v/>
      </c>
      <c r="Z213" s="36" t="str">
        <f aca="false">IF($B213="","",IF(T213="G",IF(N(Z212)&gt;0,Z212+1,1),IF(N(Z212)&lt;0,Z212-1,-1)))</f>
        <v/>
      </c>
      <c r="AA213" s="46" t="str">
        <f aca="false">IF($B213="","",B213-WEEKDAY(B213,2)+1)</f>
        <v/>
      </c>
      <c r="AB213" s="47" t="str">
        <f aca="false">IF($B213="","",DATE(YEAR(B213),MONTH(B213),1))</f>
        <v/>
      </c>
      <c r="AC213" s="41" t="str">
        <f aca="false">IF($B213="","",CHOOSE(WEEKDAY(B213,2),"Lunes","Martes","Miércoles","Jueves","Viernes","Sábado","Domingo"))</f>
        <v/>
      </c>
      <c r="AD213" s="36" t="str">
        <f aca="false">IF($B213="","",HOUR(C213))</f>
        <v/>
      </c>
      <c r="AE213" s="42" t="str">
        <f aca="false">IF($B213="","",IF(O213&lt;&gt;O212,MAX(V213-S213,V213),MAX(V213,AE212)))</f>
        <v/>
      </c>
      <c r="AF213" s="42" t="str">
        <f aca="false">IF($B213="","",V213-AE213)</f>
        <v/>
      </c>
      <c r="AG213" s="36" t="str">
        <f aca="false">IF($B213="","",IF(O213&lt;&gt;O212,IF(T213="G",1,-1),IF(T213="G",IF(N(AG212)&gt;0,AG212+1,1),IF(N(AG212)&lt;0,AG212-1,-1))))</f>
        <v/>
      </c>
    </row>
    <row r="214" customFormat="false" ht="15" hidden="false" customHeight="false" outlineLevel="0" collapsed="false">
      <c r="A214" s="36" t="str">
        <f aca="false">IF(B214="","",ROW()-6)</f>
        <v/>
      </c>
      <c r="B214" s="37"/>
      <c r="C214" s="38"/>
      <c r="D214" s="38"/>
      <c r="E214" s="39"/>
      <c r="F214" s="39"/>
      <c r="G214" s="39"/>
      <c r="H214" s="40"/>
      <c r="I214" s="40"/>
      <c r="J214" s="40"/>
      <c r="K214" s="40"/>
      <c r="L214" s="39"/>
      <c r="M214" s="40"/>
      <c r="N214" s="40"/>
      <c r="O214" s="36" t="str">
        <f aca="false">IF($B214="","",INT((A214-1)/Parametros!$C$10)+1)</f>
        <v/>
      </c>
      <c r="P214" s="41" t="str">
        <f aca="false">IF($B214="","",IF(OR(C214="",D214=""),"",ROUND((D214-C214)*1440,0)))</f>
        <v/>
      </c>
      <c r="Q214" s="42" t="str">
        <f aca="false">IF($B214="","",I214*VLOOKUP(E214,Parametros!$B$18:$D$24,2,FALSE()))</f>
        <v/>
      </c>
      <c r="R214" s="42" t="str">
        <f aca="false">IF($B214="","",G214*VLOOKUP(E214,Parametros!$B$18:$D$24,3,FALSE()))</f>
        <v/>
      </c>
      <c r="S214" s="42" t="str">
        <f aca="false">IF($B214="","",Q214-R214)</f>
        <v/>
      </c>
      <c r="T214" s="43" t="str">
        <f aca="false">IF($B214="","",IF(S214&gt;0,"G","P"))</f>
        <v/>
      </c>
      <c r="U214" s="44" t="str">
        <f aca="false">IF($B214="","",S214/Parametros!$C$8)</f>
        <v/>
      </c>
      <c r="V214" s="42" t="str">
        <f aca="false">IF($B214="","",Parametros!$C$6+SUM($S$7:S214))</f>
        <v/>
      </c>
      <c r="W214" s="42" t="str">
        <f aca="false">IF($B214="","",MAX(V214,W213))</f>
        <v/>
      </c>
      <c r="X214" s="42" t="str">
        <f aca="false">IF($B214="","",V214-W214)</f>
        <v/>
      </c>
      <c r="Y214" s="45" t="str">
        <f aca="false">IF($B214="","",X214/W214)</f>
        <v/>
      </c>
      <c r="Z214" s="36" t="str">
        <f aca="false">IF($B214="","",IF(T214="G",IF(N(Z213)&gt;0,Z213+1,1),IF(N(Z213)&lt;0,Z213-1,-1)))</f>
        <v/>
      </c>
      <c r="AA214" s="46" t="str">
        <f aca="false">IF($B214="","",B214-WEEKDAY(B214,2)+1)</f>
        <v/>
      </c>
      <c r="AB214" s="47" t="str">
        <f aca="false">IF($B214="","",DATE(YEAR(B214),MONTH(B214),1))</f>
        <v/>
      </c>
      <c r="AC214" s="41" t="str">
        <f aca="false">IF($B214="","",CHOOSE(WEEKDAY(B214,2),"Lunes","Martes","Miércoles","Jueves","Viernes","Sábado","Domingo"))</f>
        <v/>
      </c>
      <c r="AD214" s="36" t="str">
        <f aca="false">IF($B214="","",HOUR(C214))</f>
        <v/>
      </c>
      <c r="AE214" s="42" t="str">
        <f aca="false">IF($B214="","",IF(O214&lt;&gt;O213,MAX(V214-S214,V214),MAX(V214,AE213)))</f>
        <v/>
      </c>
      <c r="AF214" s="42" t="str">
        <f aca="false">IF($B214="","",V214-AE214)</f>
        <v/>
      </c>
      <c r="AG214" s="36" t="str">
        <f aca="false">IF($B214="","",IF(O214&lt;&gt;O213,IF(T214="G",1,-1),IF(T214="G",IF(N(AG213)&gt;0,AG213+1,1),IF(N(AG213)&lt;0,AG213-1,-1))))</f>
        <v/>
      </c>
    </row>
    <row r="215" customFormat="false" ht="15" hidden="false" customHeight="false" outlineLevel="0" collapsed="false">
      <c r="A215" s="36" t="str">
        <f aca="false">IF(B215="","",ROW()-6)</f>
        <v/>
      </c>
      <c r="B215" s="37"/>
      <c r="C215" s="38"/>
      <c r="D215" s="38"/>
      <c r="E215" s="39"/>
      <c r="F215" s="39"/>
      <c r="G215" s="39"/>
      <c r="H215" s="40"/>
      <c r="I215" s="40"/>
      <c r="J215" s="40"/>
      <c r="K215" s="40"/>
      <c r="L215" s="39"/>
      <c r="M215" s="40"/>
      <c r="N215" s="40"/>
      <c r="O215" s="36" t="str">
        <f aca="false">IF($B215="","",INT((A215-1)/Parametros!$C$10)+1)</f>
        <v/>
      </c>
      <c r="P215" s="41" t="str">
        <f aca="false">IF($B215="","",IF(OR(C215="",D215=""),"",ROUND((D215-C215)*1440,0)))</f>
        <v/>
      </c>
      <c r="Q215" s="42" t="str">
        <f aca="false">IF($B215="","",I215*VLOOKUP(E215,Parametros!$B$18:$D$24,2,FALSE()))</f>
        <v/>
      </c>
      <c r="R215" s="42" t="str">
        <f aca="false">IF($B215="","",G215*VLOOKUP(E215,Parametros!$B$18:$D$24,3,FALSE()))</f>
        <v/>
      </c>
      <c r="S215" s="42" t="str">
        <f aca="false">IF($B215="","",Q215-R215)</f>
        <v/>
      </c>
      <c r="T215" s="43" t="str">
        <f aca="false">IF($B215="","",IF(S215&gt;0,"G","P"))</f>
        <v/>
      </c>
      <c r="U215" s="44" t="str">
        <f aca="false">IF($B215="","",S215/Parametros!$C$8)</f>
        <v/>
      </c>
      <c r="V215" s="42" t="str">
        <f aca="false">IF($B215="","",Parametros!$C$6+SUM($S$7:S215))</f>
        <v/>
      </c>
      <c r="W215" s="42" t="str">
        <f aca="false">IF($B215="","",MAX(V215,W214))</f>
        <v/>
      </c>
      <c r="X215" s="42" t="str">
        <f aca="false">IF($B215="","",V215-W215)</f>
        <v/>
      </c>
      <c r="Y215" s="45" t="str">
        <f aca="false">IF($B215="","",X215/W215)</f>
        <v/>
      </c>
      <c r="Z215" s="36" t="str">
        <f aca="false">IF($B215="","",IF(T215="G",IF(N(Z214)&gt;0,Z214+1,1),IF(N(Z214)&lt;0,Z214-1,-1)))</f>
        <v/>
      </c>
      <c r="AA215" s="46" t="str">
        <f aca="false">IF($B215="","",B215-WEEKDAY(B215,2)+1)</f>
        <v/>
      </c>
      <c r="AB215" s="47" t="str">
        <f aca="false">IF($B215="","",DATE(YEAR(B215),MONTH(B215),1))</f>
        <v/>
      </c>
      <c r="AC215" s="41" t="str">
        <f aca="false">IF($B215="","",CHOOSE(WEEKDAY(B215,2),"Lunes","Martes","Miércoles","Jueves","Viernes","Sábado","Domingo"))</f>
        <v/>
      </c>
      <c r="AD215" s="36" t="str">
        <f aca="false">IF($B215="","",HOUR(C215))</f>
        <v/>
      </c>
      <c r="AE215" s="42" t="str">
        <f aca="false">IF($B215="","",IF(O215&lt;&gt;O214,MAX(V215-S215,V215),MAX(V215,AE214)))</f>
        <v/>
      </c>
      <c r="AF215" s="42" t="str">
        <f aca="false">IF($B215="","",V215-AE215)</f>
        <v/>
      </c>
      <c r="AG215" s="36" t="str">
        <f aca="false">IF($B215="","",IF(O215&lt;&gt;O214,IF(T215="G",1,-1),IF(T215="G",IF(N(AG214)&gt;0,AG214+1,1),IF(N(AG214)&lt;0,AG214-1,-1))))</f>
        <v/>
      </c>
    </row>
    <row r="216" customFormat="false" ht="15" hidden="false" customHeight="false" outlineLevel="0" collapsed="false">
      <c r="A216" s="36" t="str">
        <f aca="false">IF(B216="","",ROW()-6)</f>
        <v/>
      </c>
      <c r="B216" s="37"/>
      <c r="C216" s="38"/>
      <c r="D216" s="38"/>
      <c r="E216" s="39"/>
      <c r="F216" s="39"/>
      <c r="G216" s="39"/>
      <c r="H216" s="40"/>
      <c r="I216" s="40"/>
      <c r="J216" s="40"/>
      <c r="K216" s="40"/>
      <c r="L216" s="39"/>
      <c r="M216" s="40"/>
      <c r="N216" s="40"/>
      <c r="O216" s="36" t="str">
        <f aca="false">IF($B216="","",INT((A216-1)/Parametros!$C$10)+1)</f>
        <v/>
      </c>
      <c r="P216" s="41" t="str">
        <f aca="false">IF($B216="","",IF(OR(C216="",D216=""),"",ROUND((D216-C216)*1440,0)))</f>
        <v/>
      </c>
      <c r="Q216" s="42" t="str">
        <f aca="false">IF($B216="","",I216*VLOOKUP(E216,Parametros!$B$18:$D$24,2,FALSE()))</f>
        <v/>
      </c>
      <c r="R216" s="42" t="str">
        <f aca="false">IF($B216="","",G216*VLOOKUP(E216,Parametros!$B$18:$D$24,3,FALSE()))</f>
        <v/>
      </c>
      <c r="S216" s="42" t="str">
        <f aca="false">IF($B216="","",Q216-R216)</f>
        <v/>
      </c>
      <c r="T216" s="43" t="str">
        <f aca="false">IF($B216="","",IF(S216&gt;0,"G","P"))</f>
        <v/>
      </c>
      <c r="U216" s="44" t="str">
        <f aca="false">IF($B216="","",S216/Parametros!$C$8)</f>
        <v/>
      </c>
      <c r="V216" s="42" t="str">
        <f aca="false">IF($B216="","",Parametros!$C$6+SUM($S$7:S216))</f>
        <v/>
      </c>
      <c r="W216" s="42" t="str">
        <f aca="false">IF($B216="","",MAX(V216,W215))</f>
        <v/>
      </c>
      <c r="X216" s="42" t="str">
        <f aca="false">IF($B216="","",V216-W216)</f>
        <v/>
      </c>
      <c r="Y216" s="45" t="str">
        <f aca="false">IF($B216="","",X216/W216)</f>
        <v/>
      </c>
      <c r="Z216" s="36" t="str">
        <f aca="false">IF($B216="","",IF(T216="G",IF(N(Z215)&gt;0,Z215+1,1),IF(N(Z215)&lt;0,Z215-1,-1)))</f>
        <v/>
      </c>
      <c r="AA216" s="46" t="str">
        <f aca="false">IF($B216="","",B216-WEEKDAY(B216,2)+1)</f>
        <v/>
      </c>
      <c r="AB216" s="47" t="str">
        <f aca="false">IF($B216="","",DATE(YEAR(B216),MONTH(B216),1))</f>
        <v/>
      </c>
      <c r="AC216" s="41" t="str">
        <f aca="false">IF($B216="","",CHOOSE(WEEKDAY(B216,2),"Lunes","Martes","Miércoles","Jueves","Viernes","Sábado","Domingo"))</f>
        <v/>
      </c>
      <c r="AD216" s="36" t="str">
        <f aca="false">IF($B216="","",HOUR(C216))</f>
        <v/>
      </c>
      <c r="AE216" s="42" t="str">
        <f aca="false">IF($B216="","",IF(O216&lt;&gt;O215,MAX(V216-S216,V216),MAX(V216,AE215)))</f>
        <v/>
      </c>
      <c r="AF216" s="42" t="str">
        <f aca="false">IF($B216="","",V216-AE216)</f>
        <v/>
      </c>
      <c r="AG216" s="36" t="str">
        <f aca="false">IF($B216="","",IF(O216&lt;&gt;O215,IF(T216="G",1,-1),IF(T216="G",IF(N(AG215)&gt;0,AG215+1,1),IF(N(AG215)&lt;0,AG215-1,-1))))</f>
        <v/>
      </c>
    </row>
    <row r="217" customFormat="false" ht="15" hidden="false" customHeight="false" outlineLevel="0" collapsed="false">
      <c r="A217" s="36" t="str">
        <f aca="false">IF(B217="","",ROW()-6)</f>
        <v/>
      </c>
      <c r="B217" s="37"/>
      <c r="C217" s="38"/>
      <c r="D217" s="38"/>
      <c r="E217" s="39"/>
      <c r="F217" s="39"/>
      <c r="G217" s="39"/>
      <c r="H217" s="40"/>
      <c r="I217" s="40"/>
      <c r="J217" s="40"/>
      <c r="K217" s="40"/>
      <c r="L217" s="39"/>
      <c r="M217" s="40"/>
      <c r="N217" s="40"/>
      <c r="O217" s="36" t="str">
        <f aca="false">IF($B217="","",INT((A217-1)/Parametros!$C$10)+1)</f>
        <v/>
      </c>
      <c r="P217" s="41" t="str">
        <f aca="false">IF($B217="","",IF(OR(C217="",D217=""),"",ROUND((D217-C217)*1440,0)))</f>
        <v/>
      </c>
      <c r="Q217" s="42" t="str">
        <f aca="false">IF($B217="","",I217*VLOOKUP(E217,Parametros!$B$18:$D$24,2,FALSE()))</f>
        <v/>
      </c>
      <c r="R217" s="42" t="str">
        <f aca="false">IF($B217="","",G217*VLOOKUP(E217,Parametros!$B$18:$D$24,3,FALSE()))</f>
        <v/>
      </c>
      <c r="S217" s="42" t="str">
        <f aca="false">IF($B217="","",Q217-R217)</f>
        <v/>
      </c>
      <c r="T217" s="43" t="str">
        <f aca="false">IF($B217="","",IF(S217&gt;0,"G","P"))</f>
        <v/>
      </c>
      <c r="U217" s="44" t="str">
        <f aca="false">IF($B217="","",S217/Parametros!$C$8)</f>
        <v/>
      </c>
      <c r="V217" s="42" t="str">
        <f aca="false">IF($B217="","",Parametros!$C$6+SUM($S$7:S217))</f>
        <v/>
      </c>
      <c r="W217" s="42" t="str">
        <f aca="false">IF($B217="","",MAX(V217,W216))</f>
        <v/>
      </c>
      <c r="X217" s="42" t="str">
        <f aca="false">IF($B217="","",V217-W217)</f>
        <v/>
      </c>
      <c r="Y217" s="45" t="str">
        <f aca="false">IF($B217="","",X217/W217)</f>
        <v/>
      </c>
      <c r="Z217" s="36" t="str">
        <f aca="false">IF($B217="","",IF(T217="G",IF(N(Z216)&gt;0,Z216+1,1),IF(N(Z216)&lt;0,Z216-1,-1)))</f>
        <v/>
      </c>
      <c r="AA217" s="46" t="str">
        <f aca="false">IF($B217="","",B217-WEEKDAY(B217,2)+1)</f>
        <v/>
      </c>
      <c r="AB217" s="47" t="str">
        <f aca="false">IF($B217="","",DATE(YEAR(B217),MONTH(B217),1))</f>
        <v/>
      </c>
      <c r="AC217" s="41" t="str">
        <f aca="false">IF($B217="","",CHOOSE(WEEKDAY(B217,2),"Lunes","Martes","Miércoles","Jueves","Viernes","Sábado","Domingo"))</f>
        <v/>
      </c>
      <c r="AD217" s="36" t="str">
        <f aca="false">IF($B217="","",HOUR(C217))</f>
        <v/>
      </c>
      <c r="AE217" s="42" t="str">
        <f aca="false">IF($B217="","",IF(O217&lt;&gt;O216,MAX(V217-S217,V217),MAX(V217,AE216)))</f>
        <v/>
      </c>
      <c r="AF217" s="42" t="str">
        <f aca="false">IF($B217="","",V217-AE217)</f>
        <v/>
      </c>
      <c r="AG217" s="36" t="str">
        <f aca="false">IF($B217="","",IF(O217&lt;&gt;O216,IF(T217="G",1,-1),IF(T217="G",IF(N(AG216)&gt;0,AG216+1,1),IF(N(AG216)&lt;0,AG216-1,-1))))</f>
        <v/>
      </c>
    </row>
    <row r="218" customFormat="false" ht="15" hidden="false" customHeight="false" outlineLevel="0" collapsed="false">
      <c r="A218" s="36" t="str">
        <f aca="false">IF(B218="","",ROW()-6)</f>
        <v/>
      </c>
      <c r="B218" s="37"/>
      <c r="C218" s="38"/>
      <c r="D218" s="38"/>
      <c r="E218" s="39"/>
      <c r="F218" s="39"/>
      <c r="G218" s="39"/>
      <c r="H218" s="40"/>
      <c r="I218" s="40"/>
      <c r="J218" s="40"/>
      <c r="K218" s="40"/>
      <c r="L218" s="39"/>
      <c r="M218" s="40"/>
      <c r="N218" s="40"/>
      <c r="O218" s="36" t="str">
        <f aca="false">IF($B218="","",INT((A218-1)/Parametros!$C$10)+1)</f>
        <v/>
      </c>
      <c r="P218" s="41" t="str">
        <f aca="false">IF($B218="","",IF(OR(C218="",D218=""),"",ROUND((D218-C218)*1440,0)))</f>
        <v/>
      </c>
      <c r="Q218" s="42" t="str">
        <f aca="false">IF($B218="","",I218*VLOOKUP(E218,Parametros!$B$18:$D$24,2,FALSE()))</f>
        <v/>
      </c>
      <c r="R218" s="42" t="str">
        <f aca="false">IF($B218="","",G218*VLOOKUP(E218,Parametros!$B$18:$D$24,3,FALSE()))</f>
        <v/>
      </c>
      <c r="S218" s="42" t="str">
        <f aca="false">IF($B218="","",Q218-R218)</f>
        <v/>
      </c>
      <c r="T218" s="43" t="str">
        <f aca="false">IF($B218="","",IF(S218&gt;0,"G","P"))</f>
        <v/>
      </c>
      <c r="U218" s="44" t="str">
        <f aca="false">IF($B218="","",S218/Parametros!$C$8)</f>
        <v/>
      </c>
      <c r="V218" s="42" t="str">
        <f aca="false">IF($B218="","",Parametros!$C$6+SUM($S$7:S218))</f>
        <v/>
      </c>
      <c r="W218" s="42" t="str">
        <f aca="false">IF($B218="","",MAX(V218,W217))</f>
        <v/>
      </c>
      <c r="X218" s="42" t="str">
        <f aca="false">IF($B218="","",V218-W218)</f>
        <v/>
      </c>
      <c r="Y218" s="45" t="str">
        <f aca="false">IF($B218="","",X218/W218)</f>
        <v/>
      </c>
      <c r="Z218" s="36" t="str">
        <f aca="false">IF($B218="","",IF(T218="G",IF(N(Z217)&gt;0,Z217+1,1),IF(N(Z217)&lt;0,Z217-1,-1)))</f>
        <v/>
      </c>
      <c r="AA218" s="46" t="str">
        <f aca="false">IF($B218="","",B218-WEEKDAY(B218,2)+1)</f>
        <v/>
      </c>
      <c r="AB218" s="47" t="str">
        <f aca="false">IF($B218="","",DATE(YEAR(B218),MONTH(B218),1))</f>
        <v/>
      </c>
      <c r="AC218" s="41" t="str">
        <f aca="false">IF($B218="","",CHOOSE(WEEKDAY(B218,2),"Lunes","Martes","Miércoles","Jueves","Viernes","Sábado","Domingo"))</f>
        <v/>
      </c>
      <c r="AD218" s="36" t="str">
        <f aca="false">IF($B218="","",HOUR(C218))</f>
        <v/>
      </c>
      <c r="AE218" s="42" t="str">
        <f aca="false">IF($B218="","",IF(O218&lt;&gt;O217,MAX(V218-S218,V218),MAX(V218,AE217)))</f>
        <v/>
      </c>
      <c r="AF218" s="42" t="str">
        <f aca="false">IF($B218="","",V218-AE218)</f>
        <v/>
      </c>
      <c r="AG218" s="36" t="str">
        <f aca="false">IF($B218="","",IF(O218&lt;&gt;O217,IF(T218="G",1,-1),IF(T218="G",IF(N(AG217)&gt;0,AG217+1,1),IF(N(AG217)&lt;0,AG217-1,-1))))</f>
        <v/>
      </c>
    </row>
    <row r="219" customFormat="false" ht="15" hidden="false" customHeight="false" outlineLevel="0" collapsed="false">
      <c r="A219" s="36" t="str">
        <f aca="false">IF(B219="","",ROW()-6)</f>
        <v/>
      </c>
      <c r="B219" s="37"/>
      <c r="C219" s="38"/>
      <c r="D219" s="38"/>
      <c r="E219" s="39"/>
      <c r="F219" s="39"/>
      <c r="G219" s="39"/>
      <c r="H219" s="40"/>
      <c r="I219" s="40"/>
      <c r="J219" s="40"/>
      <c r="K219" s="40"/>
      <c r="L219" s="39"/>
      <c r="M219" s="40"/>
      <c r="N219" s="40"/>
      <c r="O219" s="36" t="str">
        <f aca="false">IF($B219="","",INT((A219-1)/Parametros!$C$10)+1)</f>
        <v/>
      </c>
      <c r="P219" s="41" t="str">
        <f aca="false">IF($B219="","",IF(OR(C219="",D219=""),"",ROUND((D219-C219)*1440,0)))</f>
        <v/>
      </c>
      <c r="Q219" s="42" t="str">
        <f aca="false">IF($B219="","",I219*VLOOKUP(E219,Parametros!$B$18:$D$24,2,FALSE()))</f>
        <v/>
      </c>
      <c r="R219" s="42" t="str">
        <f aca="false">IF($B219="","",G219*VLOOKUP(E219,Parametros!$B$18:$D$24,3,FALSE()))</f>
        <v/>
      </c>
      <c r="S219" s="42" t="str">
        <f aca="false">IF($B219="","",Q219-R219)</f>
        <v/>
      </c>
      <c r="T219" s="43" t="str">
        <f aca="false">IF($B219="","",IF(S219&gt;0,"G","P"))</f>
        <v/>
      </c>
      <c r="U219" s="44" t="str">
        <f aca="false">IF($B219="","",S219/Parametros!$C$8)</f>
        <v/>
      </c>
      <c r="V219" s="42" t="str">
        <f aca="false">IF($B219="","",Parametros!$C$6+SUM($S$7:S219))</f>
        <v/>
      </c>
      <c r="W219" s="42" t="str">
        <f aca="false">IF($B219="","",MAX(V219,W218))</f>
        <v/>
      </c>
      <c r="X219" s="42" t="str">
        <f aca="false">IF($B219="","",V219-W219)</f>
        <v/>
      </c>
      <c r="Y219" s="45" t="str">
        <f aca="false">IF($B219="","",X219/W219)</f>
        <v/>
      </c>
      <c r="Z219" s="36" t="str">
        <f aca="false">IF($B219="","",IF(T219="G",IF(N(Z218)&gt;0,Z218+1,1),IF(N(Z218)&lt;0,Z218-1,-1)))</f>
        <v/>
      </c>
      <c r="AA219" s="46" t="str">
        <f aca="false">IF($B219="","",B219-WEEKDAY(B219,2)+1)</f>
        <v/>
      </c>
      <c r="AB219" s="47" t="str">
        <f aca="false">IF($B219="","",DATE(YEAR(B219),MONTH(B219),1))</f>
        <v/>
      </c>
      <c r="AC219" s="41" t="str">
        <f aca="false">IF($B219="","",CHOOSE(WEEKDAY(B219,2),"Lunes","Martes","Miércoles","Jueves","Viernes","Sábado","Domingo"))</f>
        <v/>
      </c>
      <c r="AD219" s="36" t="str">
        <f aca="false">IF($B219="","",HOUR(C219))</f>
        <v/>
      </c>
      <c r="AE219" s="42" t="str">
        <f aca="false">IF($B219="","",IF(O219&lt;&gt;O218,MAX(V219-S219,V219),MAX(V219,AE218)))</f>
        <v/>
      </c>
      <c r="AF219" s="42" t="str">
        <f aca="false">IF($B219="","",V219-AE219)</f>
        <v/>
      </c>
      <c r="AG219" s="36" t="str">
        <f aca="false">IF($B219="","",IF(O219&lt;&gt;O218,IF(T219="G",1,-1),IF(T219="G",IF(N(AG218)&gt;0,AG218+1,1),IF(N(AG218)&lt;0,AG218-1,-1))))</f>
        <v/>
      </c>
    </row>
    <row r="220" customFormat="false" ht="15" hidden="false" customHeight="false" outlineLevel="0" collapsed="false">
      <c r="A220" s="36" t="str">
        <f aca="false">IF(B220="","",ROW()-6)</f>
        <v/>
      </c>
      <c r="B220" s="37"/>
      <c r="C220" s="38"/>
      <c r="D220" s="38"/>
      <c r="E220" s="39"/>
      <c r="F220" s="39"/>
      <c r="G220" s="39"/>
      <c r="H220" s="40"/>
      <c r="I220" s="40"/>
      <c r="J220" s="40"/>
      <c r="K220" s="40"/>
      <c r="L220" s="39"/>
      <c r="M220" s="40"/>
      <c r="N220" s="40"/>
      <c r="O220" s="36" t="str">
        <f aca="false">IF($B220="","",INT((A220-1)/Parametros!$C$10)+1)</f>
        <v/>
      </c>
      <c r="P220" s="41" t="str">
        <f aca="false">IF($B220="","",IF(OR(C220="",D220=""),"",ROUND((D220-C220)*1440,0)))</f>
        <v/>
      </c>
      <c r="Q220" s="42" t="str">
        <f aca="false">IF($B220="","",I220*VLOOKUP(E220,Parametros!$B$18:$D$24,2,FALSE()))</f>
        <v/>
      </c>
      <c r="R220" s="42" t="str">
        <f aca="false">IF($B220="","",G220*VLOOKUP(E220,Parametros!$B$18:$D$24,3,FALSE()))</f>
        <v/>
      </c>
      <c r="S220" s="42" t="str">
        <f aca="false">IF($B220="","",Q220-R220)</f>
        <v/>
      </c>
      <c r="T220" s="43" t="str">
        <f aca="false">IF($B220="","",IF(S220&gt;0,"G","P"))</f>
        <v/>
      </c>
      <c r="U220" s="44" t="str">
        <f aca="false">IF($B220="","",S220/Parametros!$C$8)</f>
        <v/>
      </c>
      <c r="V220" s="42" t="str">
        <f aca="false">IF($B220="","",Parametros!$C$6+SUM($S$7:S220))</f>
        <v/>
      </c>
      <c r="W220" s="42" t="str">
        <f aca="false">IF($B220="","",MAX(V220,W219))</f>
        <v/>
      </c>
      <c r="X220" s="42" t="str">
        <f aca="false">IF($B220="","",V220-W220)</f>
        <v/>
      </c>
      <c r="Y220" s="45" t="str">
        <f aca="false">IF($B220="","",X220/W220)</f>
        <v/>
      </c>
      <c r="Z220" s="36" t="str">
        <f aca="false">IF($B220="","",IF(T220="G",IF(N(Z219)&gt;0,Z219+1,1),IF(N(Z219)&lt;0,Z219-1,-1)))</f>
        <v/>
      </c>
      <c r="AA220" s="46" t="str">
        <f aca="false">IF($B220="","",B220-WEEKDAY(B220,2)+1)</f>
        <v/>
      </c>
      <c r="AB220" s="47" t="str">
        <f aca="false">IF($B220="","",DATE(YEAR(B220),MONTH(B220),1))</f>
        <v/>
      </c>
      <c r="AC220" s="41" t="str">
        <f aca="false">IF($B220="","",CHOOSE(WEEKDAY(B220,2),"Lunes","Martes","Miércoles","Jueves","Viernes","Sábado","Domingo"))</f>
        <v/>
      </c>
      <c r="AD220" s="36" t="str">
        <f aca="false">IF($B220="","",HOUR(C220))</f>
        <v/>
      </c>
      <c r="AE220" s="42" t="str">
        <f aca="false">IF($B220="","",IF(O220&lt;&gt;O219,MAX(V220-S220,V220),MAX(V220,AE219)))</f>
        <v/>
      </c>
      <c r="AF220" s="42" t="str">
        <f aca="false">IF($B220="","",V220-AE220)</f>
        <v/>
      </c>
      <c r="AG220" s="36" t="str">
        <f aca="false">IF($B220="","",IF(O220&lt;&gt;O219,IF(T220="G",1,-1),IF(T220="G",IF(N(AG219)&gt;0,AG219+1,1),IF(N(AG219)&lt;0,AG219-1,-1))))</f>
        <v/>
      </c>
    </row>
    <row r="221" customFormat="false" ht="15" hidden="false" customHeight="false" outlineLevel="0" collapsed="false">
      <c r="A221" s="36" t="str">
        <f aca="false">IF(B221="","",ROW()-6)</f>
        <v/>
      </c>
      <c r="B221" s="37"/>
      <c r="C221" s="38"/>
      <c r="D221" s="38"/>
      <c r="E221" s="39"/>
      <c r="F221" s="39"/>
      <c r="G221" s="39"/>
      <c r="H221" s="40"/>
      <c r="I221" s="40"/>
      <c r="J221" s="40"/>
      <c r="K221" s="40"/>
      <c r="L221" s="39"/>
      <c r="M221" s="40"/>
      <c r="N221" s="40"/>
      <c r="O221" s="36" t="str">
        <f aca="false">IF($B221="","",INT((A221-1)/Parametros!$C$10)+1)</f>
        <v/>
      </c>
      <c r="P221" s="41" t="str">
        <f aca="false">IF($B221="","",IF(OR(C221="",D221=""),"",ROUND((D221-C221)*1440,0)))</f>
        <v/>
      </c>
      <c r="Q221" s="42" t="str">
        <f aca="false">IF($B221="","",I221*VLOOKUP(E221,Parametros!$B$18:$D$24,2,FALSE()))</f>
        <v/>
      </c>
      <c r="R221" s="42" t="str">
        <f aca="false">IF($B221="","",G221*VLOOKUP(E221,Parametros!$B$18:$D$24,3,FALSE()))</f>
        <v/>
      </c>
      <c r="S221" s="42" t="str">
        <f aca="false">IF($B221="","",Q221-R221)</f>
        <v/>
      </c>
      <c r="T221" s="43" t="str">
        <f aca="false">IF($B221="","",IF(S221&gt;0,"G","P"))</f>
        <v/>
      </c>
      <c r="U221" s="44" t="str">
        <f aca="false">IF($B221="","",S221/Parametros!$C$8)</f>
        <v/>
      </c>
      <c r="V221" s="42" t="str">
        <f aca="false">IF($B221="","",Parametros!$C$6+SUM($S$7:S221))</f>
        <v/>
      </c>
      <c r="W221" s="42" t="str">
        <f aca="false">IF($B221="","",MAX(V221,W220))</f>
        <v/>
      </c>
      <c r="X221" s="42" t="str">
        <f aca="false">IF($B221="","",V221-W221)</f>
        <v/>
      </c>
      <c r="Y221" s="45" t="str">
        <f aca="false">IF($B221="","",X221/W221)</f>
        <v/>
      </c>
      <c r="Z221" s="36" t="str">
        <f aca="false">IF($B221="","",IF(T221="G",IF(N(Z220)&gt;0,Z220+1,1),IF(N(Z220)&lt;0,Z220-1,-1)))</f>
        <v/>
      </c>
      <c r="AA221" s="46" t="str">
        <f aca="false">IF($B221="","",B221-WEEKDAY(B221,2)+1)</f>
        <v/>
      </c>
      <c r="AB221" s="47" t="str">
        <f aca="false">IF($B221="","",DATE(YEAR(B221),MONTH(B221),1))</f>
        <v/>
      </c>
      <c r="AC221" s="41" t="str">
        <f aca="false">IF($B221="","",CHOOSE(WEEKDAY(B221,2),"Lunes","Martes","Miércoles","Jueves","Viernes","Sábado","Domingo"))</f>
        <v/>
      </c>
      <c r="AD221" s="36" t="str">
        <f aca="false">IF($B221="","",HOUR(C221))</f>
        <v/>
      </c>
      <c r="AE221" s="42" t="str">
        <f aca="false">IF($B221="","",IF(O221&lt;&gt;O220,MAX(V221-S221,V221),MAX(V221,AE220)))</f>
        <v/>
      </c>
      <c r="AF221" s="42" t="str">
        <f aca="false">IF($B221="","",V221-AE221)</f>
        <v/>
      </c>
      <c r="AG221" s="36" t="str">
        <f aca="false">IF($B221="","",IF(O221&lt;&gt;O220,IF(T221="G",1,-1),IF(T221="G",IF(N(AG220)&gt;0,AG220+1,1),IF(N(AG220)&lt;0,AG220-1,-1))))</f>
        <v/>
      </c>
    </row>
    <row r="222" customFormat="false" ht="15" hidden="false" customHeight="false" outlineLevel="0" collapsed="false">
      <c r="A222" s="36" t="str">
        <f aca="false">IF(B222="","",ROW()-6)</f>
        <v/>
      </c>
      <c r="B222" s="37"/>
      <c r="C222" s="38"/>
      <c r="D222" s="38"/>
      <c r="E222" s="39"/>
      <c r="F222" s="39"/>
      <c r="G222" s="39"/>
      <c r="H222" s="40"/>
      <c r="I222" s="40"/>
      <c r="J222" s="40"/>
      <c r="K222" s="40"/>
      <c r="L222" s="39"/>
      <c r="M222" s="40"/>
      <c r="N222" s="40"/>
      <c r="O222" s="36" t="str">
        <f aca="false">IF($B222="","",INT((A222-1)/Parametros!$C$10)+1)</f>
        <v/>
      </c>
      <c r="P222" s="41" t="str">
        <f aca="false">IF($B222="","",IF(OR(C222="",D222=""),"",ROUND((D222-C222)*1440,0)))</f>
        <v/>
      </c>
      <c r="Q222" s="42" t="str">
        <f aca="false">IF($B222="","",I222*VLOOKUP(E222,Parametros!$B$18:$D$24,2,FALSE()))</f>
        <v/>
      </c>
      <c r="R222" s="42" t="str">
        <f aca="false">IF($B222="","",G222*VLOOKUP(E222,Parametros!$B$18:$D$24,3,FALSE()))</f>
        <v/>
      </c>
      <c r="S222" s="42" t="str">
        <f aca="false">IF($B222="","",Q222-R222)</f>
        <v/>
      </c>
      <c r="T222" s="43" t="str">
        <f aca="false">IF($B222="","",IF(S222&gt;0,"G","P"))</f>
        <v/>
      </c>
      <c r="U222" s="44" t="str">
        <f aca="false">IF($B222="","",S222/Parametros!$C$8)</f>
        <v/>
      </c>
      <c r="V222" s="42" t="str">
        <f aca="false">IF($B222="","",Parametros!$C$6+SUM($S$7:S222))</f>
        <v/>
      </c>
      <c r="W222" s="42" t="str">
        <f aca="false">IF($B222="","",MAX(V222,W221))</f>
        <v/>
      </c>
      <c r="X222" s="42" t="str">
        <f aca="false">IF($B222="","",V222-W222)</f>
        <v/>
      </c>
      <c r="Y222" s="45" t="str">
        <f aca="false">IF($B222="","",X222/W222)</f>
        <v/>
      </c>
      <c r="Z222" s="36" t="str">
        <f aca="false">IF($B222="","",IF(T222="G",IF(N(Z221)&gt;0,Z221+1,1),IF(N(Z221)&lt;0,Z221-1,-1)))</f>
        <v/>
      </c>
      <c r="AA222" s="46" t="str">
        <f aca="false">IF($B222="","",B222-WEEKDAY(B222,2)+1)</f>
        <v/>
      </c>
      <c r="AB222" s="47" t="str">
        <f aca="false">IF($B222="","",DATE(YEAR(B222),MONTH(B222),1))</f>
        <v/>
      </c>
      <c r="AC222" s="41" t="str">
        <f aca="false">IF($B222="","",CHOOSE(WEEKDAY(B222,2),"Lunes","Martes","Miércoles","Jueves","Viernes","Sábado","Domingo"))</f>
        <v/>
      </c>
      <c r="AD222" s="36" t="str">
        <f aca="false">IF($B222="","",HOUR(C222))</f>
        <v/>
      </c>
      <c r="AE222" s="42" t="str">
        <f aca="false">IF($B222="","",IF(O222&lt;&gt;O221,MAX(V222-S222,V222),MAX(V222,AE221)))</f>
        <v/>
      </c>
      <c r="AF222" s="42" t="str">
        <f aca="false">IF($B222="","",V222-AE222)</f>
        <v/>
      </c>
      <c r="AG222" s="36" t="str">
        <f aca="false">IF($B222="","",IF(O222&lt;&gt;O221,IF(T222="G",1,-1),IF(T222="G",IF(N(AG221)&gt;0,AG221+1,1),IF(N(AG221)&lt;0,AG221-1,-1))))</f>
        <v/>
      </c>
    </row>
    <row r="223" customFormat="false" ht="15" hidden="false" customHeight="false" outlineLevel="0" collapsed="false">
      <c r="A223" s="36" t="str">
        <f aca="false">IF(B223="","",ROW()-6)</f>
        <v/>
      </c>
      <c r="B223" s="37"/>
      <c r="C223" s="38"/>
      <c r="D223" s="38"/>
      <c r="E223" s="39"/>
      <c r="F223" s="39"/>
      <c r="G223" s="39"/>
      <c r="H223" s="40"/>
      <c r="I223" s="40"/>
      <c r="J223" s="40"/>
      <c r="K223" s="40"/>
      <c r="L223" s="39"/>
      <c r="M223" s="40"/>
      <c r="N223" s="40"/>
      <c r="O223" s="36" t="str">
        <f aca="false">IF($B223="","",INT((A223-1)/Parametros!$C$10)+1)</f>
        <v/>
      </c>
      <c r="P223" s="41" t="str">
        <f aca="false">IF($B223="","",IF(OR(C223="",D223=""),"",ROUND((D223-C223)*1440,0)))</f>
        <v/>
      </c>
      <c r="Q223" s="42" t="str">
        <f aca="false">IF($B223="","",I223*VLOOKUP(E223,Parametros!$B$18:$D$24,2,FALSE()))</f>
        <v/>
      </c>
      <c r="R223" s="42" t="str">
        <f aca="false">IF($B223="","",G223*VLOOKUP(E223,Parametros!$B$18:$D$24,3,FALSE()))</f>
        <v/>
      </c>
      <c r="S223" s="42" t="str">
        <f aca="false">IF($B223="","",Q223-R223)</f>
        <v/>
      </c>
      <c r="T223" s="43" t="str">
        <f aca="false">IF($B223="","",IF(S223&gt;0,"G","P"))</f>
        <v/>
      </c>
      <c r="U223" s="44" t="str">
        <f aca="false">IF($B223="","",S223/Parametros!$C$8)</f>
        <v/>
      </c>
      <c r="V223" s="42" t="str">
        <f aca="false">IF($B223="","",Parametros!$C$6+SUM($S$7:S223))</f>
        <v/>
      </c>
      <c r="W223" s="42" t="str">
        <f aca="false">IF($B223="","",MAX(V223,W222))</f>
        <v/>
      </c>
      <c r="X223" s="42" t="str">
        <f aca="false">IF($B223="","",V223-W223)</f>
        <v/>
      </c>
      <c r="Y223" s="45" t="str">
        <f aca="false">IF($B223="","",X223/W223)</f>
        <v/>
      </c>
      <c r="Z223" s="36" t="str">
        <f aca="false">IF($B223="","",IF(T223="G",IF(N(Z222)&gt;0,Z222+1,1),IF(N(Z222)&lt;0,Z222-1,-1)))</f>
        <v/>
      </c>
      <c r="AA223" s="46" t="str">
        <f aca="false">IF($B223="","",B223-WEEKDAY(B223,2)+1)</f>
        <v/>
      </c>
      <c r="AB223" s="47" t="str">
        <f aca="false">IF($B223="","",DATE(YEAR(B223),MONTH(B223),1))</f>
        <v/>
      </c>
      <c r="AC223" s="41" t="str">
        <f aca="false">IF($B223="","",CHOOSE(WEEKDAY(B223,2),"Lunes","Martes","Miércoles","Jueves","Viernes","Sábado","Domingo"))</f>
        <v/>
      </c>
      <c r="AD223" s="36" t="str">
        <f aca="false">IF($B223="","",HOUR(C223))</f>
        <v/>
      </c>
      <c r="AE223" s="42" t="str">
        <f aca="false">IF($B223="","",IF(O223&lt;&gt;O222,MAX(V223-S223,V223),MAX(V223,AE222)))</f>
        <v/>
      </c>
      <c r="AF223" s="42" t="str">
        <f aca="false">IF($B223="","",V223-AE223)</f>
        <v/>
      </c>
      <c r="AG223" s="36" t="str">
        <f aca="false">IF($B223="","",IF(O223&lt;&gt;O222,IF(T223="G",1,-1),IF(T223="G",IF(N(AG222)&gt;0,AG222+1,1),IF(N(AG222)&lt;0,AG222-1,-1))))</f>
        <v/>
      </c>
    </row>
    <row r="224" customFormat="false" ht="15" hidden="false" customHeight="false" outlineLevel="0" collapsed="false">
      <c r="A224" s="36" t="str">
        <f aca="false">IF(B224="","",ROW()-6)</f>
        <v/>
      </c>
      <c r="B224" s="37"/>
      <c r="C224" s="38"/>
      <c r="D224" s="38"/>
      <c r="E224" s="39"/>
      <c r="F224" s="39"/>
      <c r="G224" s="39"/>
      <c r="H224" s="40"/>
      <c r="I224" s="40"/>
      <c r="J224" s="40"/>
      <c r="K224" s="40"/>
      <c r="L224" s="39"/>
      <c r="M224" s="40"/>
      <c r="N224" s="40"/>
      <c r="O224" s="36" t="str">
        <f aca="false">IF($B224="","",INT((A224-1)/Parametros!$C$10)+1)</f>
        <v/>
      </c>
      <c r="P224" s="41" t="str">
        <f aca="false">IF($B224="","",IF(OR(C224="",D224=""),"",ROUND((D224-C224)*1440,0)))</f>
        <v/>
      </c>
      <c r="Q224" s="42" t="str">
        <f aca="false">IF($B224="","",I224*VLOOKUP(E224,Parametros!$B$18:$D$24,2,FALSE()))</f>
        <v/>
      </c>
      <c r="R224" s="42" t="str">
        <f aca="false">IF($B224="","",G224*VLOOKUP(E224,Parametros!$B$18:$D$24,3,FALSE()))</f>
        <v/>
      </c>
      <c r="S224" s="42" t="str">
        <f aca="false">IF($B224="","",Q224-R224)</f>
        <v/>
      </c>
      <c r="T224" s="43" t="str">
        <f aca="false">IF($B224="","",IF(S224&gt;0,"G","P"))</f>
        <v/>
      </c>
      <c r="U224" s="44" t="str">
        <f aca="false">IF($B224="","",S224/Parametros!$C$8)</f>
        <v/>
      </c>
      <c r="V224" s="42" t="str">
        <f aca="false">IF($B224="","",Parametros!$C$6+SUM($S$7:S224))</f>
        <v/>
      </c>
      <c r="W224" s="42" t="str">
        <f aca="false">IF($B224="","",MAX(V224,W223))</f>
        <v/>
      </c>
      <c r="X224" s="42" t="str">
        <f aca="false">IF($B224="","",V224-W224)</f>
        <v/>
      </c>
      <c r="Y224" s="45" t="str">
        <f aca="false">IF($B224="","",X224/W224)</f>
        <v/>
      </c>
      <c r="Z224" s="36" t="str">
        <f aca="false">IF($B224="","",IF(T224="G",IF(N(Z223)&gt;0,Z223+1,1),IF(N(Z223)&lt;0,Z223-1,-1)))</f>
        <v/>
      </c>
      <c r="AA224" s="46" t="str">
        <f aca="false">IF($B224="","",B224-WEEKDAY(B224,2)+1)</f>
        <v/>
      </c>
      <c r="AB224" s="47" t="str">
        <f aca="false">IF($B224="","",DATE(YEAR(B224),MONTH(B224),1))</f>
        <v/>
      </c>
      <c r="AC224" s="41" t="str">
        <f aca="false">IF($B224="","",CHOOSE(WEEKDAY(B224,2),"Lunes","Martes","Miércoles","Jueves","Viernes","Sábado","Domingo"))</f>
        <v/>
      </c>
      <c r="AD224" s="36" t="str">
        <f aca="false">IF($B224="","",HOUR(C224))</f>
        <v/>
      </c>
      <c r="AE224" s="42" t="str">
        <f aca="false">IF($B224="","",IF(O224&lt;&gt;O223,MAX(V224-S224,V224),MAX(V224,AE223)))</f>
        <v/>
      </c>
      <c r="AF224" s="42" t="str">
        <f aca="false">IF($B224="","",V224-AE224)</f>
        <v/>
      </c>
      <c r="AG224" s="36" t="str">
        <f aca="false">IF($B224="","",IF(O224&lt;&gt;O223,IF(T224="G",1,-1),IF(T224="G",IF(N(AG223)&gt;0,AG223+1,1),IF(N(AG223)&lt;0,AG223-1,-1))))</f>
        <v/>
      </c>
    </row>
    <row r="225" customFormat="false" ht="15" hidden="false" customHeight="false" outlineLevel="0" collapsed="false">
      <c r="A225" s="36" t="str">
        <f aca="false">IF(B225="","",ROW()-6)</f>
        <v/>
      </c>
      <c r="B225" s="37"/>
      <c r="C225" s="38"/>
      <c r="D225" s="38"/>
      <c r="E225" s="39"/>
      <c r="F225" s="39"/>
      <c r="G225" s="39"/>
      <c r="H225" s="40"/>
      <c r="I225" s="40"/>
      <c r="J225" s="40"/>
      <c r="K225" s="40"/>
      <c r="L225" s="39"/>
      <c r="M225" s="40"/>
      <c r="N225" s="40"/>
      <c r="O225" s="36" t="str">
        <f aca="false">IF($B225="","",INT((A225-1)/Parametros!$C$10)+1)</f>
        <v/>
      </c>
      <c r="P225" s="41" t="str">
        <f aca="false">IF($B225="","",IF(OR(C225="",D225=""),"",ROUND((D225-C225)*1440,0)))</f>
        <v/>
      </c>
      <c r="Q225" s="42" t="str">
        <f aca="false">IF($B225="","",I225*VLOOKUP(E225,Parametros!$B$18:$D$24,2,FALSE()))</f>
        <v/>
      </c>
      <c r="R225" s="42" t="str">
        <f aca="false">IF($B225="","",G225*VLOOKUP(E225,Parametros!$B$18:$D$24,3,FALSE()))</f>
        <v/>
      </c>
      <c r="S225" s="42" t="str">
        <f aca="false">IF($B225="","",Q225-R225)</f>
        <v/>
      </c>
      <c r="T225" s="43" t="str">
        <f aca="false">IF($B225="","",IF(S225&gt;0,"G","P"))</f>
        <v/>
      </c>
      <c r="U225" s="44" t="str">
        <f aca="false">IF($B225="","",S225/Parametros!$C$8)</f>
        <v/>
      </c>
      <c r="V225" s="42" t="str">
        <f aca="false">IF($B225="","",Parametros!$C$6+SUM($S$7:S225))</f>
        <v/>
      </c>
      <c r="W225" s="42" t="str">
        <f aca="false">IF($B225="","",MAX(V225,W224))</f>
        <v/>
      </c>
      <c r="X225" s="42" t="str">
        <f aca="false">IF($B225="","",V225-W225)</f>
        <v/>
      </c>
      <c r="Y225" s="45" t="str">
        <f aca="false">IF($B225="","",X225/W225)</f>
        <v/>
      </c>
      <c r="Z225" s="36" t="str">
        <f aca="false">IF($B225="","",IF(T225="G",IF(N(Z224)&gt;0,Z224+1,1),IF(N(Z224)&lt;0,Z224-1,-1)))</f>
        <v/>
      </c>
      <c r="AA225" s="46" t="str">
        <f aca="false">IF($B225="","",B225-WEEKDAY(B225,2)+1)</f>
        <v/>
      </c>
      <c r="AB225" s="47" t="str">
        <f aca="false">IF($B225="","",DATE(YEAR(B225),MONTH(B225),1))</f>
        <v/>
      </c>
      <c r="AC225" s="41" t="str">
        <f aca="false">IF($B225="","",CHOOSE(WEEKDAY(B225,2),"Lunes","Martes","Miércoles","Jueves","Viernes","Sábado","Domingo"))</f>
        <v/>
      </c>
      <c r="AD225" s="36" t="str">
        <f aca="false">IF($B225="","",HOUR(C225))</f>
        <v/>
      </c>
      <c r="AE225" s="42" t="str">
        <f aca="false">IF($B225="","",IF(O225&lt;&gt;O224,MAX(V225-S225,V225),MAX(V225,AE224)))</f>
        <v/>
      </c>
      <c r="AF225" s="42" t="str">
        <f aca="false">IF($B225="","",V225-AE225)</f>
        <v/>
      </c>
      <c r="AG225" s="36" t="str">
        <f aca="false">IF($B225="","",IF(O225&lt;&gt;O224,IF(T225="G",1,-1),IF(T225="G",IF(N(AG224)&gt;0,AG224+1,1),IF(N(AG224)&lt;0,AG224-1,-1))))</f>
        <v/>
      </c>
    </row>
    <row r="226" customFormat="false" ht="15" hidden="false" customHeight="false" outlineLevel="0" collapsed="false">
      <c r="A226" s="36" t="str">
        <f aca="false">IF(B226="","",ROW()-6)</f>
        <v/>
      </c>
      <c r="B226" s="37"/>
      <c r="C226" s="38"/>
      <c r="D226" s="38"/>
      <c r="E226" s="39"/>
      <c r="F226" s="39"/>
      <c r="G226" s="39"/>
      <c r="H226" s="40"/>
      <c r="I226" s="40"/>
      <c r="J226" s="40"/>
      <c r="K226" s="40"/>
      <c r="L226" s="39"/>
      <c r="M226" s="40"/>
      <c r="N226" s="40"/>
      <c r="O226" s="36" t="str">
        <f aca="false">IF($B226="","",INT((A226-1)/Parametros!$C$10)+1)</f>
        <v/>
      </c>
      <c r="P226" s="41" t="str">
        <f aca="false">IF($B226="","",IF(OR(C226="",D226=""),"",ROUND((D226-C226)*1440,0)))</f>
        <v/>
      </c>
      <c r="Q226" s="42" t="str">
        <f aca="false">IF($B226="","",I226*VLOOKUP(E226,Parametros!$B$18:$D$24,2,FALSE()))</f>
        <v/>
      </c>
      <c r="R226" s="42" t="str">
        <f aca="false">IF($B226="","",G226*VLOOKUP(E226,Parametros!$B$18:$D$24,3,FALSE()))</f>
        <v/>
      </c>
      <c r="S226" s="42" t="str">
        <f aca="false">IF($B226="","",Q226-R226)</f>
        <v/>
      </c>
      <c r="T226" s="43" t="str">
        <f aca="false">IF($B226="","",IF(S226&gt;0,"G","P"))</f>
        <v/>
      </c>
      <c r="U226" s="44" t="str">
        <f aca="false">IF($B226="","",S226/Parametros!$C$8)</f>
        <v/>
      </c>
      <c r="V226" s="42" t="str">
        <f aca="false">IF($B226="","",Parametros!$C$6+SUM($S$7:S226))</f>
        <v/>
      </c>
      <c r="W226" s="42" t="str">
        <f aca="false">IF($B226="","",MAX(V226,W225))</f>
        <v/>
      </c>
      <c r="X226" s="42" t="str">
        <f aca="false">IF($B226="","",V226-W226)</f>
        <v/>
      </c>
      <c r="Y226" s="45" t="str">
        <f aca="false">IF($B226="","",X226/W226)</f>
        <v/>
      </c>
      <c r="Z226" s="36" t="str">
        <f aca="false">IF($B226="","",IF(T226="G",IF(N(Z225)&gt;0,Z225+1,1),IF(N(Z225)&lt;0,Z225-1,-1)))</f>
        <v/>
      </c>
      <c r="AA226" s="46" t="str">
        <f aca="false">IF($B226="","",B226-WEEKDAY(B226,2)+1)</f>
        <v/>
      </c>
      <c r="AB226" s="47" t="str">
        <f aca="false">IF($B226="","",DATE(YEAR(B226),MONTH(B226),1))</f>
        <v/>
      </c>
      <c r="AC226" s="41" t="str">
        <f aca="false">IF($B226="","",CHOOSE(WEEKDAY(B226,2),"Lunes","Martes","Miércoles","Jueves","Viernes","Sábado","Domingo"))</f>
        <v/>
      </c>
      <c r="AD226" s="36" t="str">
        <f aca="false">IF($B226="","",HOUR(C226))</f>
        <v/>
      </c>
      <c r="AE226" s="42" t="str">
        <f aca="false">IF($B226="","",IF(O226&lt;&gt;O225,MAX(V226-S226,V226),MAX(V226,AE225)))</f>
        <v/>
      </c>
      <c r="AF226" s="42" t="str">
        <f aca="false">IF($B226="","",V226-AE226)</f>
        <v/>
      </c>
      <c r="AG226" s="36" t="str">
        <f aca="false">IF($B226="","",IF(O226&lt;&gt;O225,IF(T226="G",1,-1),IF(T226="G",IF(N(AG225)&gt;0,AG225+1,1),IF(N(AG225)&lt;0,AG225-1,-1))))</f>
        <v/>
      </c>
    </row>
    <row r="227" customFormat="false" ht="15" hidden="false" customHeight="false" outlineLevel="0" collapsed="false">
      <c r="A227" s="36" t="str">
        <f aca="false">IF(B227="","",ROW()-6)</f>
        <v/>
      </c>
      <c r="B227" s="37"/>
      <c r="C227" s="38"/>
      <c r="D227" s="38"/>
      <c r="E227" s="39"/>
      <c r="F227" s="39"/>
      <c r="G227" s="39"/>
      <c r="H227" s="40"/>
      <c r="I227" s="40"/>
      <c r="J227" s="40"/>
      <c r="K227" s="40"/>
      <c r="L227" s="39"/>
      <c r="M227" s="40"/>
      <c r="N227" s="40"/>
      <c r="O227" s="36" t="str">
        <f aca="false">IF($B227="","",INT((A227-1)/Parametros!$C$10)+1)</f>
        <v/>
      </c>
      <c r="P227" s="41" t="str">
        <f aca="false">IF($B227="","",IF(OR(C227="",D227=""),"",ROUND((D227-C227)*1440,0)))</f>
        <v/>
      </c>
      <c r="Q227" s="42" t="str">
        <f aca="false">IF($B227="","",I227*VLOOKUP(E227,Parametros!$B$18:$D$24,2,FALSE()))</f>
        <v/>
      </c>
      <c r="R227" s="42" t="str">
        <f aca="false">IF($B227="","",G227*VLOOKUP(E227,Parametros!$B$18:$D$24,3,FALSE()))</f>
        <v/>
      </c>
      <c r="S227" s="42" t="str">
        <f aca="false">IF($B227="","",Q227-R227)</f>
        <v/>
      </c>
      <c r="T227" s="43" t="str">
        <f aca="false">IF($B227="","",IF(S227&gt;0,"G","P"))</f>
        <v/>
      </c>
      <c r="U227" s="44" t="str">
        <f aca="false">IF($B227="","",S227/Parametros!$C$8)</f>
        <v/>
      </c>
      <c r="V227" s="42" t="str">
        <f aca="false">IF($B227="","",Parametros!$C$6+SUM($S$7:S227))</f>
        <v/>
      </c>
      <c r="W227" s="42" t="str">
        <f aca="false">IF($B227="","",MAX(V227,W226))</f>
        <v/>
      </c>
      <c r="X227" s="42" t="str">
        <f aca="false">IF($B227="","",V227-W227)</f>
        <v/>
      </c>
      <c r="Y227" s="45" t="str">
        <f aca="false">IF($B227="","",X227/W227)</f>
        <v/>
      </c>
      <c r="Z227" s="36" t="str">
        <f aca="false">IF($B227="","",IF(T227="G",IF(N(Z226)&gt;0,Z226+1,1),IF(N(Z226)&lt;0,Z226-1,-1)))</f>
        <v/>
      </c>
      <c r="AA227" s="46" t="str">
        <f aca="false">IF($B227="","",B227-WEEKDAY(B227,2)+1)</f>
        <v/>
      </c>
      <c r="AB227" s="47" t="str">
        <f aca="false">IF($B227="","",DATE(YEAR(B227),MONTH(B227),1))</f>
        <v/>
      </c>
      <c r="AC227" s="41" t="str">
        <f aca="false">IF($B227="","",CHOOSE(WEEKDAY(B227,2),"Lunes","Martes","Miércoles","Jueves","Viernes","Sábado","Domingo"))</f>
        <v/>
      </c>
      <c r="AD227" s="36" t="str">
        <f aca="false">IF($B227="","",HOUR(C227))</f>
        <v/>
      </c>
      <c r="AE227" s="42" t="str">
        <f aca="false">IF($B227="","",IF(O227&lt;&gt;O226,MAX(V227-S227,V227),MAX(V227,AE226)))</f>
        <v/>
      </c>
      <c r="AF227" s="42" t="str">
        <f aca="false">IF($B227="","",V227-AE227)</f>
        <v/>
      </c>
      <c r="AG227" s="36" t="str">
        <f aca="false">IF($B227="","",IF(O227&lt;&gt;O226,IF(T227="G",1,-1),IF(T227="G",IF(N(AG226)&gt;0,AG226+1,1),IF(N(AG226)&lt;0,AG226-1,-1))))</f>
        <v/>
      </c>
    </row>
    <row r="228" customFormat="false" ht="15" hidden="false" customHeight="false" outlineLevel="0" collapsed="false">
      <c r="A228" s="36" t="str">
        <f aca="false">IF(B228="","",ROW()-6)</f>
        <v/>
      </c>
      <c r="B228" s="37"/>
      <c r="C228" s="38"/>
      <c r="D228" s="38"/>
      <c r="E228" s="39"/>
      <c r="F228" s="39"/>
      <c r="G228" s="39"/>
      <c r="H228" s="40"/>
      <c r="I228" s="40"/>
      <c r="J228" s="40"/>
      <c r="K228" s="40"/>
      <c r="L228" s="39"/>
      <c r="M228" s="40"/>
      <c r="N228" s="40"/>
      <c r="O228" s="36" t="str">
        <f aca="false">IF($B228="","",INT((A228-1)/Parametros!$C$10)+1)</f>
        <v/>
      </c>
      <c r="P228" s="41" t="str">
        <f aca="false">IF($B228="","",IF(OR(C228="",D228=""),"",ROUND((D228-C228)*1440,0)))</f>
        <v/>
      </c>
      <c r="Q228" s="42" t="str">
        <f aca="false">IF($B228="","",I228*VLOOKUP(E228,Parametros!$B$18:$D$24,2,FALSE()))</f>
        <v/>
      </c>
      <c r="R228" s="42" t="str">
        <f aca="false">IF($B228="","",G228*VLOOKUP(E228,Parametros!$B$18:$D$24,3,FALSE()))</f>
        <v/>
      </c>
      <c r="S228" s="42" t="str">
        <f aca="false">IF($B228="","",Q228-R228)</f>
        <v/>
      </c>
      <c r="T228" s="43" t="str">
        <f aca="false">IF($B228="","",IF(S228&gt;0,"G","P"))</f>
        <v/>
      </c>
      <c r="U228" s="44" t="str">
        <f aca="false">IF($B228="","",S228/Parametros!$C$8)</f>
        <v/>
      </c>
      <c r="V228" s="42" t="str">
        <f aca="false">IF($B228="","",Parametros!$C$6+SUM($S$7:S228))</f>
        <v/>
      </c>
      <c r="W228" s="42" t="str">
        <f aca="false">IF($B228="","",MAX(V228,W227))</f>
        <v/>
      </c>
      <c r="X228" s="42" t="str">
        <f aca="false">IF($B228="","",V228-W228)</f>
        <v/>
      </c>
      <c r="Y228" s="45" t="str">
        <f aca="false">IF($B228="","",X228/W228)</f>
        <v/>
      </c>
      <c r="Z228" s="36" t="str">
        <f aca="false">IF($B228="","",IF(T228="G",IF(N(Z227)&gt;0,Z227+1,1),IF(N(Z227)&lt;0,Z227-1,-1)))</f>
        <v/>
      </c>
      <c r="AA228" s="46" t="str">
        <f aca="false">IF($B228="","",B228-WEEKDAY(B228,2)+1)</f>
        <v/>
      </c>
      <c r="AB228" s="47" t="str">
        <f aca="false">IF($B228="","",DATE(YEAR(B228),MONTH(B228),1))</f>
        <v/>
      </c>
      <c r="AC228" s="41" t="str">
        <f aca="false">IF($B228="","",CHOOSE(WEEKDAY(B228,2),"Lunes","Martes","Miércoles","Jueves","Viernes","Sábado","Domingo"))</f>
        <v/>
      </c>
      <c r="AD228" s="36" t="str">
        <f aca="false">IF($B228="","",HOUR(C228))</f>
        <v/>
      </c>
      <c r="AE228" s="42" t="str">
        <f aca="false">IF($B228="","",IF(O228&lt;&gt;O227,MAX(V228-S228,V228),MAX(V228,AE227)))</f>
        <v/>
      </c>
      <c r="AF228" s="42" t="str">
        <f aca="false">IF($B228="","",V228-AE228)</f>
        <v/>
      </c>
      <c r="AG228" s="36" t="str">
        <f aca="false">IF($B228="","",IF(O228&lt;&gt;O227,IF(T228="G",1,-1),IF(T228="G",IF(N(AG227)&gt;0,AG227+1,1),IF(N(AG227)&lt;0,AG227-1,-1))))</f>
        <v/>
      </c>
    </row>
    <row r="229" customFormat="false" ht="15" hidden="false" customHeight="false" outlineLevel="0" collapsed="false">
      <c r="A229" s="36" t="str">
        <f aca="false">IF(B229="","",ROW()-6)</f>
        <v/>
      </c>
      <c r="B229" s="37"/>
      <c r="C229" s="38"/>
      <c r="D229" s="38"/>
      <c r="E229" s="39"/>
      <c r="F229" s="39"/>
      <c r="G229" s="39"/>
      <c r="H229" s="40"/>
      <c r="I229" s="40"/>
      <c r="J229" s="40"/>
      <c r="K229" s="40"/>
      <c r="L229" s="39"/>
      <c r="M229" s="40"/>
      <c r="N229" s="40"/>
      <c r="O229" s="36" t="str">
        <f aca="false">IF($B229="","",INT((A229-1)/Parametros!$C$10)+1)</f>
        <v/>
      </c>
      <c r="P229" s="41" t="str">
        <f aca="false">IF($B229="","",IF(OR(C229="",D229=""),"",ROUND((D229-C229)*1440,0)))</f>
        <v/>
      </c>
      <c r="Q229" s="42" t="str">
        <f aca="false">IF($B229="","",I229*VLOOKUP(E229,Parametros!$B$18:$D$24,2,FALSE()))</f>
        <v/>
      </c>
      <c r="R229" s="42" t="str">
        <f aca="false">IF($B229="","",G229*VLOOKUP(E229,Parametros!$B$18:$D$24,3,FALSE()))</f>
        <v/>
      </c>
      <c r="S229" s="42" t="str">
        <f aca="false">IF($B229="","",Q229-R229)</f>
        <v/>
      </c>
      <c r="T229" s="43" t="str">
        <f aca="false">IF($B229="","",IF(S229&gt;0,"G","P"))</f>
        <v/>
      </c>
      <c r="U229" s="44" t="str">
        <f aca="false">IF($B229="","",S229/Parametros!$C$8)</f>
        <v/>
      </c>
      <c r="V229" s="42" t="str">
        <f aca="false">IF($B229="","",Parametros!$C$6+SUM($S$7:S229))</f>
        <v/>
      </c>
      <c r="W229" s="42" t="str">
        <f aca="false">IF($B229="","",MAX(V229,W228))</f>
        <v/>
      </c>
      <c r="X229" s="42" t="str">
        <f aca="false">IF($B229="","",V229-W229)</f>
        <v/>
      </c>
      <c r="Y229" s="45" t="str">
        <f aca="false">IF($B229="","",X229/W229)</f>
        <v/>
      </c>
      <c r="Z229" s="36" t="str">
        <f aca="false">IF($B229="","",IF(T229="G",IF(N(Z228)&gt;0,Z228+1,1),IF(N(Z228)&lt;0,Z228-1,-1)))</f>
        <v/>
      </c>
      <c r="AA229" s="46" t="str">
        <f aca="false">IF($B229="","",B229-WEEKDAY(B229,2)+1)</f>
        <v/>
      </c>
      <c r="AB229" s="47" t="str">
        <f aca="false">IF($B229="","",DATE(YEAR(B229),MONTH(B229),1))</f>
        <v/>
      </c>
      <c r="AC229" s="41" t="str">
        <f aca="false">IF($B229="","",CHOOSE(WEEKDAY(B229,2),"Lunes","Martes","Miércoles","Jueves","Viernes","Sábado","Domingo"))</f>
        <v/>
      </c>
      <c r="AD229" s="36" t="str">
        <f aca="false">IF($B229="","",HOUR(C229))</f>
        <v/>
      </c>
      <c r="AE229" s="42" t="str">
        <f aca="false">IF($B229="","",IF(O229&lt;&gt;O228,MAX(V229-S229,V229),MAX(V229,AE228)))</f>
        <v/>
      </c>
      <c r="AF229" s="42" t="str">
        <f aca="false">IF($B229="","",V229-AE229)</f>
        <v/>
      </c>
      <c r="AG229" s="36" t="str">
        <f aca="false">IF($B229="","",IF(O229&lt;&gt;O228,IF(T229="G",1,-1),IF(T229="G",IF(N(AG228)&gt;0,AG228+1,1),IF(N(AG228)&lt;0,AG228-1,-1))))</f>
        <v/>
      </c>
    </row>
    <row r="230" customFormat="false" ht="15" hidden="false" customHeight="false" outlineLevel="0" collapsed="false">
      <c r="A230" s="36" t="str">
        <f aca="false">IF(B230="","",ROW()-6)</f>
        <v/>
      </c>
      <c r="B230" s="37"/>
      <c r="C230" s="38"/>
      <c r="D230" s="38"/>
      <c r="E230" s="39"/>
      <c r="F230" s="39"/>
      <c r="G230" s="39"/>
      <c r="H230" s="40"/>
      <c r="I230" s="40"/>
      <c r="J230" s="40"/>
      <c r="K230" s="40"/>
      <c r="L230" s="39"/>
      <c r="M230" s="40"/>
      <c r="N230" s="40"/>
      <c r="O230" s="36" t="str">
        <f aca="false">IF($B230="","",INT((A230-1)/Parametros!$C$10)+1)</f>
        <v/>
      </c>
      <c r="P230" s="41" t="str">
        <f aca="false">IF($B230="","",IF(OR(C230="",D230=""),"",ROUND((D230-C230)*1440,0)))</f>
        <v/>
      </c>
      <c r="Q230" s="42" t="str">
        <f aca="false">IF($B230="","",I230*VLOOKUP(E230,Parametros!$B$18:$D$24,2,FALSE()))</f>
        <v/>
      </c>
      <c r="R230" s="42" t="str">
        <f aca="false">IF($B230="","",G230*VLOOKUP(E230,Parametros!$B$18:$D$24,3,FALSE()))</f>
        <v/>
      </c>
      <c r="S230" s="42" t="str">
        <f aca="false">IF($B230="","",Q230-R230)</f>
        <v/>
      </c>
      <c r="T230" s="43" t="str">
        <f aca="false">IF($B230="","",IF(S230&gt;0,"G","P"))</f>
        <v/>
      </c>
      <c r="U230" s="44" t="str">
        <f aca="false">IF($B230="","",S230/Parametros!$C$8)</f>
        <v/>
      </c>
      <c r="V230" s="42" t="str">
        <f aca="false">IF($B230="","",Parametros!$C$6+SUM($S$7:S230))</f>
        <v/>
      </c>
      <c r="W230" s="42" t="str">
        <f aca="false">IF($B230="","",MAX(V230,W229))</f>
        <v/>
      </c>
      <c r="X230" s="42" t="str">
        <f aca="false">IF($B230="","",V230-W230)</f>
        <v/>
      </c>
      <c r="Y230" s="45" t="str">
        <f aca="false">IF($B230="","",X230/W230)</f>
        <v/>
      </c>
      <c r="Z230" s="36" t="str">
        <f aca="false">IF($B230="","",IF(T230="G",IF(N(Z229)&gt;0,Z229+1,1),IF(N(Z229)&lt;0,Z229-1,-1)))</f>
        <v/>
      </c>
      <c r="AA230" s="46" t="str">
        <f aca="false">IF($B230="","",B230-WEEKDAY(B230,2)+1)</f>
        <v/>
      </c>
      <c r="AB230" s="47" t="str">
        <f aca="false">IF($B230="","",DATE(YEAR(B230),MONTH(B230),1))</f>
        <v/>
      </c>
      <c r="AC230" s="41" t="str">
        <f aca="false">IF($B230="","",CHOOSE(WEEKDAY(B230,2),"Lunes","Martes","Miércoles","Jueves","Viernes","Sábado","Domingo"))</f>
        <v/>
      </c>
      <c r="AD230" s="36" t="str">
        <f aca="false">IF($B230="","",HOUR(C230))</f>
        <v/>
      </c>
      <c r="AE230" s="42" t="str">
        <f aca="false">IF($B230="","",IF(O230&lt;&gt;O229,MAX(V230-S230,V230),MAX(V230,AE229)))</f>
        <v/>
      </c>
      <c r="AF230" s="42" t="str">
        <f aca="false">IF($B230="","",V230-AE230)</f>
        <v/>
      </c>
      <c r="AG230" s="36" t="str">
        <f aca="false">IF($B230="","",IF(O230&lt;&gt;O229,IF(T230="G",1,-1),IF(T230="G",IF(N(AG229)&gt;0,AG229+1,1),IF(N(AG229)&lt;0,AG229-1,-1))))</f>
        <v/>
      </c>
    </row>
    <row r="231" customFormat="false" ht="15" hidden="false" customHeight="false" outlineLevel="0" collapsed="false">
      <c r="A231" s="36" t="str">
        <f aca="false">IF(B231="","",ROW()-6)</f>
        <v/>
      </c>
      <c r="B231" s="37"/>
      <c r="C231" s="38"/>
      <c r="D231" s="38"/>
      <c r="E231" s="39"/>
      <c r="F231" s="39"/>
      <c r="G231" s="39"/>
      <c r="H231" s="40"/>
      <c r="I231" s="40"/>
      <c r="J231" s="40"/>
      <c r="K231" s="40"/>
      <c r="L231" s="39"/>
      <c r="M231" s="40"/>
      <c r="N231" s="40"/>
      <c r="O231" s="36" t="str">
        <f aca="false">IF($B231="","",INT((A231-1)/Parametros!$C$10)+1)</f>
        <v/>
      </c>
      <c r="P231" s="41" t="str">
        <f aca="false">IF($B231="","",IF(OR(C231="",D231=""),"",ROUND((D231-C231)*1440,0)))</f>
        <v/>
      </c>
      <c r="Q231" s="42" t="str">
        <f aca="false">IF($B231="","",I231*VLOOKUP(E231,Parametros!$B$18:$D$24,2,FALSE()))</f>
        <v/>
      </c>
      <c r="R231" s="42" t="str">
        <f aca="false">IF($B231="","",G231*VLOOKUP(E231,Parametros!$B$18:$D$24,3,FALSE()))</f>
        <v/>
      </c>
      <c r="S231" s="42" t="str">
        <f aca="false">IF($B231="","",Q231-R231)</f>
        <v/>
      </c>
      <c r="T231" s="43" t="str">
        <f aca="false">IF($B231="","",IF(S231&gt;0,"G","P"))</f>
        <v/>
      </c>
      <c r="U231" s="44" t="str">
        <f aca="false">IF($B231="","",S231/Parametros!$C$8)</f>
        <v/>
      </c>
      <c r="V231" s="42" t="str">
        <f aca="false">IF($B231="","",Parametros!$C$6+SUM($S$7:S231))</f>
        <v/>
      </c>
      <c r="W231" s="42" t="str">
        <f aca="false">IF($B231="","",MAX(V231,W230))</f>
        <v/>
      </c>
      <c r="X231" s="42" t="str">
        <f aca="false">IF($B231="","",V231-W231)</f>
        <v/>
      </c>
      <c r="Y231" s="45" t="str">
        <f aca="false">IF($B231="","",X231/W231)</f>
        <v/>
      </c>
      <c r="Z231" s="36" t="str">
        <f aca="false">IF($B231="","",IF(T231="G",IF(N(Z230)&gt;0,Z230+1,1),IF(N(Z230)&lt;0,Z230-1,-1)))</f>
        <v/>
      </c>
      <c r="AA231" s="46" t="str">
        <f aca="false">IF($B231="","",B231-WEEKDAY(B231,2)+1)</f>
        <v/>
      </c>
      <c r="AB231" s="47" t="str">
        <f aca="false">IF($B231="","",DATE(YEAR(B231),MONTH(B231),1))</f>
        <v/>
      </c>
      <c r="AC231" s="41" t="str">
        <f aca="false">IF($B231="","",CHOOSE(WEEKDAY(B231,2),"Lunes","Martes","Miércoles","Jueves","Viernes","Sábado","Domingo"))</f>
        <v/>
      </c>
      <c r="AD231" s="36" t="str">
        <f aca="false">IF($B231="","",HOUR(C231))</f>
        <v/>
      </c>
      <c r="AE231" s="42" t="str">
        <f aca="false">IF($B231="","",IF(O231&lt;&gt;O230,MAX(V231-S231,V231),MAX(V231,AE230)))</f>
        <v/>
      </c>
      <c r="AF231" s="42" t="str">
        <f aca="false">IF($B231="","",V231-AE231)</f>
        <v/>
      </c>
      <c r="AG231" s="36" t="str">
        <f aca="false">IF($B231="","",IF(O231&lt;&gt;O230,IF(T231="G",1,-1),IF(T231="G",IF(N(AG230)&gt;0,AG230+1,1),IF(N(AG230)&lt;0,AG230-1,-1))))</f>
        <v/>
      </c>
    </row>
    <row r="232" customFormat="false" ht="15" hidden="false" customHeight="false" outlineLevel="0" collapsed="false">
      <c r="A232" s="36" t="str">
        <f aca="false">IF(B232="","",ROW()-6)</f>
        <v/>
      </c>
      <c r="B232" s="37"/>
      <c r="C232" s="38"/>
      <c r="D232" s="38"/>
      <c r="E232" s="39"/>
      <c r="F232" s="39"/>
      <c r="G232" s="39"/>
      <c r="H232" s="40"/>
      <c r="I232" s="40"/>
      <c r="J232" s="40"/>
      <c r="K232" s="40"/>
      <c r="L232" s="39"/>
      <c r="M232" s="40"/>
      <c r="N232" s="40"/>
      <c r="O232" s="36" t="str">
        <f aca="false">IF($B232="","",INT((A232-1)/Parametros!$C$10)+1)</f>
        <v/>
      </c>
      <c r="P232" s="41" t="str">
        <f aca="false">IF($B232="","",IF(OR(C232="",D232=""),"",ROUND((D232-C232)*1440,0)))</f>
        <v/>
      </c>
      <c r="Q232" s="42" t="str">
        <f aca="false">IF($B232="","",I232*VLOOKUP(E232,Parametros!$B$18:$D$24,2,FALSE()))</f>
        <v/>
      </c>
      <c r="R232" s="42" t="str">
        <f aca="false">IF($B232="","",G232*VLOOKUP(E232,Parametros!$B$18:$D$24,3,FALSE()))</f>
        <v/>
      </c>
      <c r="S232" s="42" t="str">
        <f aca="false">IF($B232="","",Q232-R232)</f>
        <v/>
      </c>
      <c r="T232" s="43" t="str">
        <f aca="false">IF($B232="","",IF(S232&gt;0,"G","P"))</f>
        <v/>
      </c>
      <c r="U232" s="44" t="str">
        <f aca="false">IF($B232="","",S232/Parametros!$C$8)</f>
        <v/>
      </c>
      <c r="V232" s="42" t="str">
        <f aca="false">IF($B232="","",Parametros!$C$6+SUM($S$7:S232))</f>
        <v/>
      </c>
      <c r="W232" s="42" t="str">
        <f aca="false">IF($B232="","",MAX(V232,W231))</f>
        <v/>
      </c>
      <c r="X232" s="42" t="str">
        <f aca="false">IF($B232="","",V232-W232)</f>
        <v/>
      </c>
      <c r="Y232" s="45" t="str">
        <f aca="false">IF($B232="","",X232/W232)</f>
        <v/>
      </c>
      <c r="Z232" s="36" t="str">
        <f aca="false">IF($B232="","",IF(T232="G",IF(N(Z231)&gt;0,Z231+1,1),IF(N(Z231)&lt;0,Z231-1,-1)))</f>
        <v/>
      </c>
      <c r="AA232" s="46" t="str">
        <f aca="false">IF($B232="","",B232-WEEKDAY(B232,2)+1)</f>
        <v/>
      </c>
      <c r="AB232" s="47" t="str">
        <f aca="false">IF($B232="","",DATE(YEAR(B232),MONTH(B232),1))</f>
        <v/>
      </c>
      <c r="AC232" s="41" t="str">
        <f aca="false">IF($B232="","",CHOOSE(WEEKDAY(B232,2),"Lunes","Martes","Miércoles","Jueves","Viernes","Sábado","Domingo"))</f>
        <v/>
      </c>
      <c r="AD232" s="36" t="str">
        <f aca="false">IF($B232="","",HOUR(C232))</f>
        <v/>
      </c>
      <c r="AE232" s="42" t="str">
        <f aca="false">IF($B232="","",IF(O232&lt;&gt;O231,MAX(V232-S232,V232),MAX(V232,AE231)))</f>
        <v/>
      </c>
      <c r="AF232" s="42" t="str">
        <f aca="false">IF($B232="","",V232-AE232)</f>
        <v/>
      </c>
      <c r="AG232" s="36" t="str">
        <f aca="false">IF($B232="","",IF(O232&lt;&gt;O231,IF(T232="G",1,-1),IF(T232="G",IF(N(AG231)&gt;0,AG231+1,1),IF(N(AG231)&lt;0,AG231-1,-1))))</f>
        <v/>
      </c>
    </row>
    <row r="233" customFormat="false" ht="15" hidden="false" customHeight="false" outlineLevel="0" collapsed="false">
      <c r="A233" s="36" t="str">
        <f aca="false">IF(B233="","",ROW()-6)</f>
        <v/>
      </c>
      <c r="B233" s="37"/>
      <c r="C233" s="38"/>
      <c r="D233" s="38"/>
      <c r="E233" s="39"/>
      <c r="F233" s="39"/>
      <c r="G233" s="39"/>
      <c r="H233" s="40"/>
      <c r="I233" s="40"/>
      <c r="J233" s="40"/>
      <c r="K233" s="40"/>
      <c r="L233" s="39"/>
      <c r="M233" s="40"/>
      <c r="N233" s="40"/>
      <c r="O233" s="36" t="str">
        <f aca="false">IF($B233="","",INT((A233-1)/Parametros!$C$10)+1)</f>
        <v/>
      </c>
      <c r="P233" s="41" t="str">
        <f aca="false">IF($B233="","",IF(OR(C233="",D233=""),"",ROUND((D233-C233)*1440,0)))</f>
        <v/>
      </c>
      <c r="Q233" s="42" t="str">
        <f aca="false">IF($B233="","",I233*VLOOKUP(E233,Parametros!$B$18:$D$24,2,FALSE()))</f>
        <v/>
      </c>
      <c r="R233" s="42" t="str">
        <f aca="false">IF($B233="","",G233*VLOOKUP(E233,Parametros!$B$18:$D$24,3,FALSE()))</f>
        <v/>
      </c>
      <c r="S233" s="42" t="str">
        <f aca="false">IF($B233="","",Q233-R233)</f>
        <v/>
      </c>
      <c r="T233" s="43" t="str">
        <f aca="false">IF($B233="","",IF(S233&gt;0,"G","P"))</f>
        <v/>
      </c>
      <c r="U233" s="44" t="str">
        <f aca="false">IF($B233="","",S233/Parametros!$C$8)</f>
        <v/>
      </c>
      <c r="V233" s="42" t="str">
        <f aca="false">IF($B233="","",Parametros!$C$6+SUM($S$7:S233))</f>
        <v/>
      </c>
      <c r="W233" s="42" t="str">
        <f aca="false">IF($B233="","",MAX(V233,W232))</f>
        <v/>
      </c>
      <c r="X233" s="42" t="str">
        <f aca="false">IF($B233="","",V233-W233)</f>
        <v/>
      </c>
      <c r="Y233" s="45" t="str">
        <f aca="false">IF($B233="","",X233/W233)</f>
        <v/>
      </c>
      <c r="Z233" s="36" t="str">
        <f aca="false">IF($B233="","",IF(T233="G",IF(N(Z232)&gt;0,Z232+1,1),IF(N(Z232)&lt;0,Z232-1,-1)))</f>
        <v/>
      </c>
      <c r="AA233" s="46" t="str">
        <f aca="false">IF($B233="","",B233-WEEKDAY(B233,2)+1)</f>
        <v/>
      </c>
      <c r="AB233" s="47" t="str">
        <f aca="false">IF($B233="","",DATE(YEAR(B233),MONTH(B233),1))</f>
        <v/>
      </c>
      <c r="AC233" s="41" t="str">
        <f aca="false">IF($B233="","",CHOOSE(WEEKDAY(B233,2),"Lunes","Martes","Miércoles","Jueves","Viernes","Sábado","Domingo"))</f>
        <v/>
      </c>
      <c r="AD233" s="36" t="str">
        <f aca="false">IF($B233="","",HOUR(C233))</f>
        <v/>
      </c>
      <c r="AE233" s="42" t="str">
        <f aca="false">IF($B233="","",IF(O233&lt;&gt;O232,MAX(V233-S233,V233),MAX(V233,AE232)))</f>
        <v/>
      </c>
      <c r="AF233" s="42" t="str">
        <f aca="false">IF($B233="","",V233-AE233)</f>
        <v/>
      </c>
      <c r="AG233" s="36" t="str">
        <f aca="false">IF($B233="","",IF(O233&lt;&gt;O232,IF(T233="G",1,-1),IF(T233="G",IF(N(AG232)&gt;0,AG232+1,1),IF(N(AG232)&lt;0,AG232-1,-1))))</f>
        <v/>
      </c>
    </row>
    <row r="234" customFormat="false" ht="15" hidden="false" customHeight="false" outlineLevel="0" collapsed="false">
      <c r="A234" s="36" t="str">
        <f aca="false">IF(B234="","",ROW()-6)</f>
        <v/>
      </c>
      <c r="B234" s="37"/>
      <c r="C234" s="38"/>
      <c r="D234" s="38"/>
      <c r="E234" s="39"/>
      <c r="F234" s="39"/>
      <c r="G234" s="39"/>
      <c r="H234" s="40"/>
      <c r="I234" s="40"/>
      <c r="J234" s="40"/>
      <c r="K234" s="40"/>
      <c r="L234" s="39"/>
      <c r="M234" s="40"/>
      <c r="N234" s="40"/>
      <c r="O234" s="36" t="str">
        <f aca="false">IF($B234="","",INT((A234-1)/Parametros!$C$10)+1)</f>
        <v/>
      </c>
      <c r="P234" s="41" t="str">
        <f aca="false">IF($B234="","",IF(OR(C234="",D234=""),"",ROUND((D234-C234)*1440,0)))</f>
        <v/>
      </c>
      <c r="Q234" s="42" t="str">
        <f aca="false">IF($B234="","",I234*VLOOKUP(E234,Parametros!$B$18:$D$24,2,FALSE()))</f>
        <v/>
      </c>
      <c r="R234" s="42" t="str">
        <f aca="false">IF($B234="","",G234*VLOOKUP(E234,Parametros!$B$18:$D$24,3,FALSE()))</f>
        <v/>
      </c>
      <c r="S234" s="42" t="str">
        <f aca="false">IF($B234="","",Q234-R234)</f>
        <v/>
      </c>
      <c r="T234" s="43" t="str">
        <f aca="false">IF($B234="","",IF(S234&gt;0,"G","P"))</f>
        <v/>
      </c>
      <c r="U234" s="44" t="str">
        <f aca="false">IF($B234="","",S234/Parametros!$C$8)</f>
        <v/>
      </c>
      <c r="V234" s="42" t="str">
        <f aca="false">IF($B234="","",Parametros!$C$6+SUM($S$7:S234))</f>
        <v/>
      </c>
      <c r="W234" s="42" t="str">
        <f aca="false">IF($B234="","",MAX(V234,W233))</f>
        <v/>
      </c>
      <c r="X234" s="42" t="str">
        <f aca="false">IF($B234="","",V234-W234)</f>
        <v/>
      </c>
      <c r="Y234" s="45" t="str">
        <f aca="false">IF($B234="","",X234/W234)</f>
        <v/>
      </c>
      <c r="Z234" s="36" t="str">
        <f aca="false">IF($B234="","",IF(T234="G",IF(N(Z233)&gt;0,Z233+1,1),IF(N(Z233)&lt;0,Z233-1,-1)))</f>
        <v/>
      </c>
      <c r="AA234" s="46" t="str">
        <f aca="false">IF($B234="","",B234-WEEKDAY(B234,2)+1)</f>
        <v/>
      </c>
      <c r="AB234" s="47" t="str">
        <f aca="false">IF($B234="","",DATE(YEAR(B234),MONTH(B234),1))</f>
        <v/>
      </c>
      <c r="AC234" s="41" t="str">
        <f aca="false">IF($B234="","",CHOOSE(WEEKDAY(B234,2),"Lunes","Martes","Miércoles","Jueves","Viernes","Sábado","Domingo"))</f>
        <v/>
      </c>
      <c r="AD234" s="36" t="str">
        <f aca="false">IF($B234="","",HOUR(C234))</f>
        <v/>
      </c>
      <c r="AE234" s="42" t="str">
        <f aca="false">IF($B234="","",IF(O234&lt;&gt;O233,MAX(V234-S234,V234),MAX(V234,AE233)))</f>
        <v/>
      </c>
      <c r="AF234" s="42" t="str">
        <f aca="false">IF($B234="","",V234-AE234)</f>
        <v/>
      </c>
      <c r="AG234" s="36" t="str">
        <f aca="false">IF($B234="","",IF(O234&lt;&gt;O233,IF(T234="G",1,-1),IF(T234="G",IF(N(AG233)&gt;0,AG233+1,1),IF(N(AG233)&lt;0,AG233-1,-1))))</f>
        <v/>
      </c>
    </row>
    <row r="235" customFormat="false" ht="15" hidden="false" customHeight="false" outlineLevel="0" collapsed="false">
      <c r="A235" s="36" t="str">
        <f aca="false">IF(B235="","",ROW()-6)</f>
        <v/>
      </c>
      <c r="B235" s="37"/>
      <c r="C235" s="38"/>
      <c r="D235" s="38"/>
      <c r="E235" s="39"/>
      <c r="F235" s="39"/>
      <c r="G235" s="39"/>
      <c r="H235" s="40"/>
      <c r="I235" s="40"/>
      <c r="J235" s="40"/>
      <c r="K235" s="40"/>
      <c r="L235" s="39"/>
      <c r="M235" s="40"/>
      <c r="N235" s="40"/>
      <c r="O235" s="36" t="str">
        <f aca="false">IF($B235="","",INT((A235-1)/Parametros!$C$10)+1)</f>
        <v/>
      </c>
      <c r="P235" s="41" t="str">
        <f aca="false">IF($B235="","",IF(OR(C235="",D235=""),"",ROUND((D235-C235)*1440,0)))</f>
        <v/>
      </c>
      <c r="Q235" s="42" t="str">
        <f aca="false">IF($B235="","",I235*VLOOKUP(E235,Parametros!$B$18:$D$24,2,FALSE()))</f>
        <v/>
      </c>
      <c r="R235" s="42" t="str">
        <f aca="false">IF($B235="","",G235*VLOOKUP(E235,Parametros!$B$18:$D$24,3,FALSE()))</f>
        <v/>
      </c>
      <c r="S235" s="42" t="str">
        <f aca="false">IF($B235="","",Q235-R235)</f>
        <v/>
      </c>
      <c r="T235" s="43" t="str">
        <f aca="false">IF($B235="","",IF(S235&gt;0,"G","P"))</f>
        <v/>
      </c>
      <c r="U235" s="44" t="str">
        <f aca="false">IF($B235="","",S235/Parametros!$C$8)</f>
        <v/>
      </c>
      <c r="V235" s="42" t="str">
        <f aca="false">IF($B235="","",Parametros!$C$6+SUM($S$7:S235))</f>
        <v/>
      </c>
      <c r="W235" s="42" t="str">
        <f aca="false">IF($B235="","",MAX(V235,W234))</f>
        <v/>
      </c>
      <c r="X235" s="42" t="str">
        <f aca="false">IF($B235="","",V235-W235)</f>
        <v/>
      </c>
      <c r="Y235" s="45" t="str">
        <f aca="false">IF($B235="","",X235/W235)</f>
        <v/>
      </c>
      <c r="Z235" s="36" t="str">
        <f aca="false">IF($B235="","",IF(T235="G",IF(N(Z234)&gt;0,Z234+1,1),IF(N(Z234)&lt;0,Z234-1,-1)))</f>
        <v/>
      </c>
      <c r="AA235" s="46" t="str">
        <f aca="false">IF($B235="","",B235-WEEKDAY(B235,2)+1)</f>
        <v/>
      </c>
      <c r="AB235" s="47" t="str">
        <f aca="false">IF($B235="","",DATE(YEAR(B235),MONTH(B235),1))</f>
        <v/>
      </c>
      <c r="AC235" s="41" t="str">
        <f aca="false">IF($B235="","",CHOOSE(WEEKDAY(B235,2),"Lunes","Martes","Miércoles","Jueves","Viernes","Sábado","Domingo"))</f>
        <v/>
      </c>
      <c r="AD235" s="36" t="str">
        <f aca="false">IF($B235="","",HOUR(C235))</f>
        <v/>
      </c>
      <c r="AE235" s="42" t="str">
        <f aca="false">IF($B235="","",IF(O235&lt;&gt;O234,MAX(V235-S235,V235),MAX(V235,AE234)))</f>
        <v/>
      </c>
      <c r="AF235" s="42" t="str">
        <f aca="false">IF($B235="","",V235-AE235)</f>
        <v/>
      </c>
      <c r="AG235" s="36" t="str">
        <f aca="false">IF($B235="","",IF(O235&lt;&gt;O234,IF(T235="G",1,-1),IF(T235="G",IF(N(AG234)&gt;0,AG234+1,1),IF(N(AG234)&lt;0,AG234-1,-1))))</f>
        <v/>
      </c>
    </row>
    <row r="236" customFormat="false" ht="15" hidden="false" customHeight="false" outlineLevel="0" collapsed="false">
      <c r="A236" s="36" t="str">
        <f aca="false">IF(B236="","",ROW()-6)</f>
        <v/>
      </c>
      <c r="B236" s="37"/>
      <c r="C236" s="38"/>
      <c r="D236" s="38"/>
      <c r="E236" s="39"/>
      <c r="F236" s="39"/>
      <c r="G236" s="39"/>
      <c r="H236" s="40"/>
      <c r="I236" s="40"/>
      <c r="J236" s="40"/>
      <c r="K236" s="40"/>
      <c r="L236" s="39"/>
      <c r="M236" s="40"/>
      <c r="N236" s="40"/>
      <c r="O236" s="36" t="str">
        <f aca="false">IF($B236="","",INT((A236-1)/Parametros!$C$10)+1)</f>
        <v/>
      </c>
      <c r="P236" s="41" t="str">
        <f aca="false">IF($B236="","",IF(OR(C236="",D236=""),"",ROUND((D236-C236)*1440,0)))</f>
        <v/>
      </c>
      <c r="Q236" s="42" t="str">
        <f aca="false">IF($B236="","",I236*VLOOKUP(E236,Parametros!$B$18:$D$24,2,FALSE()))</f>
        <v/>
      </c>
      <c r="R236" s="42" t="str">
        <f aca="false">IF($B236="","",G236*VLOOKUP(E236,Parametros!$B$18:$D$24,3,FALSE()))</f>
        <v/>
      </c>
      <c r="S236" s="42" t="str">
        <f aca="false">IF($B236="","",Q236-R236)</f>
        <v/>
      </c>
      <c r="T236" s="43" t="str">
        <f aca="false">IF($B236="","",IF(S236&gt;0,"G","P"))</f>
        <v/>
      </c>
      <c r="U236" s="44" t="str">
        <f aca="false">IF($B236="","",S236/Parametros!$C$8)</f>
        <v/>
      </c>
      <c r="V236" s="42" t="str">
        <f aca="false">IF($B236="","",Parametros!$C$6+SUM($S$7:S236))</f>
        <v/>
      </c>
      <c r="W236" s="42" t="str">
        <f aca="false">IF($B236="","",MAX(V236,W235))</f>
        <v/>
      </c>
      <c r="X236" s="42" t="str">
        <f aca="false">IF($B236="","",V236-W236)</f>
        <v/>
      </c>
      <c r="Y236" s="45" t="str">
        <f aca="false">IF($B236="","",X236/W236)</f>
        <v/>
      </c>
      <c r="Z236" s="36" t="str">
        <f aca="false">IF($B236="","",IF(T236="G",IF(N(Z235)&gt;0,Z235+1,1),IF(N(Z235)&lt;0,Z235-1,-1)))</f>
        <v/>
      </c>
      <c r="AA236" s="46" t="str">
        <f aca="false">IF($B236="","",B236-WEEKDAY(B236,2)+1)</f>
        <v/>
      </c>
      <c r="AB236" s="47" t="str">
        <f aca="false">IF($B236="","",DATE(YEAR(B236),MONTH(B236),1))</f>
        <v/>
      </c>
      <c r="AC236" s="41" t="str">
        <f aca="false">IF($B236="","",CHOOSE(WEEKDAY(B236,2),"Lunes","Martes","Miércoles","Jueves","Viernes","Sábado","Domingo"))</f>
        <v/>
      </c>
      <c r="AD236" s="36" t="str">
        <f aca="false">IF($B236="","",HOUR(C236))</f>
        <v/>
      </c>
      <c r="AE236" s="42" t="str">
        <f aca="false">IF($B236="","",IF(O236&lt;&gt;O235,MAX(V236-S236,V236),MAX(V236,AE235)))</f>
        <v/>
      </c>
      <c r="AF236" s="42" t="str">
        <f aca="false">IF($B236="","",V236-AE236)</f>
        <v/>
      </c>
      <c r="AG236" s="36" t="str">
        <f aca="false">IF($B236="","",IF(O236&lt;&gt;O235,IF(T236="G",1,-1),IF(T236="G",IF(N(AG235)&gt;0,AG235+1,1),IF(N(AG235)&lt;0,AG235-1,-1))))</f>
        <v/>
      </c>
    </row>
    <row r="237" customFormat="false" ht="15" hidden="false" customHeight="false" outlineLevel="0" collapsed="false">
      <c r="A237" s="36" t="str">
        <f aca="false">IF(B237="","",ROW()-6)</f>
        <v/>
      </c>
      <c r="B237" s="37"/>
      <c r="C237" s="38"/>
      <c r="D237" s="38"/>
      <c r="E237" s="39"/>
      <c r="F237" s="39"/>
      <c r="G237" s="39"/>
      <c r="H237" s="40"/>
      <c r="I237" s="40"/>
      <c r="J237" s="40"/>
      <c r="K237" s="40"/>
      <c r="L237" s="39"/>
      <c r="M237" s="40"/>
      <c r="N237" s="40"/>
      <c r="O237" s="36" t="str">
        <f aca="false">IF($B237="","",INT((A237-1)/Parametros!$C$10)+1)</f>
        <v/>
      </c>
      <c r="P237" s="41" t="str">
        <f aca="false">IF($B237="","",IF(OR(C237="",D237=""),"",ROUND((D237-C237)*1440,0)))</f>
        <v/>
      </c>
      <c r="Q237" s="42" t="str">
        <f aca="false">IF($B237="","",I237*VLOOKUP(E237,Parametros!$B$18:$D$24,2,FALSE()))</f>
        <v/>
      </c>
      <c r="R237" s="42" t="str">
        <f aca="false">IF($B237="","",G237*VLOOKUP(E237,Parametros!$B$18:$D$24,3,FALSE()))</f>
        <v/>
      </c>
      <c r="S237" s="42" t="str">
        <f aca="false">IF($B237="","",Q237-R237)</f>
        <v/>
      </c>
      <c r="T237" s="43" t="str">
        <f aca="false">IF($B237="","",IF(S237&gt;0,"G","P"))</f>
        <v/>
      </c>
      <c r="U237" s="44" t="str">
        <f aca="false">IF($B237="","",S237/Parametros!$C$8)</f>
        <v/>
      </c>
      <c r="V237" s="42" t="str">
        <f aca="false">IF($B237="","",Parametros!$C$6+SUM($S$7:S237))</f>
        <v/>
      </c>
      <c r="W237" s="42" t="str">
        <f aca="false">IF($B237="","",MAX(V237,W236))</f>
        <v/>
      </c>
      <c r="X237" s="42" t="str">
        <f aca="false">IF($B237="","",V237-W237)</f>
        <v/>
      </c>
      <c r="Y237" s="45" t="str">
        <f aca="false">IF($B237="","",X237/W237)</f>
        <v/>
      </c>
      <c r="Z237" s="36" t="str">
        <f aca="false">IF($B237="","",IF(T237="G",IF(N(Z236)&gt;0,Z236+1,1),IF(N(Z236)&lt;0,Z236-1,-1)))</f>
        <v/>
      </c>
      <c r="AA237" s="46" t="str">
        <f aca="false">IF($B237="","",B237-WEEKDAY(B237,2)+1)</f>
        <v/>
      </c>
      <c r="AB237" s="47" t="str">
        <f aca="false">IF($B237="","",DATE(YEAR(B237),MONTH(B237),1))</f>
        <v/>
      </c>
      <c r="AC237" s="41" t="str">
        <f aca="false">IF($B237="","",CHOOSE(WEEKDAY(B237,2),"Lunes","Martes","Miércoles","Jueves","Viernes","Sábado","Domingo"))</f>
        <v/>
      </c>
      <c r="AD237" s="36" t="str">
        <f aca="false">IF($B237="","",HOUR(C237))</f>
        <v/>
      </c>
      <c r="AE237" s="42" t="str">
        <f aca="false">IF($B237="","",IF(O237&lt;&gt;O236,MAX(V237-S237,V237),MAX(V237,AE236)))</f>
        <v/>
      </c>
      <c r="AF237" s="42" t="str">
        <f aca="false">IF($B237="","",V237-AE237)</f>
        <v/>
      </c>
      <c r="AG237" s="36" t="str">
        <f aca="false">IF($B237="","",IF(O237&lt;&gt;O236,IF(T237="G",1,-1),IF(T237="G",IF(N(AG236)&gt;0,AG236+1,1),IF(N(AG236)&lt;0,AG236-1,-1))))</f>
        <v/>
      </c>
    </row>
    <row r="238" customFormat="false" ht="15" hidden="false" customHeight="false" outlineLevel="0" collapsed="false">
      <c r="A238" s="36" t="str">
        <f aca="false">IF(B238="","",ROW()-6)</f>
        <v/>
      </c>
      <c r="B238" s="37"/>
      <c r="C238" s="38"/>
      <c r="D238" s="38"/>
      <c r="E238" s="39"/>
      <c r="F238" s="39"/>
      <c r="G238" s="39"/>
      <c r="H238" s="40"/>
      <c r="I238" s="40"/>
      <c r="J238" s="40"/>
      <c r="K238" s="40"/>
      <c r="L238" s="39"/>
      <c r="M238" s="40"/>
      <c r="N238" s="40"/>
      <c r="O238" s="36" t="str">
        <f aca="false">IF($B238="","",INT((A238-1)/Parametros!$C$10)+1)</f>
        <v/>
      </c>
      <c r="P238" s="41" t="str">
        <f aca="false">IF($B238="","",IF(OR(C238="",D238=""),"",ROUND((D238-C238)*1440,0)))</f>
        <v/>
      </c>
      <c r="Q238" s="42" t="str">
        <f aca="false">IF($B238="","",I238*VLOOKUP(E238,Parametros!$B$18:$D$24,2,FALSE()))</f>
        <v/>
      </c>
      <c r="R238" s="42" t="str">
        <f aca="false">IF($B238="","",G238*VLOOKUP(E238,Parametros!$B$18:$D$24,3,FALSE()))</f>
        <v/>
      </c>
      <c r="S238" s="42" t="str">
        <f aca="false">IF($B238="","",Q238-R238)</f>
        <v/>
      </c>
      <c r="T238" s="43" t="str">
        <f aca="false">IF($B238="","",IF(S238&gt;0,"G","P"))</f>
        <v/>
      </c>
      <c r="U238" s="44" t="str">
        <f aca="false">IF($B238="","",S238/Parametros!$C$8)</f>
        <v/>
      </c>
      <c r="V238" s="42" t="str">
        <f aca="false">IF($B238="","",Parametros!$C$6+SUM($S$7:S238))</f>
        <v/>
      </c>
      <c r="W238" s="42" t="str">
        <f aca="false">IF($B238="","",MAX(V238,W237))</f>
        <v/>
      </c>
      <c r="X238" s="42" t="str">
        <f aca="false">IF($B238="","",V238-W238)</f>
        <v/>
      </c>
      <c r="Y238" s="45" t="str">
        <f aca="false">IF($B238="","",X238/W238)</f>
        <v/>
      </c>
      <c r="Z238" s="36" t="str">
        <f aca="false">IF($B238="","",IF(T238="G",IF(N(Z237)&gt;0,Z237+1,1),IF(N(Z237)&lt;0,Z237-1,-1)))</f>
        <v/>
      </c>
      <c r="AA238" s="46" t="str">
        <f aca="false">IF($B238="","",B238-WEEKDAY(B238,2)+1)</f>
        <v/>
      </c>
      <c r="AB238" s="47" t="str">
        <f aca="false">IF($B238="","",DATE(YEAR(B238),MONTH(B238),1))</f>
        <v/>
      </c>
      <c r="AC238" s="41" t="str">
        <f aca="false">IF($B238="","",CHOOSE(WEEKDAY(B238,2),"Lunes","Martes","Miércoles","Jueves","Viernes","Sábado","Domingo"))</f>
        <v/>
      </c>
      <c r="AD238" s="36" t="str">
        <f aca="false">IF($B238="","",HOUR(C238))</f>
        <v/>
      </c>
      <c r="AE238" s="42" t="str">
        <f aca="false">IF($B238="","",IF(O238&lt;&gt;O237,MAX(V238-S238,V238),MAX(V238,AE237)))</f>
        <v/>
      </c>
      <c r="AF238" s="42" t="str">
        <f aca="false">IF($B238="","",V238-AE238)</f>
        <v/>
      </c>
      <c r="AG238" s="36" t="str">
        <f aca="false">IF($B238="","",IF(O238&lt;&gt;O237,IF(T238="G",1,-1),IF(T238="G",IF(N(AG237)&gt;0,AG237+1,1),IF(N(AG237)&lt;0,AG237-1,-1))))</f>
        <v/>
      </c>
    </row>
    <row r="239" customFormat="false" ht="15" hidden="false" customHeight="false" outlineLevel="0" collapsed="false">
      <c r="A239" s="36" t="str">
        <f aca="false">IF(B239="","",ROW()-6)</f>
        <v/>
      </c>
      <c r="B239" s="37"/>
      <c r="C239" s="38"/>
      <c r="D239" s="38"/>
      <c r="E239" s="39"/>
      <c r="F239" s="39"/>
      <c r="G239" s="39"/>
      <c r="H239" s="40"/>
      <c r="I239" s="40"/>
      <c r="J239" s="40"/>
      <c r="K239" s="40"/>
      <c r="L239" s="39"/>
      <c r="M239" s="40"/>
      <c r="N239" s="40"/>
      <c r="O239" s="36" t="str">
        <f aca="false">IF($B239="","",INT((A239-1)/Parametros!$C$10)+1)</f>
        <v/>
      </c>
      <c r="P239" s="41" t="str">
        <f aca="false">IF($B239="","",IF(OR(C239="",D239=""),"",ROUND((D239-C239)*1440,0)))</f>
        <v/>
      </c>
      <c r="Q239" s="42" t="str">
        <f aca="false">IF($B239="","",I239*VLOOKUP(E239,Parametros!$B$18:$D$24,2,FALSE()))</f>
        <v/>
      </c>
      <c r="R239" s="42" t="str">
        <f aca="false">IF($B239="","",G239*VLOOKUP(E239,Parametros!$B$18:$D$24,3,FALSE()))</f>
        <v/>
      </c>
      <c r="S239" s="42" t="str">
        <f aca="false">IF($B239="","",Q239-R239)</f>
        <v/>
      </c>
      <c r="T239" s="43" t="str">
        <f aca="false">IF($B239="","",IF(S239&gt;0,"G","P"))</f>
        <v/>
      </c>
      <c r="U239" s="44" t="str">
        <f aca="false">IF($B239="","",S239/Parametros!$C$8)</f>
        <v/>
      </c>
      <c r="V239" s="42" t="str">
        <f aca="false">IF($B239="","",Parametros!$C$6+SUM($S$7:S239))</f>
        <v/>
      </c>
      <c r="W239" s="42" t="str">
        <f aca="false">IF($B239="","",MAX(V239,W238))</f>
        <v/>
      </c>
      <c r="X239" s="42" t="str">
        <f aca="false">IF($B239="","",V239-W239)</f>
        <v/>
      </c>
      <c r="Y239" s="45" t="str">
        <f aca="false">IF($B239="","",X239/W239)</f>
        <v/>
      </c>
      <c r="Z239" s="36" t="str">
        <f aca="false">IF($B239="","",IF(T239="G",IF(N(Z238)&gt;0,Z238+1,1),IF(N(Z238)&lt;0,Z238-1,-1)))</f>
        <v/>
      </c>
      <c r="AA239" s="46" t="str">
        <f aca="false">IF($B239="","",B239-WEEKDAY(B239,2)+1)</f>
        <v/>
      </c>
      <c r="AB239" s="47" t="str">
        <f aca="false">IF($B239="","",DATE(YEAR(B239),MONTH(B239),1))</f>
        <v/>
      </c>
      <c r="AC239" s="41" t="str">
        <f aca="false">IF($B239="","",CHOOSE(WEEKDAY(B239,2),"Lunes","Martes","Miércoles","Jueves","Viernes","Sábado","Domingo"))</f>
        <v/>
      </c>
      <c r="AD239" s="36" t="str">
        <f aca="false">IF($B239="","",HOUR(C239))</f>
        <v/>
      </c>
      <c r="AE239" s="42" t="str">
        <f aca="false">IF($B239="","",IF(O239&lt;&gt;O238,MAX(V239-S239,V239),MAX(V239,AE238)))</f>
        <v/>
      </c>
      <c r="AF239" s="42" t="str">
        <f aca="false">IF($B239="","",V239-AE239)</f>
        <v/>
      </c>
      <c r="AG239" s="36" t="str">
        <f aca="false">IF($B239="","",IF(O239&lt;&gt;O238,IF(T239="G",1,-1),IF(T239="G",IF(N(AG238)&gt;0,AG238+1,1),IF(N(AG238)&lt;0,AG238-1,-1))))</f>
        <v/>
      </c>
    </row>
    <row r="240" customFormat="false" ht="15" hidden="false" customHeight="false" outlineLevel="0" collapsed="false">
      <c r="A240" s="36" t="str">
        <f aca="false">IF(B240="","",ROW()-6)</f>
        <v/>
      </c>
      <c r="B240" s="37"/>
      <c r="C240" s="38"/>
      <c r="D240" s="38"/>
      <c r="E240" s="39"/>
      <c r="F240" s="39"/>
      <c r="G240" s="39"/>
      <c r="H240" s="40"/>
      <c r="I240" s="40"/>
      <c r="J240" s="40"/>
      <c r="K240" s="40"/>
      <c r="L240" s="39"/>
      <c r="M240" s="40"/>
      <c r="N240" s="40"/>
      <c r="O240" s="36" t="str">
        <f aca="false">IF($B240="","",INT((A240-1)/Parametros!$C$10)+1)</f>
        <v/>
      </c>
      <c r="P240" s="41" t="str">
        <f aca="false">IF($B240="","",IF(OR(C240="",D240=""),"",ROUND((D240-C240)*1440,0)))</f>
        <v/>
      </c>
      <c r="Q240" s="42" t="str">
        <f aca="false">IF($B240="","",I240*VLOOKUP(E240,Parametros!$B$18:$D$24,2,FALSE()))</f>
        <v/>
      </c>
      <c r="R240" s="42" t="str">
        <f aca="false">IF($B240="","",G240*VLOOKUP(E240,Parametros!$B$18:$D$24,3,FALSE()))</f>
        <v/>
      </c>
      <c r="S240" s="42" t="str">
        <f aca="false">IF($B240="","",Q240-R240)</f>
        <v/>
      </c>
      <c r="T240" s="43" t="str">
        <f aca="false">IF($B240="","",IF(S240&gt;0,"G","P"))</f>
        <v/>
      </c>
      <c r="U240" s="44" t="str">
        <f aca="false">IF($B240="","",S240/Parametros!$C$8)</f>
        <v/>
      </c>
      <c r="V240" s="42" t="str">
        <f aca="false">IF($B240="","",Parametros!$C$6+SUM($S$7:S240))</f>
        <v/>
      </c>
      <c r="W240" s="42" t="str">
        <f aca="false">IF($B240="","",MAX(V240,W239))</f>
        <v/>
      </c>
      <c r="X240" s="42" t="str">
        <f aca="false">IF($B240="","",V240-W240)</f>
        <v/>
      </c>
      <c r="Y240" s="45" t="str">
        <f aca="false">IF($B240="","",X240/W240)</f>
        <v/>
      </c>
      <c r="Z240" s="36" t="str">
        <f aca="false">IF($B240="","",IF(T240="G",IF(N(Z239)&gt;0,Z239+1,1),IF(N(Z239)&lt;0,Z239-1,-1)))</f>
        <v/>
      </c>
      <c r="AA240" s="46" t="str">
        <f aca="false">IF($B240="","",B240-WEEKDAY(B240,2)+1)</f>
        <v/>
      </c>
      <c r="AB240" s="47" t="str">
        <f aca="false">IF($B240="","",DATE(YEAR(B240),MONTH(B240),1))</f>
        <v/>
      </c>
      <c r="AC240" s="41" t="str">
        <f aca="false">IF($B240="","",CHOOSE(WEEKDAY(B240,2),"Lunes","Martes","Miércoles","Jueves","Viernes","Sábado","Domingo"))</f>
        <v/>
      </c>
      <c r="AD240" s="36" t="str">
        <f aca="false">IF($B240="","",HOUR(C240))</f>
        <v/>
      </c>
      <c r="AE240" s="42" t="str">
        <f aca="false">IF($B240="","",IF(O240&lt;&gt;O239,MAX(V240-S240,V240),MAX(V240,AE239)))</f>
        <v/>
      </c>
      <c r="AF240" s="42" t="str">
        <f aca="false">IF($B240="","",V240-AE240)</f>
        <v/>
      </c>
      <c r="AG240" s="36" t="str">
        <f aca="false">IF($B240="","",IF(O240&lt;&gt;O239,IF(T240="G",1,-1),IF(T240="G",IF(N(AG239)&gt;0,AG239+1,1),IF(N(AG239)&lt;0,AG239-1,-1))))</f>
        <v/>
      </c>
    </row>
    <row r="241" customFormat="false" ht="15" hidden="false" customHeight="false" outlineLevel="0" collapsed="false">
      <c r="A241" s="36" t="str">
        <f aca="false">IF(B241="","",ROW()-6)</f>
        <v/>
      </c>
      <c r="B241" s="37"/>
      <c r="C241" s="38"/>
      <c r="D241" s="38"/>
      <c r="E241" s="39"/>
      <c r="F241" s="39"/>
      <c r="G241" s="39"/>
      <c r="H241" s="40"/>
      <c r="I241" s="40"/>
      <c r="J241" s="40"/>
      <c r="K241" s="40"/>
      <c r="L241" s="39"/>
      <c r="M241" s="40"/>
      <c r="N241" s="40"/>
      <c r="O241" s="36" t="str">
        <f aca="false">IF($B241="","",INT((A241-1)/Parametros!$C$10)+1)</f>
        <v/>
      </c>
      <c r="P241" s="41" t="str">
        <f aca="false">IF($B241="","",IF(OR(C241="",D241=""),"",ROUND((D241-C241)*1440,0)))</f>
        <v/>
      </c>
      <c r="Q241" s="42" t="str">
        <f aca="false">IF($B241="","",I241*VLOOKUP(E241,Parametros!$B$18:$D$24,2,FALSE()))</f>
        <v/>
      </c>
      <c r="R241" s="42" t="str">
        <f aca="false">IF($B241="","",G241*VLOOKUP(E241,Parametros!$B$18:$D$24,3,FALSE()))</f>
        <v/>
      </c>
      <c r="S241" s="42" t="str">
        <f aca="false">IF($B241="","",Q241-R241)</f>
        <v/>
      </c>
      <c r="T241" s="43" t="str">
        <f aca="false">IF($B241="","",IF(S241&gt;0,"G","P"))</f>
        <v/>
      </c>
      <c r="U241" s="44" t="str">
        <f aca="false">IF($B241="","",S241/Parametros!$C$8)</f>
        <v/>
      </c>
      <c r="V241" s="42" t="str">
        <f aca="false">IF($B241="","",Parametros!$C$6+SUM($S$7:S241))</f>
        <v/>
      </c>
      <c r="W241" s="42" t="str">
        <f aca="false">IF($B241="","",MAX(V241,W240))</f>
        <v/>
      </c>
      <c r="X241" s="42" t="str">
        <f aca="false">IF($B241="","",V241-W241)</f>
        <v/>
      </c>
      <c r="Y241" s="45" t="str">
        <f aca="false">IF($B241="","",X241/W241)</f>
        <v/>
      </c>
      <c r="Z241" s="36" t="str">
        <f aca="false">IF($B241="","",IF(T241="G",IF(N(Z240)&gt;0,Z240+1,1),IF(N(Z240)&lt;0,Z240-1,-1)))</f>
        <v/>
      </c>
      <c r="AA241" s="46" t="str">
        <f aca="false">IF($B241="","",B241-WEEKDAY(B241,2)+1)</f>
        <v/>
      </c>
      <c r="AB241" s="47" t="str">
        <f aca="false">IF($B241="","",DATE(YEAR(B241),MONTH(B241),1))</f>
        <v/>
      </c>
      <c r="AC241" s="41" t="str">
        <f aca="false">IF($B241="","",CHOOSE(WEEKDAY(B241,2),"Lunes","Martes","Miércoles","Jueves","Viernes","Sábado","Domingo"))</f>
        <v/>
      </c>
      <c r="AD241" s="36" t="str">
        <f aca="false">IF($B241="","",HOUR(C241))</f>
        <v/>
      </c>
      <c r="AE241" s="42" t="str">
        <f aca="false">IF($B241="","",IF(O241&lt;&gt;O240,MAX(V241-S241,V241),MAX(V241,AE240)))</f>
        <v/>
      </c>
      <c r="AF241" s="42" t="str">
        <f aca="false">IF($B241="","",V241-AE241)</f>
        <v/>
      </c>
      <c r="AG241" s="36" t="str">
        <f aca="false">IF($B241="","",IF(O241&lt;&gt;O240,IF(T241="G",1,-1),IF(T241="G",IF(N(AG240)&gt;0,AG240+1,1),IF(N(AG240)&lt;0,AG240-1,-1))))</f>
        <v/>
      </c>
    </row>
    <row r="242" customFormat="false" ht="15" hidden="false" customHeight="false" outlineLevel="0" collapsed="false">
      <c r="A242" s="36" t="str">
        <f aca="false">IF(B242="","",ROW()-6)</f>
        <v/>
      </c>
      <c r="B242" s="37"/>
      <c r="C242" s="38"/>
      <c r="D242" s="38"/>
      <c r="E242" s="39"/>
      <c r="F242" s="39"/>
      <c r="G242" s="39"/>
      <c r="H242" s="40"/>
      <c r="I242" s="40"/>
      <c r="J242" s="40"/>
      <c r="K242" s="40"/>
      <c r="L242" s="39"/>
      <c r="M242" s="40"/>
      <c r="N242" s="40"/>
      <c r="O242" s="36" t="str">
        <f aca="false">IF($B242="","",INT((A242-1)/Parametros!$C$10)+1)</f>
        <v/>
      </c>
      <c r="P242" s="41" t="str">
        <f aca="false">IF($B242="","",IF(OR(C242="",D242=""),"",ROUND((D242-C242)*1440,0)))</f>
        <v/>
      </c>
      <c r="Q242" s="42" t="str">
        <f aca="false">IF($B242="","",I242*VLOOKUP(E242,Parametros!$B$18:$D$24,2,FALSE()))</f>
        <v/>
      </c>
      <c r="R242" s="42" t="str">
        <f aca="false">IF($B242="","",G242*VLOOKUP(E242,Parametros!$B$18:$D$24,3,FALSE()))</f>
        <v/>
      </c>
      <c r="S242" s="42" t="str">
        <f aca="false">IF($B242="","",Q242-R242)</f>
        <v/>
      </c>
      <c r="T242" s="43" t="str">
        <f aca="false">IF($B242="","",IF(S242&gt;0,"G","P"))</f>
        <v/>
      </c>
      <c r="U242" s="44" t="str">
        <f aca="false">IF($B242="","",S242/Parametros!$C$8)</f>
        <v/>
      </c>
      <c r="V242" s="42" t="str">
        <f aca="false">IF($B242="","",Parametros!$C$6+SUM($S$7:S242))</f>
        <v/>
      </c>
      <c r="W242" s="42" t="str">
        <f aca="false">IF($B242="","",MAX(V242,W241))</f>
        <v/>
      </c>
      <c r="X242" s="42" t="str">
        <f aca="false">IF($B242="","",V242-W242)</f>
        <v/>
      </c>
      <c r="Y242" s="45" t="str">
        <f aca="false">IF($B242="","",X242/W242)</f>
        <v/>
      </c>
      <c r="Z242" s="36" t="str">
        <f aca="false">IF($B242="","",IF(T242="G",IF(N(Z241)&gt;0,Z241+1,1),IF(N(Z241)&lt;0,Z241-1,-1)))</f>
        <v/>
      </c>
      <c r="AA242" s="46" t="str">
        <f aca="false">IF($B242="","",B242-WEEKDAY(B242,2)+1)</f>
        <v/>
      </c>
      <c r="AB242" s="47" t="str">
        <f aca="false">IF($B242="","",DATE(YEAR(B242),MONTH(B242),1))</f>
        <v/>
      </c>
      <c r="AC242" s="41" t="str">
        <f aca="false">IF($B242="","",CHOOSE(WEEKDAY(B242,2),"Lunes","Martes","Miércoles","Jueves","Viernes","Sábado","Domingo"))</f>
        <v/>
      </c>
      <c r="AD242" s="36" t="str">
        <f aca="false">IF($B242="","",HOUR(C242))</f>
        <v/>
      </c>
      <c r="AE242" s="42" t="str">
        <f aca="false">IF($B242="","",IF(O242&lt;&gt;O241,MAX(V242-S242,V242),MAX(V242,AE241)))</f>
        <v/>
      </c>
      <c r="AF242" s="42" t="str">
        <f aca="false">IF($B242="","",V242-AE242)</f>
        <v/>
      </c>
      <c r="AG242" s="36" t="str">
        <f aca="false">IF($B242="","",IF(O242&lt;&gt;O241,IF(T242="G",1,-1),IF(T242="G",IF(N(AG241)&gt;0,AG241+1,1),IF(N(AG241)&lt;0,AG241-1,-1))))</f>
        <v/>
      </c>
    </row>
    <row r="243" customFormat="false" ht="15" hidden="false" customHeight="false" outlineLevel="0" collapsed="false">
      <c r="A243" s="36" t="str">
        <f aca="false">IF(B243="","",ROW()-6)</f>
        <v/>
      </c>
      <c r="B243" s="37"/>
      <c r="C243" s="38"/>
      <c r="D243" s="38"/>
      <c r="E243" s="39"/>
      <c r="F243" s="39"/>
      <c r="G243" s="39"/>
      <c r="H243" s="40"/>
      <c r="I243" s="40"/>
      <c r="J243" s="40"/>
      <c r="K243" s="40"/>
      <c r="L243" s="39"/>
      <c r="M243" s="40"/>
      <c r="N243" s="40"/>
      <c r="O243" s="36" t="str">
        <f aca="false">IF($B243="","",INT((A243-1)/Parametros!$C$10)+1)</f>
        <v/>
      </c>
      <c r="P243" s="41" t="str">
        <f aca="false">IF($B243="","",IF(OR(C243="",D243=""),"",ROUND((D243-C243)*1440,0)))</f>
        <v/>
      </c>
      <c r="Q243" s="42" t="str">
        <f aca="false">IF($B243="","",I243*VLOOKUP(E243,Parametros!$B$18:$D$24,2,FALSE()))</f>
        <v/>
      </c>
      <c r="R243" s="42" t="str">
        <f aca="false">IF($B243="","",G243*VLOOKUP(E243,Parametros!$B$18:$D$24,3,FALSE()))</f>
        <v/>
      </c>
      <c r="S243" s="42" t="str">
        <f aca="false">IF($B243="","",Q243-R243)</f>
        <v/>
      </c>
      <c r="T243" s="43" t="str">
        <f aca="false">IF($B243="","",IF(S243&gt;0,"G","P"))</f>
        <v/>
      </c>
      <c r="U243" s="44" t="str">
        <f aca="false">IF($B243="","",S243/Parametros!$C$8)</f>
        <v/>
      </c>
      <c r="V243" s="42" t="str">
        <f aca="false">IF($B243="","",Parametros!$C$6+SUM($S$7:S243))</f>
        <v/>
      </c>
      <c r="W243" s="42" t="str">
        <f aca="false">IF($B243="","",MAX(V243,W242))</f>
        <v/>
      </c>
      <c r="X243" s="42" t="str">
        <f aca="false">IF($B243="","",V243-W243)</f>
        <v/>
      </c>
      <c r="Y243" s="45" t="str">
        <f aca="false">IF($B243="","",X243/W243)</f>
        <v/>
      </c>
      <c r="Z243" s="36" t="str">
        <f aca="false">IF($B243="","",IF(T243="G",IF(N(Z242)&gt;0,Z242+1,1),IF(N(Z242)&lt;0,Z242-1,-1)))</f>
        <v/>
      </c>
      <c r="AA243" s="46" t="str">
        <f aca="false">IF($B243="","",B243-WEEKDAY(B243,2)+1)</f>
        <v/>
      </c>
      <c r="AB243" s="47" t="str">
        <f aca="false">IF($B243="","",DATE(YEAR(B243),MONTH(B243),1))</f>
        <v/>
      </c>
      <c r="AC243" s="41" t="str">
        <f aca="false">IF($B243="","",CHOOSE(WEEKDAY(B243,2),"Lunes","Martes","Miércoles","Jueves","Viernes","Sábado","Domingo"))</f>
        <v/>
      </c>
      <c r="AD243" s="36" t="str">
        <f aca="false">IF($B243="","",HOUR(C243))</f>
        <v/>
      </c>
      <c r="AE243" s="42" t="str">
        <f aca="false">IF($B243="","",IF(O243&lt;&gt;O242,MAX(V243-S243,V243),MAX(V243,AE242)))</f>
        <v/>
      </c>
      <c r="AF243" s="42" t="str">
        <f aca="false">IF($B243="","",V243-AE243)</f>
        <v/>
      </c>
      <c r="AG243" s="36" t="str">
        <f aca="false">IF($B243="","",IF(O243&lt;&gt;O242,IF(T243="G",1,-1),IF(T243="G",IF(N(AG242)&gt;0,AG242+1,1),IF(N(AG242)&lt;0,AG242-1,-1))))</f>
        <v/>
      </c>
    </row>
    <row r="244" customFormat="false" ht="15" hidden="false" customHeight="false" outlineLevel="0" collapsed="false">
      <c r="A244" s="36" t="str">
        <f aca="false">IF(B244="","",ROW()-6)</f>
        <v/>
      </c>
      <c r="B244" s="37"/>
      <c r="C244" s="38"/>
      <c r="D244" s="38"/>
      <c r="E244" s="39"/>
      <c r="F244" s="39"/>
      <c r="G244" s="39"/>
      <c r="H244" s="40"/>
      <c r="I244" s="40"/>
      <c r="J244" s="40"/>
      <c r="K244" s="40"/>
      <c r="L244" s="39"/>
      <c r="M244" s="40"/>
      <c r="N244" s="40"/>
      <c r="O244" s="36" t="str">
        <f aca="false">IF($B244="","",INT((A244-1)/Parametros!$C$10)+1)</f>
        <v/>
      </c>
      <c r="P244" s="41" t="str">
        <f aca="false">IF($B244="","",IF(OR(C244="",D244=""),"",ROUND((D244-C244)*1440,0)))</f>
        <v/>
      </c>
      <c r="Q244" s="42" t="str">
        <f aca="false">IF($B244="","",I244*VLOOKUP(E244,Parametros!$B$18:$D$24,2,FALSE()))</f>
        <v/>
      </c>
      <c r="R244" s="42" t="str">
        <f aca="false">IF($B244="","",G244*VLOOKUP(E244,Parametros!$B$18:$D$24,3,FALSE()))</f>
        <v/>
      </c>
      <c r="S244" s="42" t="str">
        <f aca="false">IF($B244="","",Q244-R244)</f>
        <v/>
      </c>
      <c r="T244" s="43" t="str">
        <f aca="false">IF($B244="","",IF(S244&gt;0,"G","P"))</f>
        <v/>
      </c>
      <c r="U244" s="44" t="str">
        <f aca="false">IF($B244="","",S244/Parametros!$C$8)</f>
        <v/>
      </c>
      <c r="V244" s="42" t="str">
        <f aca="false">IF($B244="","",Parametros!$C$6+SUM($S$7:S244))</f>
        <v/>
      </c>
      <c r="W244" s="42" t="str">
        <f aca="false">IF($B244="","",MAX(V244,W243))</f>
        <v/>
      </c>
      <c r="X244" s="42" t="str">
        <f aca="false">IF($B244="","",V244-W244)</f>
        <v/>
      </c>
      <c r="Y244" s="45" t="str">
        <f aca="false">IF($B244="","",X244/W244)</f>
        <v/>
      </c>
      <c r="Z244" s="36" t="str">
        <f aca="false">IF($B244="","",IF(T244="G",IF(N(Z243)&gt;0,Z243+1,1),IF(N(Z243)&lt;0,Z243-1,-1)))</f>
        <v/>
      </c>
      <c r="AA244" s="46" t="str">
        <f aca="false">IF($B244="","",B244-WEEKDAY(B244,2)+1)</f>
        <v/>
      </c>
      <c r="AB244" s="47" t="str">
        <f aca="false">IF($B244="","",DATE(YEAR(B244),MONTH(B244),1))</f>
        <v/>
      </c>
      <c r="AC244" s="41" t="str">
        <f aca="false">IF($B244="","",CHOOSE(WEEKDAY(B244,2),"Lunes","Martes","Miércoles","Jueves","Viernes","Sábado","Domingo"))</f>
        <v/>
      </c>
      <c r="AD244" s="36" t="str">
        <f aca="false">IF($B244="","",HOUR(C244))</f>
        <v/>
      </c>
      <c r="AE244" s="42" t="str">
        <f aca="false">IF($B244="","",IF(O244&lt;&gt;O243,MAX(V244-S244,V244),MAX(V244,AE243)))</f>
        <v/>
      </c>
      <c r="AF244" s="42" t="str">
        <f aca="false">IF($B244="","",V244-AE244)</f>
        <v/>
      </c>
      <c r="AG244" s="36" t="str">
        <f aca="false">IF($B244="","",IF(O244&lt;&gt;O243,IF(T244="G",1,-1),IF(T244="G",IF(N(AG243)&gt;0,AG243+1,1),IF(N(AG243)&lt;0,AG243-1,-1))))</f>
        <v/>
      </c>
    </row>
    <row r="245" customFormat="false" ht="15" hidden="false" customHeight="false" outlineLevel="0" collapsed="false">
      <c r="A245" s="36" t="str">
        <f aca="false">IF(B245="","",ROW()-6)</f>
        <v/>
      </c>
      <c r="B245" s="37"/>
      <c r="C245" s="38"/>
      <c r="D245" s="38"/>
      <c r="E245" s="39"/>
      <c r="F245" s="39"/>
      <c r="G245" s="39"/>
      <c r="H245" s="40"/>
      <c r="I245" s="40"/>
      <c r="J245" s="40"/>
      <c r="K245" s="40"/>
      <c r="L245" s="39"/>
      <c r="M245" s="40"/>
      <c r="N245" s="40"/>
      <c r="O245" s="36" t="str">
        <f aca="false">IF($B245="","",INT((A245-1)/Parametros!$C$10)+1)</f>
        <v/>
      </c>
      <c r="P245" s="41" t="str">
        <f aca="false">IF($B245="","",IF(OR(C245="",D245=""),"",ROUND((D245-C245)*1440,0)))</f>
        <v/>
      </c>
      <c r="Q245" s="42" t="str">
        <f aca="false">IF($B245="","",I245*VLOOKUP(E245,Parametros!$B$18:$D$24,2,FALSE()))</f>
        <v/>
      </c>
      <c r="R245" s="42" t="str">
        <f aca="false">IF($B245="","",G245*VLOOKUP(E245,Parametros!$B$18:$D$24,3,FALSE()))</f>
        <v/>
      </c>
      <c r="S245" s="42" t="str">
        <f aca="false">IF($B245="","",Q245-R245)</f>
        <v/>
      </c>
      <c r="T245" s="43" t="str">
        <f aca="false">IF($B245="","",IF(S245&gt;0,"G","P"))</f>
        <v/>
      </c>
      <c r="U245" s="44" t="str">
        <f aca="false">IF($B245="","",S245/Parametros!$C$8)</f>
        <v/>
      </c>
      <c r="V245" s="42" t="str">
        <f aca="false">IF($B245="","",Parametros!$C$6+SUM($S$7:S245))</f>
        <v/>
      </c>
      <c r="W245" s="42" t="str">
        <f aca="false">IF($B245="","",MAX(V245,W244))</f>
        <v/>
      </c>
      <c r="X245" s="42" t="str">
        <f aca="false">IF($B245="","",V245-W245)</f>
        <v/>
      </c>
      <c r="Y245" s="45" t="str">
        <f aca="false">IF($B245="","",X245/W245)</f>
        <v/>
      </c>
      <c r="Z245" s="36" t="str">
        <f aca="false">IF($B245="","",IF(T245="G",IF(N(Z244)&gt;0,Z244+1,1),IF(N(Z244)&lt;0,Z244-1,-1)))</f>
        <v/>
      </c>
      <c r="AA245" s="46" t="str">
        <f aca="false">IF($B245="","",B245-WEEKDAY(B245,2)+1)</f>
        <v/>
      </c>
      <c r="AB245" s="47" t="str">
        <f aca="false">IF($B245="","",DATE(YEAR(B245),MONTH(B245),1))</f>
        <v/>
      </c>
      <c r="AC245" s="41" t="str">
        <f aca="false">IF($B245="","",CHOOSE(WEEKDAY(B245,2),"Lunes","Martes","Miércoles","Jueves","Viernes","Sábado","Domingo"))</f>
        <v/>
      </c>
      <c r="AD245" s="36" t="str">
        <f aca="false">IF($B245="","",HOUR(C245))</f>
        <v/>
      </c>
      <c r="AE245" s="42" t="str">
        <f aca="false">IF($B245="","",IF(O245&lt;&gt;O244,MAX(V245-S245,V245),MAX(V245,AE244)))</f>
        <v/>
      </c>
      <c r="AF245" s="42" t="str">
        <f aca="false">IF($B245="","",V245-AE245)</f>
        <v/>
      </c>
      <c r="AG245" s="36" t="str">
        <f aca="false">IF($B245="","",IF(O245&lt;&gt;O244,IF(T245="G",1,-1),IF(T245="G",IF(N(AG244)&gt;0,AG244+1,1),IF(N(AG244)&lt;0,AG244-1,-1))))</f>
        <v/>
      </c>
    </row>
    <row r="246" customFormat="false" ht="15" hidden="false" customHeight="false" outlineLevel="0" collapsed="false">
      <c r="A246" s="36" t="str">
        <f aca="false">IF(B246="","",ROW()-6)</f>
        <v/>
      </c>
      <c r="B246" s="37"/>
      <c r="C246" s="38"/>
      <c r="D246" s="38"/>
      <c r="E246" s="39"/>
      <c r="F246" s="39"/>
      <c r="G246" s="39"/>
      <c r="H246" s="40"/>
      <c r="I246" s="40"/>
      <c r="J246" s="40"/>
      <c r="K246" s="40"/>
      <c r="L246" s="39"/>
      <c r="M246" s="40"/>
      <c r="N246" s="40"/>
      <c r="O246" s="36" t="str">
        <f aca="false">IF($B246="","",INT((A246-1)/Parametros!$C$10)+1)</f>
        <v/>
      </c>
      <c r="P246" s="41" t="str">
        <f aca="false">IF($B246="","",IF(OR(C246="",D246=""),"",ROUND((D246-C246)*1440,0)))</f>
        <v/>
      </c>
      <c r="Q246" s="42" t="str">
        <f aca="false">IF($B246="","",I246*VLOOKUP(E246,Parametros!$B$18:$D$24,2,FALSE()))</f>
        <v/>
      </c>
      <c r="R246" s="42" t="str">
        <f aca="false">IF($B246="","",G246*VLOOKUP(E246,Parametros!$B$18:$D$24,3,FALSE()))</f>
        <v/>
      </c>
      <c r="S246" s="42" t="str">
        <f aca="false">IF($B246="","",Q246-R246)</f>
        <v/>
      </c>
      <c r="T246" s="43" t="str">
        <f aca="false">IF($B246="","",IF(S246&gt;0,"G","P"))</f>
        <v/>
      </c>
      <c r="U246" s="44" t="str">
        <f aca="false">IF($B246="","",S246/Parametros!$C$8)</f>
        <v/>
      </c>
      <c r="V246" s="42" t="str">
        <f aca="false">IF($B246="","",Parametros!$C$6+SUM($S$7:S246))</f>
        <v/>
      </c>
      <c r="W246" s="42" t="str">
        <f aca="false">IF($B246="","",MAX(V246,W245))</f>
        <v/>
      </c>
      <c r="X246" s="42" t="str">
        <f aca="false">IF($B246="","",V246-W246)</f>
        <v/>
      </c>
      <c r="Y246" s="45" t="str">
        <f aca="false">IF($B246="","",X246/W246)</f>
        <v/>
      </c>
      <c r="Z246" s="36" t="str">
        <f aca="false">IF($B246="","",IF(T246="G",IF(N(Z245)&gt;0,Z245+1,1),IF(N(Z245)&lt;0,Z245-1,-1)))</f>
        <v/>
      </c>
      <c r="AA246" s="46" t="str">
        <f aca="false">IF($B246="","",B246-WEEKDAY(B246,2)+1)</f>
        <v/>
      </c>
      <c r="AB246" s="47" t="str">
        <f aca="false">IF($B246="","",DATE(YEAR(B246),MONTH(B246),1))</f>
        <v/>
      </c>
      <c r="AC246" s="41" t="str">
        <f aca="false">IF($B246="","",CHOOSE(WEEKDAY(B246,2),"Lunes","Martes","Miércoles","Jueves","Viernes","Sábado","Domingo"))</f>
        <v/>
      </c>
      <c r="AD246" s="36" t="str">
        <f aca="false">IF($B246="","",HOUR(C246))</f>
        <v/>
      </c>
      <c r="AE246" s="42" t="str">
        <f aca="false">IF($B246="","",IF(O246&lt;&gt;O245,MAX(V246-S246,V246),MAX(V246,AE245)))</f>
        <v/>
      </c>
      <c r="AF246" s="42" t="str">
        <f aca="false">IF($B246="","",V246-AE246)</f>
        <v/>
      </c>
      <c r="AG246" s="36" t="str">
        <f aca="false">IF($B246="","",IF(O246&lt;&gt;O245,IF(T246="G",1,-1),IF(T246="G",IF(N(AG245)&gt;0,AG245+1,1),IF(N(AG245)&lt;0,AG245-1,-1))))</f>
        <v/>
      </c>
    </row>
    <row r="247" customFormat="false" ht="15" hidden="false" customHeight="false" outlineLevel="0" collapsed="false">
      <c r="A247" s="36" t="str">
        <f aca="false">IF(B247="","",ROW()-6)</f>
        <v/>
      </c>
      <c r="B247" s="37"/>
      <c r="C247" s="38"/>
      <c r="D247" s="38"/>
      <c r="E247" s="39"/>
      <c r="F247" s="39"/>
      <c r="G247" s="39"/>
      <c r="H247" s="40"/>
      <c r="I247" s="40"/>
      <c r="J247" s="40"/>
      <c r="K247" s="40"/>
      <c r="L247" s="39"/>
      <c r="M247" s="40"/>
      <c r="N247" s="40"/>
      <c r="O247" s="36" t="str">
        <f aca="false">IF($B247="","",INT((A247-1)/Parametros!$C$10)+1)</f>
        <v/>
      </c>
      <c r="P247" s="41" t="str">
        <f aca="false">IF($B247="","",IF(OR(C247="",D247=""),"",ROUND((D247-C247)*1440,0)))</f>
        <v/>
      </c>
      <c r="Q247" s="42" t="str">
        <f aca="false">IF($B247="","",I247*VLOOKUP(E247,Parametros!$B$18:$D$24,2,FALSE()))</f>
        <v/>
      </c>
      <c r="R247" s="42" t="str">
        <f aca="false">IF($B247="","",G247*VLOOKUP(E247,Parametros!$B$18:$D$24,3,FALSE()))</f>
        <v/>
      </c>
      <c r="S247" s="42" t="str">
        <f aca="false">IF($B247="","",Q247-R247)</f>
        <v/>
      </c>
      <c r="T247" s="43" t="str">
        <f aca="false">IF($B247="","",IF(S247&gt;0,"G","P"))</f>
        <v/>
      </c>
      <c r="U247" s="44" t="str">
        <f aca="false">IF($B247="","",S247/Parametros!$C$8)</f>
        <v/>
      </c>
      <c r="V247" s="42" t="str">
        <f aca="false">IF($B247="","",Parametros!$C$6+SUM($S$7:S247))</f>
        <v/>
      </c>
      <c r="W247" s="42" t="str">
        <f aca="false">IF($B247="","",MAX(V247,W246))</f>
        <v/>
      </c>
      <c r="X247" s="42" t="str">
        <f aca="false">IF($B247="","",V247-W247)</f>
        <v/>
      </c>
      <c r="Y247" s="45" t="str">
        <f aca="false">IF($B247="","",X247/W247)</f>
        <v/>
      </c>
      <c r="Z247" s="36" t="str">
        <f aca="false">IF($B247="","",IF(T247="G",IF(N(Z246)&gt;0,Z246+1,1),IF(N(Z246)&lt;0,Z246-1,-1)))</f>
        <v/>
      </c>
      <c r="AA247" s="46" t="str">
        <f aca="false">IF($B247="","",B247-WEEKDAY(B247,2)+1)</f>
        <v/>
      </c>
      <c r="AB247" s="47" t="str">
        <f aca="false">IF($B247="","",DATE(YEAR(B247),MONTH(B247),1))</f>
        <v/>
      </c>
      <c r="AC247" s="41" t="str">
        <f aca="false">IF($B247="","",CHOOSE(WEEKDAY(B247,2),"Lunes","Martes","Miércoles","Jueves","Viernes","Sábado","Domingo"))</f>
        <v/>
      </c>
      <c r="AD247" s="36" t="str">
        <f aca="false">IF($B247="","",HOUR(C247))</f>
        <v/>
      </c>
      <c r="AE247" s="42" t="str">
        <f aca="false">IF($B247="","",IF(O247&lt;&gt;O246,MAX(V247-S247,V247),MAX(V247,AE246)))</f>
        <v/>
      </c>
      <c r="AF247" s="42" t="str">
        <f aca="false">IF($B247="","",V247-AE247)</f>
        <v/>
      </c>
      <c r="AG247" s="36" t="str">
        <f aca="false">IF($B247="","",IF(O247&lt;&gt;O246,IF(T247="G",1,-1),IF(T247="G",IF(N(AG246)&gt;0,AG246+1,1),IF(N(AG246)&lt;0,AG246-1,-1))))</f>
        <v/>
      </c>
    </row>
    <row r="248" customFormat="false" ht="15" hidden="false" customHeight="false" outlineLevel="0" collapsed="false">
      <c r="A248" s="36" t="str">
        <f aca="false">IF(B248="","",ROW()-6)</f>
        <v/>
      </c>
      <c r="B248" s="37"/>
      <c r="C248" s="38"/>
      <c r="D248" s="38"/>
      <c r="E248" s="39"/>
      <c r="F248" s="39"/>
      <c r="G248" s="39"/>
      <c r="H248" s="40"/>
      <c r="I248" s="40"/>
      <c r="J248" s="40"/>
      <c r="K248" s="40"/>
      <c r="L248" s="39"/>
      <c r="M248" s="40"/>
      <c r="N248" s="40"/>
      <c r="O248" s="36" t="str">
        <f aca="false">IF($B248="","",INT((A248-1)/Parametros!$C$10)+1)</f>
        <v/>
      </c>
      <c r="P248" s="41" t="str">
        <f aca="false">IF($B248="","",IF(OR(C248="",D248=""),"",ROUND((D248-C248)*1440,0)))</f>
        <v/>
      </c>
      <c r="Q248" s="42" t="str">
        <f aca="false">IF($B248="","",I248*VLOOKUP(E248,Parametros!$B$18:$D$24,2,FALSE()))</f>
        <v/>
      </c>
      <c r="R248" s="42" t="str">
        <f aca="false">IF($B248="","",G248*VLOOKUP(E248,Parametros!$B$18:$D$24,3,FALSE()))</f>
        <v/>
      </c>
      <c r="S248" s="42" t="str">
        <f aca="false">IF($B248="","",Q248-R248)</f>
        <v/>
      </c>
      <c r="T248" s="43" t="str">
        <f aca="false">IF($B248="","",IF(S248&gt;0,"G","P"))</f>
        <v/>
      </c>
      <c r="U248" s="44" t="str">
        <f aca="false">IF($B248="","",S248/Parametros!$C$8)</f>
        <v/>
      </c>
      <c r="V248" s="42" t="str">
        <f aca="false">IF($B248="","",Parametros!$C$6+SUM($S$7:S248))</f>
        <v/>
      </c>
      <c r="W248" s="42" t="str">
        <f aca="false">IF($B248="","",MAX(V248,W247))</f>
        <v/>
      </c>
      <c r="X248" s="42" t="str">
        <f aca="false">IF($B248="","",V248-W248)</f>
        <v/>
      </c>
      <c r="Y248" s="45" t="str">
        <f aca="false">IF($B248="","",X248/W248)</f>
        <v/>
      </c>
      <c r="Z248" s="36" t="str">
        <f aca="false">IF($B248="","",IF(T248="G",IF(N(Z247)&gt;0,Z247+1,1),IF(N(Z247)&lt;0,Z247-1,-1)))</f>
        <v/>
      </c>
      <c r="AA248" s="46" t="str">
        <f aca="false">IF($B248="","",B248-WEEKDAY(B248,2)+1)</f>
        <v/>
      </c>
      <c r="AB248" s="47" t="str">
        <f aca="false">IF($B248="","",DATE(YEAR(B248),MONTH(B248),1))</f>
        <v/>
      </c>
      <c r="AC248" s="41" t="str">
        <f aca="false">IF($B248="","",CHOOSE(WEEKDAY(B248,2),"Lunes","Martes","Miércoles","Jueves","Viernes","Sábado","Domingo"))</f>
        <v/>
      </c>
      <c r="AD248" s="36" t="str">
        <f aca="false">IF($B248="","",HOUR(C248))</f>
        <v/>
      </c>
      <c r="AE248" s="42" t="str">
        <f aca="false">IF($B248="","",IF(O248&lt;&gt;O247,MAX(V248-S248,V248),MAX(V248,AE247)))</f>
        <v/>
      </c>
      <c r="AF248" s="42" t="str">
        <f aca="false">IF($B248="","",V248-AE248)</f>
        <v/>
      </c>
      <c r="AG248" s="36" t="str">
        <f aca="false">IF($B248="","",IF(O248&lt;&gt;O247,IF(T248="G",1,-1),IF(T248="G",IF(N(AG247)&gt;0,AG247+1,1),IF(N(AG247)&lt;0,AG247-1,-1))))</f>
        <v/>
      </c>
    </row>
    <row r="249" customFormat="false" ht="15" hidden="false" customHeight="false" outlineLevel="0" collapsed="false">
      <c r="A249" s="36" t="str">
        <f aca="false">IF(B249="","",ROW()-6)</f>
        <v/>
      </c>
      <c r="B249" s="37"/>
      <c r="C249" s="38"/>
      <c r="D249" s="38"/>
      <c r="E249" s="39"/>
      <c r="F249" s="39"/>
      <c r="G249" s="39"/>
      <c r="H249" s="40"/>
      <c r="I249" s="40"/>
      <c r="J249" s="40"/>
      <c r="K249" s="40"/>
      <c r="L249" s="39"/>
      <c r="M249" s="40"/>
      <c r="N249" s="40"/>
      <c r="O249" s="36" t="str">
        <f aca="false">IF($B249="","",INT((A249-1)/Parametros!$C$10)+1)</f>
        <v/>
      </c>
      <c r="P249" s="41" t="str">
        <f aca="false">IF($B249="","",IF(OR(C249="",D249=""),"",ROUND((D249-C249)*1440,0)))</f>
        <v/>
      </c>
      <c r="Q249" s="42" t="str">
        <f aca="false">IF($B249="","",I249*VLOOKUP(E249,Parametros!$B$18:$D$24,2,FALSE()))</f>
        <v/>
      </c>
      <c r="R249" s="42" t="str">
        <f aca="false">IF($B249="","",G249*VLOOKUP(E249,Parametros!$B$18:$D$24,3,FALSE()))</f>
        <v/>
      </c>
      <c r="S249" s="42" t="str">
        <f aca="false">IF($B249="","",Q249-R249)</f>
        <v/>
      </c>
      <c r="T249" s="43" t="str">
        <f aca="false">IF($B249="","",IF(S249&gt;0,"G","P"))</f>
        <v/>
      </c>
      <c r="U249" s="44" t="str">
        <f aca="false">IF($B249="","",S249/Parametros!$C$8)</f>
        <v/>
      </c>
      <c r="V249" s="42" t="str">
        <f aca="false">IF($B249="","",Parametros!$C$6+SUM($S$7:S249))</f>
        <v/>
      </c>
      <c r="W249" s="42" t="str">
        <f aca="false">IF($B249="","",MAX(V249,W248))</f>
        <v/>
      </c>
      <c r="X249" s="42" t="str">
        <f aca="false">IF($B249="","",V249-W249)</f>
        <v/>
      </c>
      <c r="Y249" s="45" t="str">
        <f aca="false">IF($B249="","",X249/W249)</f>
        <v/>
      </c>
      <c r="Z249" s="36" t="str">
        <f aca="false">IF($B249="","",IF(T249="G",IF(N(Z248)&gt;0,Z248+1,1),IF(N(Z248)&lt;0,Z248-1,-1)))</f>
        <v/>
      </c>
      <c r="AA249" s="46" t="str">
        <f aca="false">IF($B249="","",B249-WEEKDAY(B249,2)+1)</f>
        <v/>
      </c>
      <c r="AB249" s="47" t="str">
        <f aca="false">IF($B249="","",DATE(YEAR(B249),MONTH(B249),1))</f>
        <v/>
      </c>
      <c r="AC249" s="41" t="str">
        <f aca="false">IF($B249="","",CHOOSE(WEEKDAY(B249,2),"Lunes","Martes","Miércoles","Jueves","Viernes","Sábado","Domingo"))</f>
        <v/>
      </c>
      <c r="AD249" s="36" t="str">
        <f aca="false">IF($B249="","",HOUR(C249))</f>
        <v/>
      </c>
      <c r="AE249" s="42" t="str">
        <f aca="false">IF($B249="","",IF(O249&lt;&gt;O248,MAX(V249-S249,V249),MAX(V249,AE248)))</f>
        <v/>
      </c>
      <c r="AF249" s="42" t="str">
        <f aca="false">IF($B249="","",V249-AE249)</f>
        <v/>
      </c>
      <c r="AG249" s="36" t="str">
        <f aca="false">IF($B249="","",IF(O249&lt;&gt;O248,IF(T249="G",1,-1),IF(T249="G",IF(N(AG248)&gt;0,AG248+1,1),IF(N(AG248)&lt;0,AG248-1,-1))))</f>
        <v/>
      </c>
    </row>
    <row r="250" customFormat="false" ht="15" hidden="false" customHeight="false" outlineLevel="0" collapsed="false">
      <c r="A250" s="36" t="str">
        <f aca="false">IF(B250="","",ROW()-6)</f>
        <v/>
      </c>
      <c r="B250" s="37"/>
      <c r="C250" s="38"/>
      <c r="D250" s="38"/>
      <c r="E250" s="39"/>
      <c r="F250" s="39"/>
      <c r="G250" s="39"/>
      <c r="H250" s="40"/>
      <c r="I250" s="40"/>
      <c r="J250" s="40"/>
      <c r="K250" s="40"/>
      <c r="L250" s="39"/>
      <c r="M250" s="40"/>
      <c r="N250" s="40"/>
      <c r="O250" s="36" t="str">
        <f aca="false">IF($B250="","",INT((A250-1)/Parametros!$C$10)+1)</f>
        <v/>
      </c>
      <c r="P250" s="41" t="str">
        <f aca="false">IF($B250="","",IF(OR(C250="",D250=""),"",ROUND((D250-C250)*1440,0)))</f>
        <v/>
      </c>
      <c r="Q250" s="42" t="str">
        <f aca="false">IF($B250="","",I250*VLOOKUP(E250,Parametros!$B$18:$D$24,2,FALSE()))</f>
        <v/>
      </c>
      <c r="R250" s="42" t="str">
        <f aca="false">IF($B250="","",G250*VLOOKUP(E250,Parametros!$B$18:$D$24,3,FALSE()))</f>
        <v/>
      </c>
      <c r="S250" s="42" t="str">
        <f aca="false">IF($B250="","",Q250-R250)</f>
        <v/>
      </c>
      <c r="T250" s="43" t="str">
        <f aca="false">IF($B250="","",IF(S250&gt;0,"G","P"))</f>
        <v/>
      </c>
      <c r="U250" s="44" t="str">
        <f aca="false">IF($B250="","",S250/Parametros!$C$8)</f>
        <v/>
      </c>
      <c r="V250" s="42" t="str">
        <f aca="false">IF($B250="","",Parametros!$C$6+SUM($S$7:S250))</f>
        <v/>
      </c>
      <c r="W250" s="42" t="str">
        <f aca="false">IF($B250="","",MAX(V250,W249))</f>
        <v/>
      </c>
      <c r="X250" s="42" t="str">
        <f aca="false">IF($B250="","",V250-W250)</f>
        <v/>
      </c>
      <c r="Y250" s="45" t="str">
        <f aca="false">IF($B250="","",X250/W250)</f>
        <v/>
      </c>
      <c r="Z250" s="36" t="str">
        <f aca="false">IF($B250="","",IF(T250="G",IF(N(Z249)&gt;0,Z249+1,1),IF(N(Z249)&lt;0,Z249-1,-1)))</f>
        <v/>
      </c>
      <c r="AA250" s="46" t="str">
        <f aca="false">IF($B250="","",B250-WEEKDAY(B250,2)+1)</f>
        <v/>
      </c>
      <c r="AB250" s="47" t="str">
        <f aca="false">IF($B250="","",DATE(YEAR(B250),MONTH(B250),1))</f>
        <v/>
      </c>
      <c r="AC250" s="41" t="str">
        <f aca="false">IF($B250="","",CHOOSE(WEEKDAY(B250,2),"Lunes","Martes","Miércoles","Jueves","Viernes","Sábado","Domingo"))</f>
        <v/>
      </c>
      <c r="AD250" s="36" t="str">
        <f aca="false">IF($B250="","",HOUR(C250))</f>
        <v/>
      </c>
      <c r="AE250" s="42" t="str">
        <f aca="false">IF($B250="","",IF(O250&lt;&gt;O249,MAX(V250-S250,V250),MAX(V250,AE249)))</f>
        <v/>
      </c>
      <c r="AF250" s="42" t="str">
        <f aca="false">IF($B250="","",V250-AE250)</f>
        <v/>
      </c>
      <c r="AG250" s="36" t="str">
        <f aca="false">IF($B250="","",IF(O250&lt;&gt;O249,IF(T250="G",1,-1),IF(T250="G",IF(N(AG249)&gt;0,AG249+1,1),IF(N(AG249)&lt;0,AG249-1,-1))))</f>
        <v/>
      </c>
    </row>
    <row r="251" customFormat="false" ht="15" hidden="false" customHeight="false" outlineLevel="0" collapsed="false">
      <c r="A251" s="36" t="str">
        <f aca="false">IF(B251="","",ROW()-6)</f>
        <v/>
      </c>
      <c r="B251" s="37"/>
      <c r="C251" s="38"/>
      <c r="D251" s="38"/>
      <c r="E251" s="39"/>
      <c r="F251" s="39"/>
      <c r="G251" s="39"/>
      <c r="H251" s="40"/>
      <c r="I251" s="40"/>
      <c r="J251" s="40"/>
      <c r="K251" s="40"/>
      <c r="L251" s="39"/>
      <c r="M251" s="40"/>
      <c r="N251" s="40"/>
      <c r="O251" s="36" t="str">
        <f aca="false">IF($B251="","",INT((A251-1)/Parametros!$C$10)+1)</f>
        <v/>
      </c>
      <c r="P251" s="41" t="str">
        <f aca="false">IF($B251="","",IF(OR(C251="",D251=""),"",ROUND((D251-C251)*1440,0)))</f>
        <v/>
      </c>
      <c r="Q251" s="42" t="str">
        <f aca="false">IF($B251="","",I251*VLOOKUP(E251,Parametros!$B$18:$D$24,2,FALSE()))</f>
        <v/>
      </c>
      <c r="R251" s="42" t="str">
        <f aca="false">IF($B251="","",G251*VLOOKUP(E251,Parametros!$B$18:$D$24,3,FALSE()))</f>
        <v/>
      </c>
      <c r="S251" s="42" t="str">
        <f aca="false">IF($B251="","",Q251-R251)</f>
        <v/>
      </c>
      <c r="T251" s="43" t="str">
        <f aca="false">IF($B251="","",IF(S251&gt;0,"G","P"))</f>
        <v/>
      </c>
      <c r="U251" s="44" t="str">
        <f aca="false">IF($B251="","",S251/Parametros!$C$8)</f>
        <v/>
      </c>
      <c r="V251" s="42" t="str">
        <f aca="false">IF($B251="","",Parametros!$C$6+SUM($S$7:S251))</f>
        <v/>
      </c>
      <c r="W251" s="42" t="str">
        <f aca="false">IF($B251="","",MAX(V251,W250))</f>
        <v/>
      </c>
      <c r="X251" s="42" t="str">
        <f aca="false">IF($B251="","",V251-W251)</f>
        <v/>
      </c>
      <c r="Y251" s="45" t="str">
        <f aca="false">IF($B251="","",X251/W251)</f>
        <v/>
      </c>
      <c r="Z251" s="36" t="str">
        <f aca="false">IF($B251="","",IF(T251="G",IF(N(Z250)&gt;0,Z250+1,1),IF(N(Z250)&lt;0,Z250-1,-1)))</f>
        <v/>
      </c>
      <c r="AA251" s="46" t="str">
        <f aca="false">IF($B251="","",B251-WEEKDAY(B251,2)+1)</f>
        <v/>
      </c>
      <c r="AB251" s="47" t="str">
        <f aca="false">IF($B251="","",DATE(YEAR(B251),MONTH(B251),1))</f>
        <v/>
      </c>
      <c r="AC251" s="41" t="str">
        <f aca="false">IF($B251="","",CHOOSE(WEEKDAY(B251,2),"Lunes","Martes","Miércoles","Jueves","Viernes","Sábado","Domingo"))</f>
        <v/>
      </c>
      <c r="AD251" s="36" t="str">
        <f aca="false">IF($B251="","",HOUR(C251))</f>
        <v/>
      </c>
      <c r="AE251" s="42" t="str">
        <f aca="false">IF($B251="","",IF(O251&lt;&gt;O250,MAX(V251-S251,V251),MAX(V251,AE250)))</f>
        <v/>
      </c>
      <c r="AF251" s="42" t="str">
        <f aca="false">IF($B251="","",V251-AE251)</f>
        <v/>
      </c>
      <c r="AG251" s="36" t="str">
        <f aca="false">IF($B251="","",IF(O251&lt;&gt;O250,IF(T251="G",1,-1),IF(T251="G",IF(N(AG250)&gt;0,AG250+1,1),IF(N(AG250)&lt;0,AG250-1,-1))))</f>
        <v/>
      </c>
    </row>
    <row r="252" customFormat="false" ht="15" hidden="false" customHeight="false" outlineLevel="0" collapsed="false">
      <c r="A252" s="36" t="str">
        <f aca="false">IF(B252="","",ROW()-6)</f>
        <v/>
      </c>
      <c r="B252" s="37"/>
      <c r="C252" s="38"/>
      <c r="D252" s="38"/>
      <c r="E252" s="39"/>
      <c r="F252" s="39"/>
      <c r="G252" s="39"/>
      <c r="H252" s="40"/>
      <c r="I252" s="40"/>
      <c r="J252" s="40"/>
      <c r="K252" s="40"/>
      <c r="L252" s="39"/>
      <c r="M252" s="40"/>
      <c r="N252" s="40"/>
      <c r="O252" s="36" t="str">
        <f aca="false">IF($B252="","",INT((A252-1)/Parametros!$C$10)+1)</f>
        <v/>
      </c>
      <c r="P252" s="41" t="str">
        <f aca="false">IF($B252="","",IF(OR(C252="",D252=""),"",ROUND((D252-C252)*1440,0)))</f>
        <v/>
      </c>
      <c r="Q252" s="42" t="str">
        <f aca="false">IF($B252="","",I252*VLOOKUP(E252,Parametros!$B$18:$D$24,2,FALSE()))</f>
        <v/>
      </c>
      <c r="R252" s="42" t="str">
        <f aca="false">IF($B252="","",G252*VLOOKUP(E252,Parametros!$B$18:$D$24,3,FALSE()))</f>
        <v/>
      </c>
      <c r="S252" s="42" t="str">
        <f aca="false">IF($B252="","",Q252-R252)</f>
        <v/>
      </c>
      <c r="T252" s="43" t="str">
        <f aca="false">IF($B252="","",IF(S252&gt;0,"G","P"))</f>
        <v/>
      </c>
      <c r="U252" s="44" t="str">
        <f aca="false">IF($B252="","",S252/Parametros!$C$8)</f>
        <v/>
      </c>
      <c r="V252" s="42" t="str">
        <f aca="false">IF($B252="","",Parametros!$C$6+SUM($S$7:S252))</f>
        <v/>
      </c>
      <c r="W252" s="42" t="str">
        <f aca="false">IF($B252="","",MAX(V252,W251))</f>
        <v/>
      </c>
      <c r="X252" s="42" t="str">
        <f aca="false">IF($B252="","",V252-W252)</f>
        <v/>
      </c>
      <c r="Y252" s="45" t="str">
        <f aca="false">IF($B252="","",X252/W252)</f>
        <v/>
      </c>
      <c r="Z252" s="36" t="str">
        <f aca="false">IF($B252="","",IF(T252="G",IF(N(Z251)&gt;0,Z251+1,1),IF(N(Z251)&lt;0,Z251-1,-1)))</f>
        <v/>
      </c>
      <c r="AA252" s="46" t="str">
        <f aca="false">IF($B252="","",B252-WEEKDAY(B252,2)+1)</f>
        <v/>
      </c>
      <c r="AB252" s="47" t="str">
        <f aca="false">IF($B252="","",DATE(YEAR(B252),MONTH(B252),1))</f>
        <v/>
      </c>
      <c r="AC252" s="41" t="str">
        <f aca="false">IF($B252="","",CHOOSE(WEEKDAY(B252,2),"Lunes","Martes","Miércoles","Jueves","Viernes","Sábado","Domingo"))</f>
        <v/>
      </c>
      <c r="AD252" s="36" t="str">
        <f aca="false">IF($B252="","",HOUR(C252))</f>
        <v/>
      </c>
      <c r="AE252" s="42" t="str">
        <f aca="false">IF($B252="","",IF(O252&lt;&gt;O251,MAX(V252-S252,V252),MAX(V252,AE251)))</f>
        <v/>
      </c>
      <c r="AF252" s="42" t="str">
        <f aca="false">IF($B252="","",V252-AE252)</f>
        <v/>
      </c>
      <c r="AG252" s="36" t="str">
        <f aca="false">IF($B252="","",IF(O252&lt;&gt;O251,IF(T252="G",1,-1),IF(T252="G",IF(N(AG251)&gt;0,AG251+1,1),IF(N(AG251)&lt;0,AG251-1,-1))))</f>
        <v/>
      </c>
    </row>
    <row r="253" customFormat="false" ht="15" hidden="false" customHeight="false" outlineLevel="0" collapsed="false">
      <c r="A253" s="36" t="str">
        <f aca="false">IF(B253="","",ROW()-6)</f>
        <v/>
      </c>
      <c r="B253" s="37"/>
      <c r="C253" s="38"/>
      <c r="D253" s="38"/>
      <c r="E253" s="39"/>
      <c r="F253" s="39"/>
      <c r="G253" s="39"/>
      <c r="H253" s="40"/>
      <c r="I253" s="40"/>
      <c r="J253" s="40"/>
      <c r="K253" s="40"/>
      <c r="L253" s="39"/>
      <c r="M253" s="40"/>
      <c r="N253" s="40"/>
      <c r="O253" s="36" t="str">
        <f aca="false">IF($B253="","",INT((A253-1)/Parametros!$C$10)+1)</f>
        <v/>
      </c>
      <c r="P253" s="41" t="str">
        <f aca="false">IF($B253="","",IF(OR(C253="",D253=""),"",ROUND((D253-C253)*1440,0)))</f>
        <v/>
      </c>
      <c r="Q253" s="42" t="str">
        <f aca="false">IF($B253="","",I253*VLOOKUP(E253,Parametros!$B$18:$D$24,2,FALSE()))</f>
        <v/>
      </c>
      <c r="R253" s="42" t="str">
        <f aca="false">IF($B253="","",G253*VLOOKUP(E253,Parametros!$B$18:$D$24,3,FALSE()))</f>
        <v/>
      </c>
      <c r="S253" s="42" t="str">
        <f aca="false">IF($B253="","",Q253-R253)</f>
        <v/>
      </c>
      <c r="T253" s="43" t="str">
        <f aca="false">IF($B253="","",IF(S253&gt;0,"G","P"))</f>
        <v/>
      </c>
      <c r="U253" s="44" t="str">
        <f aca="false">IF($B253="","",S253/Parametros!$C$8)</f>
        <v/>
      </c>
      <c r="V253" s="42" t="str">
        <f aca="false">IF($B253="","",Parametros!$C$6+SUM($S$7:S253))</f>
        <v/>
      </c>
      <c r="W253" s="42" t="str">
        <f aca="false">IF($B253="","",MAX(V253,W252))</f>
        <v/>
      </c>
      <c r="X253" s="42" t="str">
        <f aca="false">IF($B253="","",V253-W253)</f>
        <v/>
      </c>
      <c r="Y253" s="45" t="str">
        <f aca="false">IF($B253="","",X253/W253)</f>
        <v/>
      </c>
      <c r="Z253" s="36" t="str">
        <f aca="false">IF($B253="","",IF(T253="G",IF(N(Z252)&gt;0,Z252+1,1),IF(N(Z252)&lt;0,Z252-1,-1)))</f>
        <v/>
      </c>
      <c r="AA253" s="46" t="str">
        <f aca="false">IF($B253="","",B253-WEEKDAY(B253,2)+1)</f>
        <v/>
      </c>
      <c r="AB253" s="47" t="str">
        <f aca="false">IF($B253="","",DATE(YEAR(B253),MONTH(B253),1))</f>
        <v/>
      </c>
      <c r="AC253" s="41" t="str">
        <f aca="false">IF($B253="","",CHOOSE(WEEKDAY(B253,2),"Lunes","Martes","Miércoles","Jueves","Viernes","Sábado","Domingo"))</f>
        <v/>
      </c>
      <c r="AD253" s="36" t="str">
        <f aca="false">IF($B253="","",HOUR(C253))</f>
        <v/>
      </c>
      <c r="AE253" s="42" t="str">
        <f aca="false">IF($B253="","",IF(O253&lt;&gt;O252,MAX(V253-S253,V253),MAX(V253,AE252)))</f>
        <v/>
      </c>
      <c r="AF253" s="42" t="str">
        <f aca="false">IF($B253="","",V253-AE253)</f>
        <v/>
      </c>
      <c r="AG253" s="36" t="str">
        <f aca="false">IF($B253="","",IF(O253&lt;&gt;O252,IF(T253="G",1,-1),IF(T253="G",IF(N(AG252)&gt;0,AG252+1,1),IF(N(AG252)&lt;0,AG252-1,-1))))</f>
        <v/>
      </c>
    </row>
    <row r="254" customFormat="false" ht="15" hidden="false" customHeight="false" outlineLevel="0" collapsed="false">
      <c r="A254" s="36" t="str">
        <f aca="false">IF(B254="","",ROW()-6)</f>
        <v/>
      </c>
      <c r="B254" s="37"/>
      <c r="C254" s="38"/>
      <c r="D254" s="38"/>
      <c r="E254" s="39"/>
      <c r="F254" s="39"/>
      <c r="G254" s="39"/>
      <c r="H254" s="40"/>
      <c r="I254" s="40"/>
      <c r="J254" s="40"/>
      <c r="K254" s="40"/>
      <c r="L254" s="39"/>
      <c r="M254" s="40"/>
      <c r="N254" s="40"/>
      <c r="O254" s="36" t="str">
        <f aca="false">IF($B254="","",INT((A254-1)/Parametros!$C$10)+1)</f>
        <v/>
      </c>
      <c r="P254" s="41" t="str">
        <f aca="false">IF($B254="","",IF(OR(C254="",D254=""),"",ROUND((D254-C254)*1440,0)))</f>
        <v/>
      </c>
      <c r="Q254" s="42" t="str">
        <f aca="false">IF($B254="","",I254*VLOOKUP(E254,Parametros!$B$18:$D$24,2,FALSE()))</f>
        <v/>
      </c>
      <c r="R254" s="42" t="str">
        <f aca="false">IF($B254="","",G254*VLOOKUP(E254,Parametros!$B$18:$D$24,3,FALSE()))</f>
        <v/>
      </c>
      <c r="S254" s="42" t="str">
        <f aca="false">IF($B254="","",Q254-R254)</f>
        <v/>
      </c>
      <c r="T254" s="43" t="str">
        <f aca="false">IF($B254="","",IF(S254&gt;0,"G","P"))</f>
        <v/>
      </c>
      <c r="U254" s="44" t="str">
        <f aca="false">IF($B254="","",S254/Parametros!$C$8)</f>
        <v/>
      </c>
      <c r="V254" s="42" t="str">
        <f aca="false">IF($B254="","",Parametros!$C$6+SUM($S$7:S254))</f>
        <v/>
      </c>
      <c r="W254" s="42" t="str">
        <f aca="false">IF($B254="","",MAX(V254,W253))</f>
        <v/>
      </c>
      <c r="X254" s="42" t="str">
        <f aca="false">IF($B254="","",V254-W254)</f>
        <v/>
      </c>
      <c r="Y254" s="45" t="str">
        <f aca="false">IF($B254="","",X254/W254)</f>
        <v/>
      </c>
      <c r="Z254" s="36" t="str">
        <f aca="false">IF($B254="","",IF(T254="G",IF(N(Z253)&gt;0,Z253+1,1),IF(N(Z253)&lt;0,Z253-1,-1)))</f>
        <v/>
      </c>
      <c r="AA254" s="46" t="str">
        <f aca="false">IF($B254="","",B254-WEEKDAY(B254,2)+1)</f>
        <v/>
      </c>
      <c r="AB254" s="47" t="str">
        <f aca="false">IF($B254="","",DATE(YEAR(B254),MONTH(B254),1))</f>
        <v/>
      </c>
      <c r="AC254" s="41" t="str">
        <f aca="false">IF($B254="","",CHOOSE(WEEKDAY(B254,2),"Lunes","Martes","Miércoles","Jueves","Viernes","Sábado","Domingo"))</f>
        <v/>
      </c>
      <c r="AD254" s="36" t="str">
        <f aca="false">IF($B254="","",HOUR(C254))</f>
        <v/>
      </c>
      <c r="AE254" s="42" t="str">
        <f aca="false">IF($B254="","",IF(O254&lt;&gt;O253,MAX(V254-S254,V254),MAX(V254,AE253)))</f>
        <v/>
      </c>
      <c r="AF254" s="42" t="str">
        <f aca="false">IF($B254="","",V254-AE254)</f>
        <v/>
      </c>
      <c r="AG254" s="36" t="str">
        <f aca="false">IF($B254="","",IF(O254&lt;&gt;O253,IF(T254="G",1,-1),IF(T254="G",IF(N(AG253)&gt;0,AG253+1,1),IF(N(AG253)&lt;0,AG253-1,-1))))</f>
        <v/>
      </c>
    </row>
    <row r="255" customFormat="false" ht="15" hidden="false" customHeight="false" outlineLevel="0" collapsed="false">
      <c r="A255" s="36" t="str">
        <f aca="false">IF(B255="","",ROW()-6)</f>
        <v/>
      </c>
      <c r="B255" s="37"/>
      <c r="C255" s="38"/>
      <c r="D255" s="38"/>
      <c r="E255" s="39"/>
      <c r="F255" s="39"/>
      <c r="G255" s="39"/>
      <c r="H255" s="40"/>
      <c r="I255" s="40"/>
      <c r="J255" s="40"/>
      <c r="K255" s="40"/>
      <c r="L255" s="39"/>
      <c r="M255" s="40"/>
      <c r="N255" s="40"/>
      <c r="O255" s="36" t="str">
        <f aca="false">IF($B255="","",INT((A255-1)/Parametros!$C$10)+1)</f>
        <v/>
      </c>
      <c r="P255" s="41" t="str">
        <f aca="false">IF($B255="","",IF(OR(C255="",D255=""),"",ROUND((D255-C255)*1440,0)))</f>
        <v/>
      </c>
      <c r="Q255" s="42" t="str">
        <f aca="false">IF($B255="","",I255*VLOOKUP(E255,Parametros!$B$18:$D$24,2,FALSE()))</f>
        <v/>
      </c>
      <c r="R255" s="42" t="str">
        <f aca="false">IF($B255="","",G255*VLOOKUP(E255,Parametros!$B$18:$D$24,3,FALSE()))</f>
        <v/>
      </c>
      <c r="S255" s="42" t="str">
        <f aca="false">IF($B255="","",Q255-R255)</f>
        <v/>
      </c>
      <c r="T255" s="43" t="str">
        <f aca="false">IF($B255="","",IF(S255&gt;0,"G","P"))</f>
        <v/>
      </c>
      <c r="U255" s="44" t="str">
        <f aca="false">IF($B255="","",S255/Parametros!$C$8)</f>
        <v/>
      </c>
      <c r="V255" s="42" t="str">
        <f aca="false">IF($B255="","",Parametros!$C$6+SUM($S$7:S255))</f>
        <v/>
      </c>
      <c r="W255" s="42" t="str">
        <f aca="false">IF($B255="","",MAX(V255,W254))</f>
        <v/>
      </c>
      <c r="X255" s="42" t="str">
        <f aca="false">IF($B255="","",V255-W255)</f>
        <v/>
      </c>
      <c r="Y255" s="45" t="str">
        <f aca="false">IF($B255="","",X255/W255)</f>
        <v/>
      </c>
      <c r="Z255" s="36" t="str">
        <f aca="false">IF($B255="","",IF(T255="G",IF(N(Z254)&gt;0,Z254+1,1),IF(N(Z254)&lt;0,Z254-1,-1)))</f>
        <v/>
      </c>
      <c r="AA255" s="46" t="str">
        <f aca="false">IF($B255="","",B255-WEEKDAY(B255,2)+1)</f>
        <v/>
      </c>
      <c r="AB255" s="47" t="str">
        <f aca="false">IF($B255="","",DATE(YEAR(B255),MONTH(B255),1))</f>
        <v/>
      </c>
      <c r="AC255" s="41" t="str">
        <f aca="false">IF($B255="","",CHOOSE(WEEKDAY(B255,2),"Lunes","Martes","Miércoles","Jueves","Viernes","Sábado","Domingo"))</f>
        <v/>
      </c>
      <c r="AD255" s="36" t="str">
        <f aca="false">IF($B255="","",HOUR(C255))</f>
        <v/>
      </c>
      <c r="AE255" s="42" t="str">
        <f aca="false">IF($B255="","",IF(O255&lt;&gt;O254,MAX(V255-S255,V255),MAX(V255,AE254)))</f>
        <v/>
      </c>
      <c r="AF255" s="42" t="str">
        <f aca="false">IF($B255="","",V255-AE255)</f>
        <v/>
      </c>
      <c r="AG255" s="36" t="str">
        <f aca="false">IF($B255="","",IF(O255&lt;&gt;O254,IF(T255="G",1,-1),IF(T255="G",IF(N(AG254)&gt;0,AG254+1,1),IF(N(AG254)&lt;0,AG254-1,-1))))</f>
        <v/>
      </c>
    </row>
    <row r="256" customFormat="false" ht="15" hidden="false" customHeight="false" outlineLevel="0" collapsed="false">
      <c r="A256" s="36" t="str">
        <f aca="false">IF(B256="","",ROW()-6)</f>
        <v/>
      </c>
      <c r="B256" s="37"/>
      <c r="C256" s="38"/>
      <c r="D256" s="38"/>
      <c r="E256" s="39"/>
      <c r="F256" s="39"/>
      <c r="G256" s="39"/>
      <c r="H256" s="40"/>
      <c r="I256" s="40"/>
      <c r="J256" s="40"/>
      <c r="K256" s="40"/>
      <c r="L256" s="39"/>
      <c r="M256" s="40"/>
      <c r="N256" s="40"/>
      <c r="O256" s="36" t="str">
        <f aca="false">IF($B256="","",INT((A256-1)/Parametros!$C$10)+1)</f>
        <v/>
      </c>
      <c r="P256" s="41" t="str">
        <f aca="false">IF($B256="","",IF(OR(C256="",D256=""),"",ROUND((D256-C256)*1440,0)))</f>
        <v/>
      </c>
      <c r="Q256" s="42" t="str">
        <f aca="false">IF($B256="","",I256*VLOOKUP(E256,Parametros!$B$18:$D$24,2,FALSE()))</f>
        <v/>
      </c>
      <c r="R256" s="42" t="str">
        <f aca="false">IF($B256="","",G256*VLOOKUP(E256,Parametros!$B$18:$D$24,3,FALSE()))</f>
        <v/>
      </c>
      <c r="S256" s="42" t="str">
        <f aca="false">IF($B256="","",Q256-R256)</f>
        <v/>
      </c>
      <c r="T256" s="43" t="str">
        <f aca="false">IF($B256="","",IF(S256&gt;0,"G","P"))</f>
        <v/>
      </c>
      <c r="U256" s="44" t="str">
        <f aca="false">IF($B256="","",S256/Parametros!$C$8)</f>
        <v/>
      </c>
      <c r="V256" s="42" t="str">
        <f aca="false">IF($B256="","",Parametros!$C$6+SUM($S$7:S256))</f>
        <v/>
      </c>
      <c r="W256" s="42" t="str">
        <f aca="false">IF($B256="","",MAX(V256,W255))</f>
        <v/>
      </c>
      <c r="X256" s="42" t="str">
        <f aca="false">IF($B256="","",V256-W256)</f>
        <v/>
      </c>
      <c r="Y256" s="45" t="str">
        <f aca="false">IF($B256="","",X256/W256)</f>
        <v/>
      </c>
      <c r="Z256" s="36" t="str">
        <f aca="false">IF($B256="","",IF(T256="G",IF(N(Z255)&gt;0,Z255+1,1),IF(N(Z255)&lt;0,Z255-1,-1)))</f>
        <v/>
      </c>
      <c r="AA256" s="46" t="str">
        <f aca="false">IF($B256="","",B256-WEEKDAY(B256,2)+1)</f>
        <v/>
      </c>
      <c r="AB256" s="47" t="str">
        <f aca="false">IF($B256="","",DATE(YEAR(B256),MONTH(B256),1))</f>
        <v/>
      </c>
      <c r="AC256" s="41" t="str">
        <f aca="false">IF($B256="","",CHOOSE(WEEKDAY(B256,2),"Lunes","Martes","Miércoles","Jueves","Viernes","Sábado","Domingo"))</f>
        <v/>
      </c>
      <c r="AD256" s="36" t="str">
        <f aca="false">IF($B256="","",HOUR(C256))</f>
        <v/>
      </c>
      <c r="AE256" s="42" t="str">
        <f aca="false">IF($B256="","",IF(O256&lt;&gt;O255,MAX(V256-S256,V256),MAX(V256,AE255)))</f>
        <v/>
      </c>
      <c r="AF256" s="42" t="str">
        <f aca="false">IF($B256="","",V256-AE256)</f>
        <v/>
      </c>
      <c r="AG256" s="36" t="str">
        <f aca="false">IF($B256="","",IF(O256&lt;&gt;O255,IF(T256="G",1,-1),IF(T256="G",IF(N(AG255)&gt;0,AG255+1,1),IF(N(AG255)&lt;0,AG255-1,-1))))</f>
        <v/>
      </c>
    </row>
    <row r="257" customFormat="false" ht="15" hidden="false" customHeight="false" outlineLevel="0" collapsed="false">
      <c r="A257" s="36" t="str">
        <f aca="false">IF(B257="","",ROW()-6)</f>
        <v/>
      </c>
      <c r="B257" s="37"/>
      <c r="C257" s="38"/>
      <c r="D257" s="38"/>
      <c r="E257" s="39"/>
      <c r="F257" s="39"/>
      <c r="G257" s="39"/>
      <c r="H257" s="40"/>
      <c r="I257" s="40"/>
      <c r="J257" s="40"/>
      <c r="K257" s="40"/>
      <c r="L257" s="39"/>
      <c r="M257" s="40"/>
      <c r="N257" s="40"/>
      <c r="O257" s="36" t="str">
        <f aca="false">IF($B257="","",INT((A257-1)/Parametros!$C$10)+1)</f>
        <v/>
      </c>
      <c r="P257" s="41" t="str">
        <f aca="false">IF($B257="","",IF(OR(C257="",D257=""),"",ROUND((D257-C257)*1440,0)))</f>
        <v/>
      </c>
      <c r="Q257" s="42" t="str">
        <f aca="false">IF($B257="","",I257*VLOOKUP(E257,Parametros!$B$18:$D$24,2,FALSE()))</f>
        <v/>
      </c>
      <c r="R257" s="42" t="str">
        <f aca="false">IF($B257="","",G257*VLOOKUP(E257,Parametros!$B$18:$D$24,3,FALSE()))</f>
        <v/>
      </c>
      <c r="S257" s="42" t="str">
        <f aca="false">IF($B257="","",Q257-R257)</f>
        <v/>
      </c>
      <c r="T257" s="43" t="str">
        <f aca="false">IF($B257="","",IF(S257&gt;0,"G","P"))</f>
        <v/>
      </c>
      <c r="U257" s="44" t="str">
        <f aca="false">IF($B257="","",S257/Parametros!$C$8)</f>
        <v/>
      </c>
      <c r="V257" s="42" t="str">
        <f aca="false">IF($B257="","",Parametros!$C$6+SUM($S$7:S257))</f>
        <v/>
      </c>
      <c r="W257" s="42" t="str">
        <f aca="false">IF($B257="","",MAX(V257,W256))</f>
        <v/>
      </c>
      <c r="X257" s="42" t="str">
        <f aca="false">IF($B257="","",V257-W257)</f>
        <v/>
      </c>
      <c r="Y257" s="45" t="str">
        <f aca="false">IF($B257="","",X257/W257)</f>
        <v/>
      </c>
      <c r="Z257" s="36" t="str">
        <f aca="false">IF($B257="","",IF(T257="G",IF(N(Z256)&gt;0,Z256+1,1),IF(N(Z256)&lt;0,Z256-1,-1)))</f>
        <v/>
      </c>
      <c r="AA257" s="46" t="str">
        <f aca="false">IF($B257="","",B257-WEEKDAY(B257,2)+1)</f>
        <v/>
      </c>
      <c r="AB257" s="47" t="str">
        <f aca="false">IF($B257="","",DATE(YEAR(B257),MONTH(B257),1))</f>
        <v/>
      </c>
      <c r="AC257" s="41" t="str">
        <f aca="false">IF($B257="","",CHOOSE(WEEKDAY(B257,2),"Lunes","Martes","Miércoles","Jueves","Viernes","Sábado","Domingo"))</f>
        <v/>
      </c>
      <c r="AD257" s="36" t="str">
        <f aca="false">IF($B257="","",HOUR(C257))</f>
        <v/>
      </c>
      <c r="AE257" s="42" t="str">
        <f aca="false">IF($B257="","",IF(O257&lt;&gt;O256,MAX(V257-S257,V257),MAX(V257,AE256)))</f>
        <v/>
      </c>
      <c r="AF257" s="42" t="str">
        <f aca="false">IF($B257="","",V257-AE257)</f>
        <v/>
      </c>
      <c r="AG257" s="36" t="str">
        <f aca="false">IF($B257="","",IF(O257&lt;&gt;O256,IF(T257="G",1,-1),IF(T257="G",IF(N(AG256)&gt;0,AG256+1,1),IF(N(AG256)&lt;0,AG256-1,-1))))</f>
        <v/>
      </c>
    </row>
    <row r="258" customFormat="false" ht="15" hidden="false" customHeight="false" outlineLevel="0" collapsed="false">
      <c r="A258" s="36" t="str">
        <f aca="false">IF(B258="","",ROW()-6)</f>
        <v/>
      </c>
      <c r="B258" s="37"/>
      <c r="C258" s="38"/>
      <c r="D258" s="38"/>
      <c r="E258" s="39"/>
      <c r="F258" s="39"/>
      <c r="G258" s="39"/>
      <c r="H258" s="40"/>
      <c r="I258" s="40"/>
      <c r="J258" s="40"/>
      <c r="K258" s="40"/>
      <c r="L258" s="39"/>
      <c r="M258" s="40"/>
      <c r="N258" s="40"/>
      <c r="O258" s="36" t="str">
        <f aca="false">IF($B258="","",INT((A258-1)/Parametros!$C$10)+1)</f>
        <v/>
      </c>
      <c r="P258" s="41" t="str">
        <f aca="false">IF($B258="","",IF(OR(C258="",D258=""),"",ROUND((D258-C258)*1440,0)))</f>
        <v/>
      </c>
      <c r="Q258" s="42" t="str">
        <f aca="false">IF($B258="","",I258*VLOOKUP(E258,Parametros!$B$18:$D$24,2,FALSE()))</f>
        <v/>
      </c>
      <c r="R258" s="42" t="str">
        <f aca="false">IF($B258="","",G258*VLOOKUP(E258,Parametros!$B$18:$D$24,3,FALSE()))</f>
        <v/>
      </c>
      <c r="S258" s="42" t="str">
        <f aca="false">IF($B258="","",Q258-R258)</f>
        <v/>
      </c>
      <c r="T258" s="43" t="str">
        <f aca="false">IF($B258="","",IF(S258&gt;0,"G","P"))</f>
        <v/>
      </c>
      <c r="U258" s="44" t="str">
        <f aca="false">IF($B258="","",S258/Parametros!$C$8)</f>
        <v/>
      </c>
      <c r="V258" s="42" t="str">
        <f aca="false">IF($B258="","",Parametros!$C$6+SUM($S$7:S258))</f>
        <v/>
      </c>
      <c r="W258" s="42" t="str">
        <f aca="false">IF($B258="","",MAX(V258,W257))</f>
        <v/>
      </c>
      <c r="X258" s="42" t="str">
        <f aca="false">IF($B258="","",V258-W258)</f>
        <v/>
      </c>
      <c r="Y258" s="45" t="str">
        <f aca="false">IF($B258="","",X258/W258)</f>
        <v/>
      </c>
      <c r="Z258" s="36" t="str">
        <f aca="false">IF($B258="","",IF(T258="G",IF(N(Z257)&gt;0,Z257+1,1),IF(N(Z257)&lt;0,Z257-1,-1)))</f>
        <v/>
      </c>
      <c r="AA258" s="46" t="str">
        <f aca="false">IF($B258="","",B258-WEEKDAY(B258,2)+1)</f>
        <v/>
      </c>
      <c r="AB258" s="47" t="str">
        <f aca="false">IF($B258="","",DATE(YEAR(B258),MONTH(B258),1))</f>
        <v/>
      </c>
      <c r="AC258" s="41" t="str">
        <f aca="false">IF($B258="","",CHOOSE(WEEKDAY(B258,2),"Lunes","Martes","Miércoles","Jueves","Viernes","Sábado","Domingo"))</f>
        <v/>
      </c>
      <c r="AD258" s="36" t="str">
        <f aca="false">IF($B258="","",HOUR(C258))</f>
        <v/>
      </c>
      <c r="AE258" s="42" t="str">
        <f aca="false">IF($B258="","",IF(O258&lt;&gt;O257,MAX(V258-S258,V258),MAX(V258,AE257)))</f>
        <v/>
      </c>
      <c r="AF258" s="42" t="str">
        <f aca="false">IF($B258="","",V258-AE258)</f>
        <v/>
      </c>
      <c r="AG258" s="36" t="str">
        <f aca="false">IF($B258="","",IF(O258&lt;&gt;O257,IF(T258="G",1,-1),IF(T258="G",IF(N(AG257)&gt;0,AG257+1,1),IF(N(AG257)&lt;0,AG257-1,-1))))</f>
        <v/>
      </c>
    </row>
    <row r="259" customFormat="false" ht="15" hidden="false" customHeight="false" outlineLevel="0" collapsed="false">
      <c r="A259" s="36" t="str">
        <f aca="false">IF(B259="","",ROW()-6)</f>
        <v/>
      </c>
      <c r="B259" s="37"/>
      <c r="C259" s="38"/>
      <c r="D259" s="38"/>
      <c r="E259" s="39"/>
      <c r="F259" s="39"/>
      <c r="G259" s="39"/>
      <c r="H259" s="40"/>
      <c r="I259" s="40"/>
      <c r="J259" s="40"/>
      <c r="K259" s="40"/>
      <c r="L259" s="39"/>
      <c r="M259" s="40"/>
      <c r="N259" s="40"/>
      <c r="O259" s="36" t="str">
        <f aca="false">IF($B259="","",INT((A259-1)/Parametros!$C$10)+1)</f>
        <v/>
      </c>
      <c r="P259" s="41" t="str">
        <f aca="false">IF($B259="","",IF(OR(C259="",D259=""),"",ROUND((D259-C259)*1440,0)))</f>
        <v/>
      </c>
      <c r="Q259" s="42" t="str">
        <f aca="false">IF($B259="","",I259*VLOOKUP(E259,Parametros!$B$18:$D$24,2,FALSE()))</f>
        <v/>
      </c>
      <c r="R259" s="42" t="str">
        <f aca="false">IF($B259="","",G259*VLOOKUP(E259,Parametros!$B$18:$D$24,3,FALSE()))</f>
        <v/>
      </c>
      <c r="S259" s="42" t="str">
        <f aca="false">IF($B259="","",Q259-R259)</f>
        <v/>
      </c>
      <c r="T259" s="43" t="str">
        <f aca="false">IF($B259="","",IF(S259&gt;0,"G","P"))</f>
        <v/>
      </c>
      <c r="U259" s="44" t="str">
        <f aca="false">IF($B259="","",S259/Parametros!$C$8)</f>
        <v/>
      </c>
      <c r="V259" s="42" t="str">
        <f aca="false">IF($B259="","",Parametros!$C$6+SUM($S$7:S259))</f>
        <v/>
      </c>
      <c r="W259" s="42" t="str">
        <f aca="false">IF($B259="","",MAX(V259,W258))</f>
        <v/>
      </c>
      <c r="X259" s="42" t="str">
        <f aca="false">IF($B259="","",V259-W259)</f>
        <v/>
      </c>
      <c r="Y259" s="45" t="str">
        <f aca="false">IF($B259="","",X259/W259)</f>
        <v/>
      </c>
      <c r="Z259" s="36" t="str">
        <f aca="false">IF($B259="","",IF(T259="G",IF(N(Z258)&gt;0,Z258+1,1),IF(N(Z258)&lt;0,Z258-1,-1)))</f>
        <v/>
      </c>
      <c r="AA259" s="46" t="str">
        <f aca="false">IF($B259="","",B259-WEEKDAY(B259,2)+1)</f>
        <v/>
      </c>
      <c r="AB259" s="47" t="str">
        <f aca="false">IF($B259="","",DATE(YEAR(B259),MONTH(B259),1))</f>
        <v/>
      </c>
      <c r="AC259" s="41" t="str">
        <f aca="false">IF($B259="","",CHOOSE(WEEKDAY(B259,2),"Lunes","Martes","Miércoles","Jueves","Viernes","Sábado","Domingo"))</f>
        <v/>
      </c>
      <c r="AD259" s="36" t="str">
        <f aca="false">IF($B259="","",HOUR(C259))</f>
        <v/>
      </c>
      <c r="AE259" s="42" t="str">
        <f aca="false">IF($B259="","",IF(O259&lt;&gt;O258,MAX(V259-S259,V259),MAX(V259,AE258)))</f>
        <v/>
      </c>
      <c r="AF259" s="42" t="str">
        <f aca="false">IF($B259="","",V259-AE259)</f>
        <v/>
      </c>
      <c r="AG259" s="36" t="str">
        <f aca="false">IF($B259="","",IF(O259&lt;&gt;O258,IF(T259="G",1,-1),IF(T259="G",IF(N(AG258)&gt;0,AG258+1,1),IF(N(AG258)&lt;0,AG258-1,-1))))</f>
        <v/>
      </c>
    </row>
    <row r="260" customFormat="false" ht="15" hidden="false" customHeight="false" outlineLevel="0" collapsed="false">
      <c r="A260" s="36" t="str">
        <f aca="false">IF(B260="","",ROW()-6)</f>
        <v/>
      </c>
      <c r="B260" s="37"/>
      <c r="C260" s="38"/>
      <c r="D260" s="38"/>
      <c r="E260" s="39"/>
      <c r="F260" s="39"/>
      <c r="G260" s="39"/>
      <c r="H260" s="40"/>
      <c r="I260" s="40"/>
      <c r="J260" s="40"/>
      <c r="K260" s="40"/>
      <c r="L260" s="39"/>
      <c r="M260" s="40"/>
      <c r="N260" s="40"/>
      <c r="O260" s="36" t="str">
        <f aca="false">IF($B260="","",INT((A260-1)/Parametros!$C$10)+1)</f>
        <v/>
      </c>
      <c r="P260" s="41" t="str">
        <f aca="false">IF($B260="","",IF(OR(C260="",D260=""),"",ROUND((D260-C260)*1440,0)))</f>
        <v/>
      </c>
      <c r="Q260" s="42" t="str">
        <f aca="false">IF($B260="","",I260*VLOOKUP(E260,Parametros!$B$18:$D$24,2,FALSE()))</f>
        <v/>
      </c>
      <c r="R260" s="42" t="str">
        <f aca="false">IF($B260="","",G260*VLOOKUP(E260,Parametros!$B$18:$D$24,3,FALSE()))</f>
        <v/>
      </c>
      <c r="S260" s="42" t="str">
        <f aca="false">IF($B260="","",Q260-R260)</f>
        <v/>
      </c>
      <c r="T260" s="43" t="str">
        <f aca="false">IF($B260="","",IF(S260&gt;0,"G","P"))</f>
        <v/>
      </c>
      <c r="U260" s="44" t="str">
        <f aca="false">IF($B260="","",S260/Parametros!$C$8)</f>
        <v/>
      </c>
      <c r="V260" s="42" t="str">
        <f aca="false">IF($B260="","",Parametros!$C$6+SUM($S$7:S260))</f>
        <v/>
      </c>
      <c r="W260" s="42" t="str">
        <f aca="false">IF($B260="","",MAX(V260,W259))</f>
        <v/>
      </c>
      <c r="X260" s="42" t="str">
        <f aca="false">IF($B260="","",V260-W260)</f>
        <v/>
      </c>
      <c r="Y260" s="45" t="str">
        <f aca="false">IF($B260="","",X260/W260)</f>
        <v/>
      </c>
      <c r="Z260" s="36" t="str">
        <f aca="false">IF($B260="","",IF(T260="G",IF(N(Z259)&gt;0,Z259+1,1),IF(N(Z259)&lt;0,Z259-1,-1)))</f>
        <v/>
      </c>
      <c r="AA260" s="46" t="str">
        <f aca="false">IF($B260="","",B260-WEEKDAY(B260,2)+1)</f>
        <v/>
      </c>
      <c r="AB260" s="47" t="str">
        <f aca="false">IF($B260="","",DATE(YEAR(B260),MONTH(B260),1))</f>
        <v/>
      </c>
      <c r="AC260" s="41" t="str">
        <f aca="false">IF($B260="","",CHOOSE(WEEKDAY(B260,2),"Lunes","Martes","Miércoles","Jueves","Viernes","Sábado","Domingo"))</f>
        <v/>
      </c>
      <c r="AD260" s="36" t="str">
        <f aca="false">IF($B260="","",HOUR(C260))</f>
        <v/>
      </c>
      <c r="AE260" s="42" t="str">
        <f aca="false">IF($B260="","",IF(O260&lt;&gt;O259,MAX(V260-S260,V260),MAX(V260,AE259)))</f>
        <v/>
      </c>
      <c r="AF260" s="42" t="str">
        <f aca="false">IF($B260="","",V260-AE260)</f>
        <v/>
      </c>
      <c r="AG260" s="36" t="str">
        <f aca="false">IF($B260="","",IF(O260&lt;&gt;O259,IF(T260="G",1,-1),IF(T260="G",IF(N(AG259)&gt;0,AG259+1,1),IF(N(AG259)&lt;0,AG259-1,-1))))</f>
        <v/>
      </c>
    </row>
    <row r="261" customFormat="false" ht="15" hidden="false" customHeight="false" outlineLevel="0" collapsed="false">
      <c r="A261" s="36" t="str">
        <f aca="false">IF(B261="","",ROW()-6)</f>
        <v/>
      </c>
      <c r="B261" s="37"/>
      <c r="C261" s="38"/>
      <c r="D261" s="38"/>
      <c r="E261" s="39"/>
      <c r="F261" s="39"/>
      <c r="G261" s="39"/>
      <c r="H261" s="40"/>
      <c r="I261" s="40"/>
      <c r="J261" s="40"/>
      <c r="K261" s="40"/>
      <c r="L261" s="39"/>
      <c r="M261" s="40"/>
      <c r="N261" s="40"/>
      <c r="O261" s="36" t="str">
        <f aca="false">IF($B261="","",INT((A261-1)/Parametros!$C$10)+1)</f>
        <v/>
      </c>
      <c r="P261" s="41" t="str">
        <f aca="false">IF($B261="","",IF(OR(C261="",D261=""),"",ROUND((D261-C261)*1440,0)))</f>
        <v/>
      </c>
      <c r="Q261" s="42" t="str">
        <f aca="false">IF($B261="","",I261*VLOOKUP(E261,Parametros!$B$18:$D$24,2,FALSE()))</f>
        <v/>
      </c>
      <c r="R261" s="42" t="str">
        <f aca="false">IF($B261="","",G261*VLOOKUP(E261,Parametros!$B$18:$D$24,3,FALSE()))</f>
        <v/>
      </c>
      <c r="S261" s="42" t="str">
        <f aca="false">IF($B261="","",Q261-R261)</f>
        <v/>
      </c>
      <c r="T261" s="43" t="str">
        <f aca="false">IF($B261="","",IF(S261&gt;0,"G","P"))</f>
        <v/>
      </c>
      <c r="U261" s="44" t="str">
        <f aca="false">IF($B261="","",S261/Parametros!$C$8)</f>
        <v/>
      </c>
      <c r="V261" s="42" t="str">
        <f aca="false">IF($B261="","",Parametros!$C$6+SUM($S$7:S261))</f>
        <v/>
      </c>
      <c r="W261" s="42" t="str">
        <f aca="false">IF($B261="","",MAX(V261,W260))</f>
        <v/>
      </c>
      <c r="X261" s="42" t="str">
        <f aca="false">IF($B261="","",V261-W261)</f>
        <v/>
      </c>
      <c r="Y261" s="45" t="str">
        <f aca="false">IF($B261="","",X261/W261)</f>
        <v/>
      </c>
      <c r="Z261" s="36" t="str">
        <f aca="false">IF($B261="","",IF(T261="G",IF(N(Z260)&gt;0,Z260+1,1),IF(N(Z260)&lt;0,Z260-1,-1)))</f>
        <v/>
      </c>
      <c r="AA261" s="46" t="str">
        <f aca="false">IF($B261="","",B261-WEEKDAY(B261,2)+1)</f>
        <v/>
      </c>
      <c r="AB261" s="47" t="str">
        <f aca="false">IF($B261="","",DATE(YEAR(B261),MONTH(B261),1))</f>
        <v/>
      </c>
      <c r="AC261" s="41" t="str">
        <f aca="false">IF($B261="","",CHOOSE(WEEKDAY(B261,2),"Lunes","Martes","Miércoles","Jueves","Viernes","Sábado","Domingo"))</f>
        <v/>
      </c>
      <c r="AD261" s="36" t="str">
        <f aca="false">IF($B261="","",HOUR(C261))</f>
        <v/>
      </c>
      <c r="AE261" s="42" t="str">
        <f aca="false">IF($B261="","",IF(O261&lt;&gt;O260,MAX(V261-S261,V261),MAX(V261,AE260)))</f>
        <v/>
      </c>
      <c r="AF261" s="42" t="str">
        <f aca="false">IF($B261="","",V261-AE261)</f>
        <v/>
      </c>
      <c r="AG261" s="36" t="str">
        <f aca="false">IF($B261="","",IF(O261&lt;&gt;O260,IF(T261="G",1,-1),IF(T261="G",IF(N(AG260)&gt;0,AG260+1,1),IF(N(AG260)&lt;0,AG260-1,-1))))</f>
        <v/>
      </c>
    </row>
    <row r="262" customFormat="false" ht="15" hidden="false" customHeight="false" outlineLevel="0" collapsed="false">
      <c r="A262" s="36" t="str">
        <f aca="false">IF(B262="","",ROW()-6)</f>
        <v/>
      </c>
      <c r="B262" s="37"/>
      <c r="C262" s="38"/>
      <c r="D262" s="38"/>
      <c r="E262" s="39"/>
      <c r="F262" s="39"/>
      <c r="G262" s="39"/>
      <c r="H262" s="40"/>
      <c r="I262" s="40"/>
      <c r="J262" s="40"/>
      <c r="K262" s="40"/>
      <c r="L262" s="39"/>
      <c r="M262" s="40"/>
      <c r="N262" s="40"/>
      <c r="O262" s="36" t="str">
        <f aca="false">IF($B262="","",INT((A262-1)/Parametros!$C$10)+1)</f>
        <v/>
      </c>
      <c r="P262" s="41" t="str">
        <f aca="false">IF($B262="","",IF(OR(C262="",D262=""),"",ROUND((D262-C262)*1440,0)))</f>
        <v/>
      </c>
      <c r="Q262" s="42" t="str">
        <f aca="false">IF($B262="","",I262*VLOOKUP(E262,Parametros!$B$18:$D$24,2,FALSE()))</f>
        <v/>
      </c>
      <c r="R262" s="42" t="str">
        <f aca="false">IF($B262="","",G262*VLOOKUP(E262,Parametros!$B$18:$D$24,3,FALSE()))</f>
        <v/>
      </c>
      <c r="S262" s="42" t="str">
        <f aca="false">IF($B262="","",Q262-R262)</f>
        <v/>
      </c>
      <c r="T262" s="43" t="str">
        <f aca="false">IF($B262="","",IF(S262&gt;0,"G","P"))</f>
        <v/>
      </c>
      <c r="U262" s="44" t="str">
        <f aca="false">IF($B262="","",S262/Parametros!$C$8)</f>
        <v/>
      </c>
      <c r="V262" s="42" t="str">
        <f aca="false">IF($B262="","",Parametros!$C$6+SUM($S$7:S262))</f>
        <v/>
      </c>
      <c r="W262" s="42" t="str">
        <f aca="false">IF($B262="","",MAX(V262,W261))</f>
        <v/>
      </c>
      <c r="X262" s="42" t="str">
        <f aca="false">IF($B262="","",V262-W262)</f>
        <v/>
      </c>
      <c r="Y262" s="45" t="str">
        <f aca="false">IF($B262="","",X262/W262)</f>
        <v/>
      </c>
      <c r="Z262" s="36" t="str">
        <f aca="false">IF($B262="","",IF(T262="G",IF(N(Z261)&gt;0,Z261+1,1),IF(N(Z261)&lt;0,Z261-1,-1)))</f>
        <v/>
      </c>
      <c r="AA262" s="46" t="str">
        <f aca="false">IF($B262="","",B262-WEEKDAY(B262,2)+1)</f>
        <v/>
      </c>
      <c r="AB262" s="47" t="str">
        <f aca="false">IF($B262="","",DATE(YEAR(B262),MONTH(B262),1))</f>
        <v/>
      </c>
      <c r="AC262" s="41" t="str">
        <f aca="false">IF($B262="","",CHOOSE(WEEKDAY(B262,2),"Lunes","Martes","Miércoles","Jueves","Viernes","Sábado","Domingo"))</f>
        <v/>
      </c>
      <c r="AD262" s="36" t="str">
        <f aca="false">IF($B262="","",HOUR(C262))</f>
        <v/>
      </c>
      <c r="AE262" s="42" t="str">
        <f aca="false">IF($B262="","",IF(O262&lt;&gt;O261,MAX(V262-S262,V262),MAX(V262,AE261)))</f>
        <v/>
      </c>
      <c r="AF262" s="42" t="str">
        <f aca="false">IF($B262="","",V262-AE262)</f>
        <v/>
      </c>
      <c r="AG262" s="36" t="str">
        <f aca="false">IF($B262="","",IF(O262&lt;&gt;O261,IF(T262="G",1,-1),IF(T262="G",IF(N(AG261)&gt;0,AG261+1,1),IF(N(AG261)&lt;0,AG261-1,-1))))</f>
        <v/>
      </c>
    </row>
    <row r="263" customFormat="false" ht="15" hidden="false" customHeight="false" outlineLevel="0" collapsed="false">
      <c r="A263" s="36" t="str">
        <f aca="false">IF(B263="","",ROW()-6)</f>
        <v/>
      </c>
      <c r="B263" s="37"/>
      <c r="C263" s="38"/>
      <c r="D263" s="38"/>
      <c r="E263" s="39"/>
      <c r="F263" s="39"/>
      <c r="G263" s="39"/>
      <c r="H263" s="40"/>
      <c r="I263" s="40"/>
      <c r="J263" s="40"/>
      <c r="K263" s="40"/>
      <c r="L263" s="39"/>
      <c r="M263" s="40"/>
      <c r="N263" s="40"/>
      <c r="O263" s="36" t="str">
        <f aca="false">IF($B263="","",INT((A263-1)/Parametros!$C$10)+1)</f>
        <v/>
      </c>
      <c r="P263" s="41" t="str">
        <f aca="false">IF($B263="","",IF(OR(C263="",D263=""),"",ROUND((D263-C263)*1440,0)))</f>
        <v/>
      </c>
      <c r="Q263" s="42" t="str">
        <f aca="false">IF($B263="","",I263*VLOOKUP(E263,Parametros!$B$18:$D$24,2,FALSE()))</f>
        <v/>
      </c>
      <c r="R263" s="42" t="str">
        <f aca="false">IF($B263="","",G263*VLOOKUP(E263,Parametros!$B$18:$D$24,3,FALSE()))</f>
        <v/>
      </c>
      <c r="S263" s="42" t="str">
        <f aca="false">IF($B263="","",Q263-R263)</f>
        <v/>
      </c>
      <c r="T263" s="43" t="str">
        <f aca="false">IF($B263="","",IF(S263&gt;0,"G","P"))</f>
        <v/>
      </c>
      <c r="U263" s="44" t="str">
        <f aca="false">IF($B263="","",S263/Parametros!$C$8)</f>
        <v/>
      </c>
      <c r="V263" s="42" t="str">
        <f aca="false">IF($B263="","",Parametros!$C$6+SUM($S$7:S263))</f>
        <v/>
      </c>
      <c r="W263" s="42" t="str">
        <f aca="false">IF($B263="","",MAX(V263,W262))</f>
        <v/>
      </c>
      <c r="X263" s="42" t="str">
        <f aca="false">IF($B263="","",V263-W263)</f>
        <v/>
      </c>
      <c r="Y263" s="45" t="str">
        <f aca="false">IF($B263="","",X263/W263)</f>
        <v/>
      </c>
      <c r="Z263" s="36" t="str">
        <f aca="false">IF($B263="","",IF(T263="G",IF(N(Z262)&gt;0,Z262+1,1),IF(N(Z262)&lt;0,Z262-1,-1)))</f>
        <v/>
      </c>
      <c r="AA263" s="46" t="str">
        <f aca="false">IF($B263="","",B263-WEEKDAY(B263,2)+1)</f>
        <v/>
      </c>
      <c r="AB263" s="47" t="str">
        <f aca="false">IF($B263="","",DATE(YEAR(B263),MONTH(B263),1))</f>
        <v/>
      </c>
      <c r="AC263" s="41" t="str">
        <f aca="false">IF($B263="","",CHOOSE(WEEKDAY(B263,2),"Lunes","Martes","Miércoles","Jueves","Viernes","Sábado","Domingo"))</f>
        <v/>
      </c>
      <c r="AD263" s="36" t="str">
        <f aca="false">IF($B263="","",HOUR(C263))</f>
        <v/>
      </c>
      <c r="AE263" s="42" t="str">
        <f aca="false">IF($B263="","",IF(O263&lt;&gt;O262,MAX(V263-S263,V263),MAX(V263,AE262)))</f>
        <v/>
      </c>
      <c r="AF263" s="42" t="str">
        <f aca="false">IF($B263="","",V263-AE263)</f>
        <v/>
      </c>
      <c r="AG263" s="36" t="str">
        <f aca="false">IF($B263="","",IF(O263&lt;&gt;O262,IF(T263="G",1,-1),IF(T263="G",IF(N(AG262)&gt;0,AG262+1,1),IF(N(AG262)&lt;0,AG262-1,-1))))</f>
        <v/>
      </c>
    </row>
    <row r="264" customFormat="false" ht="15" hidden="false" customHeight="false" outlineLevel="0" collapsed="false">
      <c r="A264" s="36" t="str">
        <f aca="false">IF(B264="","",ROW()-6)</f>
        <v/>
      </c>
      <c r="B264" s="37"/>
      <c r="C264" s="38"/>
      <c r="D264" s="38"/>
      <c r="E264" s="39"/>
      <c r="F264" s="39"/>
      <c r="G264" s="39"/>
      <c r="H264" s="40"/>
      <c r="I264" s="40"/>
      <c r="J264" s="40"/>
      <c r="K264" s="40"/>
      <c r="L264" s="39"/>
      <c r="M264" s="40"/>
      <c r="N264" s="40"/>
      <c r="O264" s="36" t="str">
        <f aca="false">IF($B264="","",INT((A264-1)/Parametros!$C$10)+1)</f>
        <v/>
      </c>
      <c r="P264" s="41" t="str">
        <f aca="false">IF($B264="","",IF(OR(C264="",D264=""),"",ROUND((D264-C264)*1440,0)))</f>
        <v/>
      </c>
      <c r="Q264" s="42" t="str">
        <f aca="false">IF($B264="","",I264*VLOOKUP(E264,Parametros!$B$18:$D$24,2,FALSE()))</f>
        <v/>
      </c>
      <c r="R264" s="42" t="str">
        <f aca="false">IF($B264="","",G264*VLOOKUP(E264,Parametros!$B$18:$D$24,3,FALSE()))</f>
        <v/>
      </c>
      <c r="S264" s="42" t="str">
        <f aca="false">IF($B264="","",Q264-R264)</f>
        <v/>
      </c>
      <c r="T264" s="43" t="str">
        <f aca="false">IF($B264="","",IF(S264&gt;0,"G","P"))</f>
        <v/>
      </c>
      <c r="U264" s="44" t="str">
        <f aca="false">IF($B264="","",S264/Parametros!$C$8)</f>
        <v/>
      </c>
      <c r="V264" s="42" t="str">
        <f aca="false">IF($B264="","",Parametros!$C$6+SUM($S$7:S264))</f>
        <v/>
      </c>
      <c r="W264" s="42" t="str">
        <f aca="false">IF($B264="","",MAX(V264,W263))</f>
        <v/>
      </c>
      <c r="X264" s="42" t="str">
        <f aca="false">IF($B264="","",V264-W264)</f>
        <v/>
      </c>
      <c r="Y264" s="45" t="str">
        <f aca="false">IF($B264="","",X264/W264)</f>
        <v/>
      </c>
      <c r="Z264" s="36" t="str">
        <f aca="false">IF($B264="","",IF(T264="G",IF(N(Z263)&gt;0,Z263+1,1),IF(N(Z263)&lt;0,Z263-1,-1)))</f>
        <v/>
      </c>
      <c r="AA264" s="46" t="str">
        <f aca="false">IF($B264="","",B264-WEEKDAY(B264,2)+1)</f>
        <v/>
      </c>
      <c r="AB264" s="47" t="str">
        <f aca="false">IF($B264="","",DATE(YEAR(B264),MONTH(B264),1))</f>
        <v/>
      </c>
      <c r="AC264" s="41" t="str">
        <f aca="false">IF($B264="","",CHOOSE(WEEKDAY(B264,2),"Lunes","Martes","Miércoles","Jueves","Viernes","Sábado","Domingo"))</f>
        <v/>
      </c>
      <c r="AD264" s="36" t="str">
        <f aca="false">IF($B264="","",HOUR(C264))</f>
        <v/>
      </c>
      <c r="AE264" s="42" t="str">
        <f aca="false">IF($B264="","",IF(O264&lt;&gt;O263,MAX(V264-S264,V264),MAX(V264,AE263)))</f>
        <v/>
      </c>
      <c r="AF264" s="42" t="str">
        <f aca="false">IF($B264="","",V264-AE264)</f>
        <v/>
      </c>
      <c r="AG264" s="36" t="str">
        <f aca="false">IF($B264="","",IF(O264&lt;&gt;O263,IF(T264="G",1,-1),IF(T264="G",IF(N(AG263)&gt;0,AG263+1,1),IF(N(AG263)&lt;0,AG263-1,-1))))</f>
        <v/>
      </c>
    </row>
    <row r="265" customFormat="false" ht="15" hidden="false" customHeight="false" outlineLevel="0" collapsed="false">
      <c r="A265" s="36" t="str">
        <f aca="false">IF(B265="","",ROW()-6)</f>
        <v/>
      </c>
      <c r="B265" s="37"/>
      <c r="C265" s="38"/>
      <c r="D265" s="38"/>
      <c r="E265" s="39"/>
      <c r="F265" s="39"/>
      <c r="G265" s="39"/>
      <c r="H265" s="40"/>
      <c r="I265" s="40"/>
      <c r="J265" s="40"/>
      <c r="K265" s="40"/>
      <c r="L265" s="39"/>
      <c r="M265" s="40"/>
      <c r="N265" s="40"/>
      <c r="O265" s="36" t="str">
        <f aca="false">IF($B265="","",INT((A265-1)/Parametros!$C$10)+1)</f>
        <v/>
      </c>
      <c r="P265" s="41" t="str">
        <f aca="false">IF($B265="","",IF(OR(C265="",D265=""),"",ROUND((D265-C265)*1440,0)))</f>
        <v/>
      </c>
      <c r="Q265" s="42" t="str">
        <f aca="false">IF($B265="","",I265*VLOOKUP(E265,Parametros!$B$18:$D$24,2,FALSE()))</f>
        <v/>
      </c>
      <c r="R265" s="42" t="str">
        <f aca="false">IF($B265="","",G265*VLOOKUP(E265,Parametros!$B$18:$D$24,3,FALSE()))</f>
        <v/>
      </c>
      <c r="S265" s="42" t="str">
        <f aca="false">IF($B265="","",Q265-R265)</f>
        <v/>
      </c>
      <c r="T265" s="43" t="str">
        <f aca="false">IF($B265="","",IF(S265&gt;0,"G","P"))</f>
        <v/>
      </c>
      <c r="U265" s="44" t="str">
        <f aca="false">IF($B265="","",S265/Parametros!$C$8)</f>
        <v/>
      </c>
      <c r="V265" s="42" t="str">
        <f aca="false">IF($B265="","",Parametros!$C$6+SUM($S$7:S265))</f>
        <v/>
      </c>
      <c r="W265" s="42" t="str">
        <f aca="false">IF($B265="","",MAX(V265,W264))</f>
        <v/>
      </c>
      <c r="X265" s="42" t="str">
        <f aca="false">IF($B265="","",V265-W265)</f>
        <v/>
      </c>
      <c r="Y265" s="45" t="str">
        <f aca="false">IF($B265="","",X265/W265)</f>
        <v/>
      </c>
      <c r="Z265" s="36" t="str">
        <f aca="false">IF($B265="","",IF(T265="G",IF(N(Z264)&gt;0,Z264+1,1),IF(N(Z264)&lt;0,Z264-1,-1)))</f>
        <v/>
      </c>
      <c r="AA265" s="46" t="str">
        <f aca="false">IF($B265="","",B265-WEEKDAY(B265,2)+1)</f>
        <v/>
      </c>
      <c r="AB265" s="47" t="str">
        <f aca="false">IF($B265="","",DATE(YEAR(B265),MONTH(B265),1))</f>
        <v/>
      </c>
      <c r="AC265" s="41" t="str">
        <f aca="false">IF($B265="","",CHOOSE(WEEKDAY(B265,2),"Lunes","Martes","Miércoles","Jueves","Viernes","Sábado","Domingo"))</f>
        <v/>
      </c>
      <c r="AD265" s="36" t="str">
        <f aca="false">IF($B265="","",HOUR(C265))</f>
        <v/>
      </c>
      <c r="AE265" s="42" t="str">
        <f aca="false">IF($B265="","",IF(O265&lt;&gt;O264,MAX(V265-S265,V265),MAX(V265,AE264)))</f>
        <v/>
      </c>
      <c r="AF265" s="42" t="str">
        <f aca="false">IF($B265="","",V265-AE265)</f>
        <v/>
      </c>
      <c r="AG265" s="36" t="str">
        <f aca="false">IF($B265="","",IF(O265&lt;&gt;O264,IF(T265="G",1,-1),IF(T265="G",IF(N(AG264)&gt;0,AG264+1,1),IF(N(AG264)&lt;0,AG264-1,-1))))</f>
        <v/>
      </c>
    </row>
    <row r="266" customFormat="false" ht="15" hidden="false" customHeight="false" outlineLevel="0" collapsed="false">
      <c r="A266" s="36" t="str">
        <f aca="false">IF(B266="","",ROW()-6)</f>
        <v/>
      </c>
      <c r="B266" s="37"/>
      <c r="C266" s="38"/>
      <c r="D266" s="38"/>
      <c r="E266" s="39"/>
      <c r="F266" s="39"/>
      <c r="G266" s="39"/>
      <c r="H266" s="40"/>
      <c r="I266" s="40"/>
      <c r="J266" s="40"/>
      <c r="K266" s="40"/>
      <c r="L266" s="39"/>
      <c r="M266" s="40"/>
      <c r="N266" s="40"/>
      <c r="O266" s="36" t="str">
        <f aca="false">IF($B266="","",INT((A266-1)/Parametros!$C$10)+1)</f>
        <v/>
      </c>
      <c r="P266" s="41" t="str">
        <f aca="false">IF($B266="","",IF(OR(C266="",D266=""),"",ROUND((D266-C266)*1440,0)))</f>
        <v/>
      </c>
      <c r="Q266" s="42" t="str">
        <f aca="false">IF($B266="","",I266*VLOOKUP(E266,Parametros!$B$18:$D$24,2,FALSE()))</f>
        <v/>
      </c>
      <c r="R266" s="42" t="str">
        <f aca="false">IF($B266="","",G266*VLOOKUP(E266,Parametros!$B$18:$D$24,3,FALSE()))</f>
        <v/>
      </c>
      <c r="S266" s="42" t="str">
        <f aca="false">IF($B266="","",Q266-R266)</f>
        <v/>
      </c>
      <c r="T266" s="43" t="str">
        <f aca="false">IF($B266="","",IF(S266&gt;0,"G","P"))</f>
        <v/>
      </c>
      <c r="U266" s="44" t="str">
        <f aca="false">IF($B266="","",S266/Parametros!$C$8)</f>
        <v/>
      </c>
      <c r="V266" s="42" t="str">
        <f aca="false">IF($B266="","",Parametros!$C$6+SUM($S$7:S266))</f>
        <v/>
      </c>
      <c r="W266" s="42" t="str">
        <f aca="false">IF($B266="","",MAX(V266,W265))</f>
        <v/>
      </c>
      <c r="X266" s="42" t="str">
        <f aca="false">IF($B266="","",V266-W266)</f>
        <v/>
      </c>
      <c r="Y266" s="45" t="str">
        <f aca="false">IF($B266="","",X266/W266)</f>
        <v/>
      </c>
      <c r="Z266" s="36" t="str">
        <f aca="false">IF($B266="","",IF(T266="G",IF(N(Z265)&gt;0,Z265+1,1),IF(N(Z265)&lt;0,Z265-1,-1)))</f>
        <v/>
      </c>
      <c r="AA266" s="46" t="str">
        <f aca="false">IF($B266="","",B266-WEEKDAY(B266,2)+1)</f>
        <v/>
      </c>
      <c r="AB266" s="47" t="str">
        <f aca="false">IF($B266="","",DATE(YEAR(B266),MONTH(B266),1))</f>
        <v/>
      </c>
      <c r="AC266" s="41" t="str">
        <f aca="false">IF($B266="","",CHOOSE(WEEKDAY(B266,2),"Lunes","Martes","Miércoles","Jueves","Viernes","Sábado","Domingo"))</f>
        <v/>
      </c>
      <c r="AD266" s="36" t="str">
        <f aca="false">IF($B266="","",HOUR(C266))</f>
        <v/>
      </c>
      <c r="AE266" s="42" t="str">
        <f aca="false">IF($B266="","",IF(O266&lt;&gt;O265,MAX(V266-S266,V266),MAX(V266,AE265)))</f>
        <v/>
      </c>
      <c r="AF266" s="42" t="str">
        <f aca="false">IF($B266="","",V266-AE266)</f>
        <v/>
      </c>
      <c r="AG266" s="36" t="str">
        <f aca="false">IF($B266="","",IF(O266&lt;&gt;O265,IF(T266="G",1,-1),IF(T266="G",IF(N(AG265)&gt;0,AG265+1,1),IF(N(AG265)&lt;0,AG265-1,-1))))</f>
        <v/>
      </c>
    </row>
    <row r="267" customFormat="false" ht="15" hidden="false" customHeight="false" outlineLevel="0" collapsed="false">
      <c r="A267" s="36" t="str">
        <f aca="false">IF(B267="","",ROW()-6)</f>
        <v/>
      </c>
      <c r="B267" s="37"/>
      <c r="C267" s="38"/>
      <c r="D267" s="38"/>
      <c r="E267" s="39"/>
      <c r="F267" s="39"/>
      <c r="G267" s="39"/>
      <c r="H267" s="40"/>
      <c r="I267" s="40"/>
      <c r="J267" s="40"/>
      <c r="K267" s="40"/>
      <c r="L267" s="39"/>
      <c r="M267" s="40"/>
      <c r="N267" s="40"/>
      <c r="O267" s="36" t="str">
        <f aca="false">IF($B267="","",INT((A267-1)/Parametros!$C$10)+1)</f>
        <v/>
      </c>
      <c r="P267" s="41" t="str">
        <f aca="false">IF($B267="","",IF(OR(C267="",D267=""),"",ROUND((D267-C267)*1440,0)))</f>
        <v/>
      </c>
      <c r="Q267" s="42" t="str">
        <f aca="false">IF($B267="","",I267*VLOOKUP(E267,Parametros!$B$18:$D$24,2,FALSE()))</f>
        <v/>
      </c>
      <c r="R267" s="42" t="str">
        <f aca="false">IF($B267="","",G267*VLOOKUP(E267,Parametros!$B$18:$D$24,3,FALSE()))</f>
        <v/>
      </c>
      <c r="S267" s="42" t="str">
        <f aca="false">IF($B267="","",Q267-R267)</f>
        <v/>
      </c>
      <c r="T267" s="43" t="str">
        <f aca="false">IF($B267="","",IF(S267&gt;0,"G","P"))</f>
        <v/>
      </c>
      <c r="U267" s="44" t="str">
        <f aca="false">IF($B267="","",S267/Parametros!$C$8)</f>
        <v/>
      </c>
      <c r="V267" s="42" t="str">
        <f aca="false">IF($B267="","",Parametros!$C$6+SUM($S$7:S267))</f>
        <v/>
      </c>
      <c r="W267" s="42" t="str">
        <f aca="false">IF($B267="","",MAX(V267,W266))</f>
        <v/>
      </c>
      <c r="X267" s="42" t="str">
        <f aca="false">IF($B267="","",V267-W267)</f>
        <v/>
      </c>
      <c r="Y267" s="45" t="str">
        <f aca="false">IF($B267="","",X267/W267)</f>
        <v/>
      </c>
      <c r="Z267" s="36" t="str">
        <f aca="false">IF($B267="","",IF(T267="G",IF(N(Z266)&gt;0,Z266+1,1),IF(N(Z266)&lt;0,Z266-1,-1)))</f>
        <v/>
      </c>
      <c r="AA267" s="46" t="str">
        <f aca="false">IF($B267="","",B267-WEEKDAY(B267,2)+1)</f>
        <v/>
      </c>
      <c r="AB267" s="47" t="str">
        <f aca="false">IF($B267="","",DATE(YEAR(B267),MONTH(B267),1))</f>
        <v/>
      </c>
      <c r="AC267" s="41" t="str">
        <f aca="false">IF($B267="","",CHOOSE(WEEKDAY(B267,2),"Lunes","Martes","Miércoles","Jueves","Viernes","Sábado","Domingo"))</f>
        <v/>
      </c>
      <c r="AD267" s="36" t="str">
        <f aca="false">IF($B267="","",HOUR(C267))</f>
        <v/>
      </c>
      <c r="AE267" s="42" t="str">
        <f aca="false">IF($B267="","",IF(O267&lt;&gt;O266,MAX(V267-S267,V267),MAX(V267,AE266)))</f>
        <v/>
      </c>
      <c r="AF267" s="42" t="str">
        <f aca="false">IF($B267="","",V267-AE267)</f>
        <v/>
      </c>
      <c r="AG267" s="36" t="str">
        <f aca="false">IF($B267="","",IF(O267&lt;&gt;O266,IF(T267="G",1,-1),IF(T267="G",IF(N(AG266)&gt;0,AG266+1,1),IF(N(AG266)&lt;0,AG266-1,-1))))</f>
        <v/>
      </c>
    </row>
    <row r="268" customFormat="false" ht="15" hidden="false" customHeight="false" outlineLevel="0" collapsed="false">
      <c r="A268" s="36" t="str">
        <f aca="false">IF(B268="","",ROW()-6)</f>
        <v/>
      </c>
      <c r="B268" s="37"/>
      <c r="C268" s="38"/>
      <c r="D268" s="38"/>
      <c r="E268" s="39"/>
      <c r="F268" s="39"/>
      <c r="G268" s="39"/>
      <c r="H268" s="40"/>
      <c r="I268" s="40"/>
      <c r="J268" s="40"/>
      <c r="K268" s="40"/>
      <c r="L268" s="39"/>
      <c r="M268" s="40"/>
      <c r="N268" s="40"/>
      <c r="O268" s="36" t="str">
        <f aca="false">IF($B268="","",INT((A268-1)/Parametros!$C$10)+1)</f>
        <v/>
      </c>
      <c r="P268" s="41" t="str">
        <f aca="false">IF($B268="","",IF(OR(C268="",D268=""),"",ROUND((D268-C268)*1440,0)))</f>
        <v/>
      </c>
      <c r="Q268" s="42" t="str">
        <f aca="false">IF($B268="","",I268*VLOOKUP(E268,Parametros!$B$18:$D$24,2,FALSE()))</f>
        <v/>
      </c>
      <c r="R268" s="42" t="str">
        <f aca="false">IF($B268="","",G268*VLOOKUP(E268,Parametros!$B$18:$D$24,3,FALSE()))</f>
        <v/>
      </c>
      <c r="S268" s="42" t="str">
        <f aca="false">IF($B268="","",Q268-R268)</f>
        <v/>
      </c>
      <c r="T268" s="43" t="str">
        <f aca="false">IF($B268="","",IF(S268&gt;0,"G","P"))</f>
        <v/>
      </c>
      <c r="U268" s="44" t="str">
        <f aca="false">IF($B268="","",S268/Parametros!$C$8)</f>
        <v/>
      </c>
      <c r="V268" s="42" t="str">
        <f aca="false">IF($B268="","",Parametros!$C$6+SUM($S$7:S268))</f>
        <v/>
      </c>
      <c r="W268" s="42" t="str">
        <f aca="false">IF($B268="","",MAX(V268,W267))</f>
        <v/>
      </c>
      <c r="X268" s="42" t="str">
        <f aca="false">IF($B268="","",V268-W268)</f>
        <v/>
      </c>
      <c r="Y268" s="45" t="str">
        <f aca="false">IF($B268="","",X268/W268)</f>
        <v/>
      </c>
      <c r="Z268" s="36" t="str">
        <f aca="false">IF($B268="","",IF(T268="G",IF(N(Z267)&gt;0,Z267+1,1),IF(N(Z267)&lt;0,Z267-1,-1)))</f>
        <v/>
      </c>
      <c r="AA268" s="46" t="str">
        <f aca="false">IF($B268="","",B268-WEEKDAY(B268,2)+1)</f>
        <v/>
      </c>
      <c r="AB268" s="47" t="str">
        <f aca="false">IF($B268="","",DATE(YEAR(B268),MONTH(B268),1))</f>
        <v/>
      </c>
      <c r="AC268" s="41" t="str">
        <f aca="false">IF($B268="","",CHOOSE(WEEKDAY(B268,2),"Lunes","Martes","Miércoles","Jueves","Viernes","Sábado","Domingo"))</f>
        <v/>
      </c>
      <c r="AD268" s="36" t="str">
        <f aca="false">IF($B268="","",HOUR(C268))</f>
        <v/>
      </c>
      <c r="AE268" s="42" t="str">
        <f aca="false">IF($B268="","",IF(O268&lt;&gt;O267,MAX(V268-S268,V268),MAX(V268,AE267)))</f>
        <v/>
      </c>
      <c r="AF268" s="42" t="str">
        <f aca="false">IF($B268="","",V268-AE268)</f>
        <v/>
      </c>
      <c r="AG268" s="36" t="str">
        <f aca="false">IF($B268="","",IF(O268&lt;&gt;O267,IF(T268="G",1,-1),IF(T268="G",IF(N(AG267)&gt;0,AG267+1,1),IF(N(AG267)&lt;0,AG267-1,-1))))</f>
        <v/>
      </c>
    </row>
    <row r="269" customFormat="false" ht="15" hidden="false" customHeight="false" outlineLevel="0" collapsed="false">
      <c r="A269" s="36" t="str">
        <f aca="false">IF(B269="","",ROW()-6)</f>
        <v/>
      </c>
      <c r="B269" s="37"/>
      <c r="C269" s="38"/>
      <c r="D269" s="38"/>
      <c r="E269" s="39"/>
      <c r="F269" s="39"/>
      <c r="G269" s="39"/>
      <c r="H269" s="40"/>
      <c r="I269" s="40"/>
      <c r="J269" s="40"/>
      <c r="K269" s="40"/>
      <c r="L269" s="39"/>
      <c r="M269" s="40"/>
      <c r="N269" s="40"/>
      <c r="O269" s="36" t="str">
        <f aca="false">IF($B269="","",INT((A269-1)/Parametros!$C$10)+1)</f>
        <v/>
      </c>
      <c r="P269" s="41" t="str">
        <f aca="false">IF($B269="","",IF(OR(C269="",D269=""),"",ROUND((D269-C269)*1440,0)))</f>
        <v/>
      </c>
      <c r="Q269" s="42" t="str">
        <f aca="false">IF($B269="","",I269*VLOOKUP(E269,Parametros!$B$18:$D$24,2,FALSE()))</f>
        <v/>
      </c>
      <c r="R269" s="42" t="str">
        <f aca="false">IF($B269="","",G269*VLOOKUP(E269,Parametros!$B$18:$D$24,3,FALSE()))</f>
        <v/>
      </c>
      <c r="S269" s="42" t="str">
        <f aca="false">IF($B269="","",Q269-R269)</f>
        <v/>
      </c>
      <c r="T269" s="43" t="str">
        <f aca="false">IF($B269="","",IF(S269&gt;0,"G","P"))</f>
        <v/>
      </c>
      <c r="U269" s="44" t="str">
        <f aca="false">IF($B269="","",S269/Parametros!$C$8)</f>
        <v/>
      </c>
      <c r="V269" s="42" t="str">
        <f aca="false">IF($B269="","",Parametros!$C$6+SUM($S$7:S269))</f>
        <v/>
      </c>
      <c r="W269" s="42" t="str">
        <f aca="false">IF($B269="","",MAX(V269,W268))</f>
        <v/>
      </c>
      <c r="X269" s="42" t="str">
        <f aca="false">IF($B269="","",V269-W269)</f>
        <v/>
      </c>
      <c r="Y269" s="45" t="str">
        <f aca="false">IF($B269="","",X269/W269)</f>
        <v/>
      </c>
      <c r="Z269" s="36" t="str">
        <f aca="false">IF($B269="","",IF(T269="G",IF(N(Z268)&gt;0,Z268+1,1),IF(N(Z268)&lt;0,Z268-1,-1)))</f>
        <v/>
      </c>
      <c r="AA269" s="46" t="str">
        <f aca="false">IF($B269="","",B269-WEEKDAY(B269,2)+1)</f>
        <v/>
      </c>
      <c r="AB269" s="47" t="str">
        <f aca="false">IF($B269="","",DATE(YEAR(B269),MONTH(B269),1))</f>
        <v/>
      </c>
      <c r="AC269" s="41" t="str">
        <f aca="false">IF($B269="","",CHOOSE(WEEKDAY(B269,2),"Lunes","Martes","Miércoles","Jueves","Viernes","Sábado","Domingo"))</f>
        <v/>
      </c>
      <c r="AD269" s="36" t="str">
        <f aca="false">IF($B269="","",HOUR(C269))</f>
        <v/>
      </c>
      <c r="AE269" s="42" t="str">
        <f aca="false">IF($B269="","",IF(O269&lt;&gt;O268,MAX(V269-S269,V269),MAX(V269,AE268)))</f>
        <v/>
      </c>
      <c r="AF269" s="42" t="str">
        <f aca="false">IF($B269="","",V269-AE269)</f>
        <v/>
      </c>
      <c r="AG269" s="36" t="str">
        <f aca="false">IF($B269="","",IF(O269&lt;&gt;O268,IF(T269="G",1,-1),IF(T269="G",IF(N(AG268)&gt;0,AG268+1,1),IF(N(AG268)&lt;0,AG268-1,-1))))</f>
        <v/>
      </c>
    </row>
    <row r="270" customFormat="false" ht="15" hidden="false" customHeight="false" outlineLevel="0" collapsed="false">
      <c r="A270" s="36" t="str">
        <f aca="false">IF(B270="","",ROW()-6)</f>
        <v/>
      </c>
      <c r="B270" s="37"/>
      <c r="C270" s="38"/>
      <c r="D270" s="38"/>
      <c r="E270" s="39"/>
      <c r="F270" s="39"/>
      <c r="G270" s="39"/>
      <c r="H270" s="40"/>
      <c r="I270" s="40"/>
      <c r="J270" s="40"/>
      <c r="K270" s="40"/>
      <c r="L270" s="39"/>
      <c r="M270" s="40"/>
      <c r="N270" s="40"/>
      <c r="O270" s="36" t="str">
        <f aca="false">IF($B270="","",INT((A270-1)/Parametros!$C$10)+1)</f>
        <v/>
      </c>
      <c r="P270" s="41" t="str">
        <f aca="false">IF($B270="","",IF(OR(C270="",D270=""),"",ROUND((D270-C270)*1440,0)))</f>
        <v/>
      </c>
      <c r="Q270" s="42" t="str">
        <f aca="false">IF($B270="","",I270*VLOOKUP(E270,Parametros!$B$18:$D$24,2,FALSE()))</f>
        <v/>
      </c>
      <c r="R270" s="42" t="str">
        <f aca="false">IF($B270="","",G270*VLOOKUP(E270,Parametros!$B$18:$D$24,3,FALSE()))</f>
        <v/>
      </c>
      <c r="S270" s="42" t="str">
        <f aca="false">IF($B270="","",Q270-R270)</f>
        <v/>
      </c>
      <c r="T270" s="43" t="str">
        <f aca="false">IF($B270="","",IF(S270&gt;0,"G","P"))</f>
        <v/>
      </c>
      <c r="U270" s="44" t="str">
        <f aca="false">IF($B270="","",S270/Parametros!$C$8)</f>
        <v/>
      </c>
      <c r="V270" s="42" t="str">
        <f aca="false">IF($B270="","",Parametros!$C$6+SUM($S$7:S270))</f>
        <v/>
      </c>
      <c r="W270" s="42" t="str">
        <f aca="false">IF($B270="","",MAX(V270,W269))</f>
        <v/>
      </c>
      <c r="X270" s="42" t="str">
        <f aca="false">IF($B270="","",V270-W270)</f>
        <v/>
      </c>
      <c r="Y270" s="45" t="str">
        <f aca="false">IF($B270="","",X270/W270)</f>
        <v/>
      </c>
      <c r="Z270" s="36" t="str">
        <f aca="false">IF($B270="","",IF(T270="G",IF(N(Z269)&gt;0,Z269+1,1),IF(N(Z269)&lt;0,Z269-1,-1)))</f>
        <v/>
      </c>
      <c r="AA270" s="46" t="str">
        <f aca="false">IF($B270="","",B270-WEEKDAY(B270,2)+1)</f>
        <v/>
      </c>
      <c r="AB270" s="47" t="str">
        <f aca="false">IF($B270="","",DATE(YEAR(B270),MONTH(B270),1))</f>
        <v/>
      </c>
      <c r="AC270" s="41" t="str">
        <f aca="false">IF($B270="","",CHOOSE(WEEKDAY(B270,2),"Lunes","Martes","Miércoles","Jueves","Viernes","Sábado","Domingo"))</f>
        <v/>
      </c>
      <c r="AD270" s="36" t="str">
        <f aca="false">IF($B270="","",HOUR(C270))</f>
        <v/>
      </c>
      <c r="AE270" s="42" t="str">
        <f aca="false">IF($B270="","",IF(O270&lt;&gt;O269,MAX(V270-S270,V270),MAX(V270,AE269)))</f>
        <v/>
      </c>
      <c r="AF270" s="42" t="str">
        <f aca="false">IF($B270="","",V270-AE270)</f>
        <v/>
      </c>
      <c r="AG270" s="36" t="str">
        <f aca="false">IF($B270="","",IF(O270&lt;&gt;O269,IF(T270="G",1,-1),IF(T270="G",IF(N(AG269)&gt;0,AG269+1,1),IF(N(AG269)&lt;0,AG269-1,-1))))</f>
        <v/>
      </c>
    </row>
    <row r="271" customFormat="false" ht="15" hidden="false" customHeight="false" outlineLevel="0" collapsed="false">
      <c r="A271" s="36" t="str">
        <f aca="false">IF(B271="","",ROW()-6)</f>
        <v/>
      </c>
      <c r="B271" s="37"/>
      <c r="C271" s="38"/>
      <c r="D271" s="38"/>
      <c r="E271" s="39"/>
      <c r="F271" s="39"/>
      <c r="G271" s="39"/>
      <c r="H271" s="40"/>
      <c r="I271" s="40"/>
      <c r="J271" s="40"/>
      <c r="K271" s="40"/>
      <c r="L271" s="39"/>
      <c r="M271" s="40"/>
      <c r="N271" s="40"/>
      <c r="O271" s="36" t="str">
        <f aca="false">IF($B271="","",INT((A271-1)/Parametros!$C$10)+1)</f>
        <v/>
      </c>
      <c r="P271" s="41" t="str">
        <f aca="false">IF($B271="","",IF(OR(C271="",D271=""),"",ROUND((D271-C271)*1440,0)))</f>
        <v/>
      </c>
      <c r="Q271" s="42" t="str">
        <f aca="false">IF($B271="","",I271*VLOOKUP(E271,Parametros!$B$18:$D$24,2,FALSE()))</f>
        <v/>
      </c>
      <c r="R271" s="42" t="str">
        <f aca="false">IF($B271="","",G271*VLOOKUP(E271,Parametros!$B$18:$D$24,3,FALSE()))</f>
        <v/>
      </c>
      <c r="S271" s="42" t="str">
        <f aca="false">IF($B271="","",Q271-R271)</f>
        <v/>
      </c>
      <c r="T271" s="43" t="str">
        <f aca="false">IF($B271="","",IF(S271&gt;0,"G","P"))</f>
        <v/>
      </c>
      <c r="U271" s="44" t="str">
        <f aca="false">IF($B271="","",S271/Parametros!$C$8)</f>
        <v/>
      </c>
      <c r="V271" s="42" t="str">
        <f aca="false">IF($B271="","",Parametros!$C$6+SUM($S$7:S271))</f>
        <v/>
      </c>
      <c r="W271" s="42" t="str">
        <f aca="false">IF($B271="","",MAX(V271,W270))</f>
        <v/>
      </c>
      <c r="X271" s="42" t="str">
        <f aca="false">IF($B271="","",V271-W271)</f>
        <v/>
      </c>
      <c r="Y271" s="45" t="str">
        <f aca="false">IF($B271="","",X271/W271)</f>
        <v/>
      </c>
      <c r="Z271" s="36" t="str">
        <f aca="false">IF($B271="","",IF(T271="G",IF(N(Z270)&gt;0,Z270+1,1),IF(N(Z270)&lt;0,Z270-1,-1)))</f>
        <v/>
      </c>
      <c r="AA271" s="46" t="str">
        <f aca="false">IF($B271="","",B271-WEEKDAY(B271,2)+1)</f>
        <v/>
      </c>
      <c r="AB271" s="47" t="str">
        <f aca="false">IF($B271="","",DATE(YEAR(B271),MONTH(B271),1))</f>
        <v/>
      </c>
      <c r="AC271" s="41" t="str">
        <f aca="false">IF($B271="","",CHOOSE(WEEKDAY(B271,2),"Lunes","Martes","Miércoles","Jueves","Viernes","Sábado","Domingo"))</f>
        <v/>
      </c>
      <c r="AD271" s="36" t="str">
        <f aca="false">IF($B271="","",HOUR(C271))</f>
        <v/>
      </c>
      <c r="AE271" s="42" t="str">
        <f aca="false">IF($B271="","",IF(O271&lt;&gt;O270,MAX(V271-S271,V271),MAX(V271,AE270)))</f>
        <v/>
      </c>
      <c r="AF271" s="42" t="str">
        <f aca="false">IF($B271="","",V271-AE271)</f>
        <v/>
      </c>
      <c r="AG271" s="36" t="str">
        <f aca="false">IF($B271="","",IF(O271&lt;&gt;O270,IF(T271="G",1,-1),IF(T271="G",IF(N(AG270)&gt;0,AG270+1,1),IF(N(AG270)&lt;0,AG270-1,-1))))</f>
        <v/>
      </c>
    </row>
    <row r="272" customFormat="false" ht="15" hidden="false" customHeight="false" outlineLevel="0" collapsed="false">
      <c r="A272" s="36" t="str">
        <f aca="false">IF(B272="","",ROW()-6)</f>
        <v/>
      </c>
      <c r="B272" s="37"/>
      <c r="C272" s="38"/>
      <c r="D272" s="38"/>
      <c r="E272" s="39"/>
      <c r="F272" s="39"/>
      <c r="G272" s="39"/>
      <c r="H272" s="40"/>
      <c r="I272" s="40"/>
      <c r="J272" s="40"/>
      <c r="K272" s="40"/>
      <c r="L272" s="39"/>
      <c r="M272" s="40"/>
      <c r="N272" s="40"/>
      <c r="O272" s="36" t="str">
        <f aca="false">IF($B272="","",INT((A272-1)/Parametros!$C$10)+1)</f>
        <v/>
      </c>
      <c r="P272" s="41" t="str">
        <f aca="false">IF($B272="","",IF(OR(C272="",D272=""),"",ROUND((D272-C272)*1440,0)))</f>
        <v/>
      </c>
      <c r="Q272" s="42" t="str">
        <f aca="false">IF($B272="","",I272*VLOOKUP(E272,Parametros!$B$18:$D$24,2,FALSE()))</f>
        <v/>
      </c>
      <c r="R272" s="42" t="str">
        <f aca="false">IF($B272="","",G272*VLOOKUP(E272,Parametros!$B$18:$D$24,3,FALSE()))</f>
        <v/>
      </c>
      <c r="S272" s="42" t="str">
        <f aca="false">IF($B272="","",Q272-R272)</f>
        <v/>
      </c>
      <c r="T272" s="43" t="str">
        <f aca="false">IF($B272="","",IF(S272&gt;0,"G","P"))</f>
        <v/>
      </c>
      <c r="U272" s="44" t="str">
        <f aca="false">IF($B272="","",S272/Parametros!$C$8)</f>
        <v/>
      </c>
      <c r="V272" s="42" t="str">
        <f aca="false">IF($B272="","",Parametros!$C$6+SUM($S$7:S272))</f>
        <v/>
      </c>
      <c r="W272" s="42" t="str">
        <f aca="false">IF($B272="","",MAX(V272,W271))</f>
        <v/>
      </c>
      <c r="X272" s="42" t="str">
        <f aca="false">IF($B272="","",V272-W272)</f>
        <v/>
      </c>
      <c r="Y272" s="45" t="str">
        <f aca="false">IF($B272="","",X272/W272)</f>
        <v/>
      </c>
      <c r="Z272" s="36" t="str">
        <f aca="false">IF($B272="","",IF(T272="G",IF(N(Z271)&gt;0,Z271+1,1),IF(N(Z271)&lt;0,Z271-1,-1)))</f>
        <v/>
      </c>
      <c r="AA272" s="46" t="str">
        <f aca="false">IF($B272="","",B272-WEEKDAY(B272,2)+1)</f>
        <v/>
      </c>
      <c r="AB272" s="47" t="str">
        <f aca="false">IF($B272="","",DATE(YEAR(B272),MONTH(B272),1))</f>
        <v/>
      </c>
      <c r="AC272" s="41" t="str">
        <f aca="false">IF($B272="","",CHOOSE(WEEKDAY(B272,2),"Lunes","Martes","Miércoles","Jueves","Viernes","Sábado","Domingo"))</f>
        <v/>
      </c>
      <c r="AD272" s="36" t="str">
        <f aca="false">IF($B272="","",HOUR(C272))</f>
        <v/>
      </c>
      <c r="AE272" s="42" t="str">
        <f aca="false">IF($B272="","",IF(O272&lt;&gt;O271,MAX(V272-S272,V272),MAX(V272,AE271)))</f>
        <v/>
      </c>
      <c r="AF272" s="42" t="str">
        <f aca="false">IF($B272="","",V272-AE272)</f>
        <v/>
      </c>
      <c r="AG272" s="36" t="str">
        <f aca="false">IF($B272="","",IF(O272&lt;&gt;O271,IF(T272="G",1,-1),IF(T272="G",IF(N(AG271)&gt;0,AG271+1,1),IF(N(AG271)&lt;0,AG271-1,-1))))</f>
        <v/>
      </c>
    </row>
    <row r="273" customFormat="false" ht="15" hidden="false" customHeight="false" outlineLevel="0" collapsed="false">
      <c r="A273" s="36" t="str">
        <f aca="false">IF(B273="","",ROW()-6)</f>
        <v/>
      </c>
      <c r="B273" s="37"/>
      <c r="C273" s="38"/>
      <c r="D273" s="38"/>
      <c r="E273" s="39"/>
      <c r="F273" s="39"/>
      <c r="G273" s="39"/>
      <c r="H273" s="40"/>
      <c r="I273" s="40"/>
      <c r="J273" s="40"/>
      <c r="K273" s="40"/>
      <c r="L273" s="39"/>
      <c r="M273" s="40"/>
      <c r="N273" s="40"/>
      <c r="O273" s="36" t="str">
        <f aca="false">IF($B273="","",INT((A273-1)/Parametros!$C$10)+1)</f>
        <v/>
      </c>
      <c r="P273" s="41" t="str">
        <f aca="false">IF($B273="","",IF(OR(C273="",D273=""),"",ROUND((D273-C273)*1440,0)))</f>
        <v/>
      </c>
      <c r="Q273" s="42" t="str">
        <f aca="false">IF($B273="","",I273*VLOOKUP(E273,Parametros!$B$18:$D$24,2,FALSE()))</f>
        <v/>
      </c>
      <c r="R273" s="42" t="str">
        <f aca="false">IF($B273="","",G273*VLOOKUP(E273,Parametros!$B$18:$D$24,3,FALSE()))</f>
        <v/>
      </c>
      <c r="S273" s="42" t="str">
        <f aca="false">IF($B273="","",Q273-R273)</f>
        <v/>
      </c>
      <c r="T273" s="43" t="str">
        <f aca="false">IF($B273="","",IF(S273&gt;0,"G","P"))</f>
        <v/>
      </c>
      <c r="U273" s="44" t="str">
        <f aca="false">IF($B273="","",S273/Parametros!$C$8)</f>
        <v/>
      </c>
      <c r="V273" s="42" t="str">
        <f aca="false">IF($B273="","",Parametros!$C$6+SUM($S$7:S273))</f>
        <v/>
      </c>
      <c r="W273" s="42" t="str">
        <f aca="false">IF($B273="","",MAX(V273,W272))</f>
        <v/>
      </c>
      <c r="X273" s="42" t="str">
        <f aca="false">IF($B273="","",V273-W273)</f>
        <v/>
      </c>
      <c r="Y273" s="45" t="str">
        <f aca="false">IF($B273="","",X273/W273)</f>
        <v/>
      </c>
      <c r="Z273" s="36" t="str">
        <f aca="false">IF($B273="","",IF(T273="G",IF(N(Z272)&gt;0,Z272+1,1),IF(N(Z272)&lt;0,Z272-1,-1)))</f>
        <v/>
      </c>
      <c r="AA273" s="46" t="str">
        <f aca="false">IF($B273="","",B273-WEEKDAY(B273,2)+1)</f>
        <v/>
      </c>
      <c r="AB273" s="47" t="str">
        <f aca="false">IF($B273="","",DATE(YEAR(B273),MONTH(B273),1))</f>
        <v/>
      </c>
      <c r="AC273" s="41" t="str">
        <f aca="false">IF($B273="","",CHOOSE(WEEKDAY(B273,2),"Lunes","Martes","Miércoles","Jueves","Viernes","Sábado","Domingo"))</f>
        <v/>
      </c>
      <c r="AD273" s="36" t="str">
        <f aca="false">IF($B273="","",HOUR(C273))</f>
        <v/>
      </c>
      <c r="AE273" s="42" t="str">
        <f aca="false">IF($B273="","",IF(O273&lt;&gt;O272,MAX(V273-S273,V273),MAX(V273,AE272)))</f>
        <v/>
      </c>
      <c r="AF273" s="42" t="str">
        <f aca="false">IF($B273="","",V273-AE273)</f>
        <v/>
      </c>
      <c r="AG273" s="36" t="str">
        <f aca="false">IF($B273="","",IF(O273&lt;&gt;O272,IF(T273="G",1,-1),IF(T273="G",IF(N(AG272)&gt;0,AG272+1,1),IF(N(AG272)&lt;0,AG272-1,-1))))</f>
        <v/>
      </c>
    </row>
    <row r="274" customFormat="false" ht="15" hidden="false" customHeight="false" outlineLevel="0" collapsed="false">
      <c r="A274" s="36" t="str">
        <f aca="false">IF(B274="","",ROW()-6)</f>
        <v/>
      </c>
      <c r="B274" s="37"/>
      <c r="C274" s="38"/>
      <c r="D274" s="38"/>
      <c r="E274" s="39"/>
      <c r="F274" s="39"/>
      <c r="G274" s="39"/>
      <c r="H274" s="40"/>
      <c r="I274" s="40"/>
      <c r="J274" s="40"/>
      <c r="K274" s="40"/>
      <c r="L274" s="39"/>
      <c r="M274" s="40"/>
      <c r="N274" s="40"/>
      <c r="O274" s="36" t="str">
        <f aca="false">IF($B274="","",INT((A274-1)/Parametros!$C$10)+1)</f>
        <v/>
      </c>
      <c r="P274" s="41" t="str">
        <f aca="false">IF($B274="","",IF(OR(C274="",D274=""),"",ROUND((D274-C274)*1440,0)))</f>
        <v/>
      </c>
      <c r="Q274" s="42" t="str">
        <f aca="false">IF($B274="","",I274*VLOOKUP(E274,Parametros!$B$18:$D$24,2,FALSE()))</f>
        <v/>
      </c>
      <c r="R274" s="42" t="str">
        <f aca="false">IF($B274="","",G274*VLOOKUP(E274,Parametros!$B$18:$D$24,3,FALSE()))</f>
        <v/>
      </c>
      <c r="S274" s="42" t="str">
        <f aca="false">IF($B274="","",Q274-R274)</f>
        <v/>
      </c>
      <c r="T274" s="43" t="str">
        <f aca="false">IF($B274="","",IF(S274&gt;0,"G","P"))</f>
        <v/>
      </c>
      <c r="U274" s="44" t="str">
        <f aca="false">IF($B274="","",S274/Parametros!$C$8)</f>
        <v/>
      </c>
      <c r="V274" s="42" t="str">
        <f aca="false">IF($B274="","",Parametros!$C$6+SUM($S$7:S274))</f>
        <v/>
      </c>
      <c r="W274" s="42" t="str">
        <f aca="false">IF($B274="","",MAX(V274,W273))</f>
        <v/>
      </c>
      <c r="X274" s="42" t="str">
        <f aca="false">IF($B274="","",V274-W274)</f>
        <v/>
      </c>
      <c r="Y274" s="45" t="str">
        <f aca="false">IF($B274="","",X274/W274)</f>
        <v/>
      </c>
      <c r="Z274" s="36" t="str">
        <f aca="false">IF($B274="","",IF(T274="G",IF(N(Z273)&gt;0,Z273+1,1),IF(N(Z273)&lt;0,Z273-1,-1)))</f>
        <v/>
      </c>
      <c r="AA274" s="46" t="str">
        <f aca="false">IF($B274="","",B274-WEEKDAY(B274,2)+1)</f>
        <v/>
      </c>
      <c r="AB274" s="47" t="str">
        <f aca="false">IF($B274="","",DATE(YEAR(B274),MONTH(B274),1))</f>
        <v/>
      </c>
      <c r="AC274" s="41" t="str">
        <f aca="false">IF($B274="","",CHOOSE(WEEKDAY(B274,2),"Lunes","Martes","Miércoles","Jueves","Viernes","Sábado","Domingo"))</f>
        <v/>
      </c>
      <c r="AD274" s="36" t="str">
        <f aca="false">IF($B274="","",HOUR(C274))</f>
        <v/>
      </c>
      <c r="AE274" s="42" t="str">
        <f aca="false">IF($B274="","",IF(O274&lt;&gt;O273,MAX(V274-S274,V274),MAX(V274,AE273)))</f>
        <v/>
      </c>
      <c r="AF274" s="42" t="str">
        <f aca="false">IF($B274="","",V274-AE274)</f>
        <v/>
      </c>
      <c r="AG274" s="36" t="str">
        <f aca="false">IF($B274="","",IF(O274&lt;&gt;O273,IF(T274="G",1,-1),IF(T274="G",IF(N(AG273)&gt;0,AG273+1,1),IF(N(AG273)&lt;0,AG273-1,-1))))</f>
        <v/>
      </c>
    </row>
    <row r="275" customFormat="false" ht="15" hidden="false" customHeight="false" outlineLevel="0" collapsed="false">
      <c r="A275" s="36" t="str">
        <f aca="false">IF(B275="","",ROW()-6)</f>
        <v/>
      </c>
      <c r="B275" s="37"/>
      <c r="C275" s="38"/>
      <c r="D275" s="38"/>
      <c r="E275" s="39"/>
      <c r="F275" s="39"/>
      <c r="G275" s="39"/>
      <c r="H275" s="40"/>
      <c r="I275" s="40"/>
      <c r="J275" s="40"/>
      <c r="K275" s="40"/>
      <c r="L275" s="39"/>
      <c r="M275" s="40"/>
      <c r="N275" s="40"/>
      <c r="O275" s="36" t="str">
        <f aca="false">IF($B275="","",INT((A275-1)/Parametros!$C$10)+1)</f>
        <v/>
      </c>
      <c r="P275" s="41" t="str">
        <f aca="false">IF($B275="","",IF(OR(C275="",D275=""),"",ROUND((D275-C275)*1440,0)))</f>
        <v/>
      </c>
      <c r="Q275" s="42" t="str">
        <f aca="false">IF($B275="","",I275*VLOOKUP(E275,Parametros!$B$18:$D$24,2,FALSE()))</f>
        <v/>
      </c>
      <c r="R275" s="42" t="str">
        <f aca="false">IF($B275="","",G275*VLOOKUP(E275,Parametros!$B$18:$D$24,3,FALSE()))</f>
        <v/>
      </c>
      <c r="S275" s="42" t="str">
        <f aca="false">IF($B275="","",Q275-R275)</f>
        <v/>
      </c>
      <c r="T275" s="43" t="str">
        <f aca="false">IF($B275="","",IF(S275&gt;0,"G","P"))</f>
        <v/>
      </c>
      <c r="U275" s="44" t="str">
        <f aca="false">IF($B275="","",S275/Parametros!$C$8)</f>
        <v/>
      </c>
      <c r="V275" s="42" t="str">
        <f aca="false">IF($B275="","",Parametros!$C$6+SUM($S$7:S275))</f>
        <v/>
      </c>
      <c r="W275" s="42" t="str">
        <f aca="false">IF($B275="","",MAX(V275,W274))</f>
        <v/>
      </c>
      <c r="X275" s="42" t="str">
        <f aca="false">IF($B275="","",V275-W275)</f>
        <v/>
      </c>
      <c r="Y275" s="45" t="str">
        <f aca="false">IF($B275="","",X275/W275)</f>
        <v/>
      </c>
      <c r="Z275" s="36" t="str">
        <f aca="false">IF($B275="","",IF(T275="G",IF(N(Z274)&gt;0,Z274+1,1),IF(N(Z274)&lt;0,Z274-1,-1)))</f>
        <v/>
      </c>
      <c r="AA275" s="46" t="str">
        <f aca="false">IF($B275="","",B275-WEEKDAY(B275,2)+1)</f>
        <v/>
      </c>
      <c r="AB275" s="47" t="str">
        <f aca="false">IF($B275="","",DATE(YEAR(B275),MONTH(B275),1))</f>
        <v/>
      </c>
      <c r="AC275" s="41" t="str">
        <f aca="false">IF($B275="","",CHOOSE(WEEKDAY(B275,2),"Lunes","Martes","Miércoles","Jueves","Viernes","Sábado","Domingo"))</f>
        <v/>
      </c>
      <c r="AD275" s="36" t="str">
        <f aca="false">IF($B275="","",HOUR(C275))</f>
        <v/>
      </c>
      <c r="AE275" s="42" t="str">
        <f aca="false">IF($B275="","",IF(O275&lt;&gt;O274,MAX(V275-S275,V275),MAX(V275,AE274)))</f>
        <v/>
      </c>
      <c r="AF275" s="42" t="str">
        <f aca="false">IF($B275="","",V275-AE275)</f>
        <v/>
      </c>
      <c r="AG275" s="36" t="str">
        <f aca="false">IF($B275="","",IF(O275&lt;&gt;O274,IF(T275="G",1,-1),IF(T275="G",IF(N(AG274)&gt;0,AG274+1,1),IF(N(AG274)&lt;0,AG274-1,-1))))</f>
        <v/>
      </c>
    </row>
    <row r="276" customFormat="false" ht="15" hidden="false" customHeight="false" outlineLevel="0" collapsed="false">
      <c r="A276" s="36" t="str">
        <f aca="false">IF(B276="","",ROW()-6)</f>
        <v/>
      </c>
      <c r="B276" s="37"/>
      <c r="C276" s="38"/>
      <c r="D276" s="38"/>
      <c r="E276" s="39"/>
      <c r="F276" s="39"/>
      <c r="G276" s="39"/>
      <c r="H276" s="40"/>
      <c r="I276" s="40"/>
      <c r="J276" s="40"/>
      <c r="K276" s="40"/>
      <c r="L276" s="39"/>
      <c r="M276" s="40"/>
      <c r="N276" s="40"/>
      <c r="O276" s="36" t="str">
        <f aca="false">IF($B276="","",INT((A276-1)/Parametros!$C$10)+1)</f>
        <v/>
      </c>
      <c r="P276" s="41" t="str">
        <f aca="false">IF($B276="","",IF(OR(C276="",D276=""),"",ROUND((D276-C276)*1440,0)))</f>
        <v/>
      </c>
      <c r="Q276" s="42" t="str">
        <f aca="false">IF($B276="","",I276*VLOOKUP(E276,Parametros!$B$18:$D$24,2,FALSE()))</f>
        <v/>
      </c>
      <c r="R276" s="42" t="str">
        <f aca="false">IF($B276="","",G276*VLOOKUP(E276,Parametros!$B$18:$D$24,3,FALSE()))</f>
        <v/>
      </c>
      <c r="S276" s="42" t="str">
        <f aca="false">IF($B276="","",Q276-R276)</f>
        <v/>
      </c>
      <c r="T276" s="43" t="str">
        <f aca="false">IF($B276="","",IF(S276&gt;0,"G","P"))</f>
        <v/>
      </c>
      <c r="U276" s="44" t="str">
        <f aca="false">IF($B276="","",S276/Parametros!$C$8)</f>
        <v/>
      </c>
      <c r="V276" s="42" t="str">
        <f aca="false">IF($B276="","",Parametros!$C$6+SUM($S$7:S276))</f>
        <v/>
      </c>
      <c r="W276" s="42" t="str">
        <f aca="false">IF($B276="","",MAX(V276,W275))</f>
        <v/>
      </c>
      <c r="X276" s="42" t="str">
        <f aca="false">IF($B276="","",V276-W276)</f>
        <v/>
      </c>
      <c r="Y276" s="45" t="str">
        <f aca="false">IF($B276="","",X276/W276)</f>
        <v/>
      </c>
      <c r="Z276" s="36" t="str">
        <f aca="false">IF($B276="","",IF(T276="G",IF(N(Z275)&gt;0,Z275+1,1),IF(N(Z275)&lt;0,Z275-1,-1)))</f>
        <v/>
      </c>
      <c r="AA276" s="46" t="str">
        <f aca="false">IF($B276="","",B276-WEEKDAY(B276,2)+1)</f>
        <v/>
      </c>
      <c r="AB276" s="47" t="str">
        <f aca="false">IF($B276="","",DATE(YEAR(B276),MONTH(B276),1))</f>
        <v/>
      </c>
      <c r="AC276" s="41" t="str">
        <f aca="false">IF($B276="","",CHOOSE(WEEKDAY(B276,2),"Lunes","Martes","Miércoles","Jueves","Viernes","Sábado","Domingo"))</f>
        <v/>
      </c>
      <c r="AD276" s="36" t="str">
        <f aca="false">IF($B276="","",HOUR(C276))</f>
        <v/>
      </c>
      <c r="AE276" s="42" t="str">
        <f aca="false">IF($B276="","",IF(O276&lt;&gt;O275,MAX(V276-S276,V276),MAX(V276,AE275)))</f>
        <v/>
      </c>
      <c r="AF276" s="42" t="str">
        <f aca="false">IF($B276="","",V276-AE276)</f>
        <v/>
      </c>
      <c r="AG276" s="36" t="str">
        <f aca="false">IF($B276="","",IF(O276&lt;&gt;O275,IF(T276="G",1,-1),IF(T276="G",IF(N(AG275)&gt;0,AG275+1,1),IF(N(AG275)&lt;0,AG275-1,-1))))</f>
        <v/>
      </c>
    </row>
    <row r="277" customFormat="false" ht="15" hidden="false" customHeight="false" outlineLevel="0" collapsed="false">
      <c r="A277" s="36" t="str">
        <f aca="false">IF(B277="","",ROW()-6)</f>
        <v/>
      </c>
      <c r="B277" s="37"/>
      <c r="C277" s="38"/>
      <c r="D277" s="38"/>
      <c r="E277" s="39"/>
      <c r="F277" s="39"/>
      <c r="G277" s="39"/>
      <c r="H277" s="40"/>
      <c r="I277" s="40"/>
      <c r="J277" s="40"/>
      <c r="K277" s="40"/>
      <c r="L277" s="39"/>
      <c r="M277" s="40"/>
      <c r="N277" s="40"/>
      <c r="O277" s="36" t="str">
        <f aca="false">IF($B277="","",INT((A277-1)/Parametros!$C$10)+1)</f>
        <v/>
      </c>
      <c r="P277" s="41" t="str">
        <f aca="false">IF($B277="","",IF(OR(C277="",D277=""),"",ROUND((D277-C277)*1440,0)))</f>
        <v/>
      </c>
      <c r="Q277" s="42" t="str">
        <f aca="false">IF($B277="","",I277*VLOOKUP(E277,Parametros!$B$18:$D$24,2,FALSE()))</f>
        <v/>
      </c>
      <c r="R277" s="42" t="str">
        <f aca="false">IF($B277="","",G277*VLOOKUP(E277,Parametros!$B$18:$D$24,3,FALSE()))</f>
        <v/>
      </c>
      <c r="S277" s="42" t="str">
        <f aca="false">IF($B277="","",Q277-R277)</f>
        <v/>
      </c>
      <c r="T277" s="43" t="str">
        <f aca="false">IF($B277="","",IF(S277&gt;0,"G","P"))</f>
        <v/>
      </c>
      <c r="U277" s="44" t="str">
        <f aca="false">IF($B277="","",S277/Parametros!$C$8)</f>
        <v/>
      </c>
      <c r="V277" s="42" t="str">
        <f aca="false">IF($B277="","",Parametros!$C$6+SUM($S$7:S277))</f>
        <v/>
      </c>
      <c r="W277" s="42" t="str">
        <f aca="false">IF($B277="","",MAX(V277,W276))</f>
        <v/>
      </c>
      <c r="X277" s="42" t="str">
        <f aca="false">IF($B277="","",V277-W277)</f>
        <v/>
      </c>
      <c r="Y277" s="45" t="str">
        <f aca="false">IF($B277="","",X277/W277)</f>
        <v/>
      </c>
      <c r="Z277" s="36" t="str">
        <f aca="false">IF($B277="","",IF(T277="G",IF(N(Z276)&gt;0,Z276+1,1),IF(N(Z276)&lt;0,Z276-1,-1)))</f>
        <v/>
      </c>
      <c r="AA277" s="46" t="str">
        <f aca="false">IF($B277="","",B277-WEEKDAY(B277,2)+1)</f>
        <v/>
      </c>
      <c r="AB277" s="47" t="str">
        <f aca="false">IF($B277="","",DATE(YEAR(B277),MONTH(B277),1))</f>
        <v/>
      </c>
      <c r="AC277" s="41" t="str">
        <f aca="false">IF($B277="","",CHOOSE(WEEKDAY(B277,2),"Lunes","Martes","Miércoles","Jueves","Viernes","Sábado","Domingo"))</f>
        <v/>
      </c>
      <c r="AD277" s="36" t="str">
        <f aca="false">IF($B277="","",HOUR(C277))</f>
        <v/>
      </c>
      <c r="AE277" s="42" t="str">
        <f aca="false">IF($B277="","",IF(O277&lt;&gt;O276,MAX(V277-S277,V277),MAX(V277,AE276)))</f>
        <v/>
      </c>
      <c r="AF277" s="42" t="str">
        <f aca="false">IF($B277="","",V277-AE277)</f>
        <v/>
      </c>
      <c r="AG277" s="36" t="str">
        <f aca="false">IF($B277="","",IF(O277&lt;&gt;O276,IF(T277="G",1,-1),IF(T277="G",IF(N(AG276)&gt;0,AG276+1,1),IF(N(AG276)&lt;0,AG276-1,-1))))</f>
        <v/>
      </c>
    </row>
    <row r="278" customFormat="false" ht="15" hidden="false" customHeight="false" outlineLevel="0" collapsed="false">
      <c r="A278" s="36" t="str">
        <f aca="false">IF(B278="","",ROW()-6)</f>
        <v/>
      </c>
      <c r="B278" s="37"/>
      <c r="C278" s="38"/>
      <c r="D278" s="38"/>
      <c r="E278" s="39"/>
      <c r="F278" s="39"/>
      <c r="G278" s="39"/>
      <c r="H278" s="40"/>
      <c r="I278" s="40"/>
      <c r="J278" s="40"/>
      <c r="K278" s="40"/>
      <c r="L278" s="39"/>
      <c r="M278" s="40"/>
      <c r="N278" s="40"/>
      <c r="O278" s="36" t="str">
        <f aca="false">IF($B278="","",INT((A278-1)/Parametros!$C$10)+1)</f>
        <v/>
      </c>
      <c r="P278" s="41" t="str">
        <f aca="false">IF($B278="","",IF(OR(C278="",D278=""),"",ROUND((D278-C278)*1440,0)))</f>
        <v/>
      </c>
      <c r="Q278" s="42" t="str">
        <f aca="false">IF($B278="","",I278*VLOOKUP(E278,Parametros!$B$18:$D$24,2,FALSE()))</f>
        <v/>
      </c>
      <c r="R278" s="42" t="str">
        <f aca="false">IF($B278="","",G278*VLOOKUP(E278,Parametros!$B$18:$D$24,3,FALSE()))</f>
        <v/>
      </c>
      <c r="S278" s="42" t="str">
        <f aca="false">IF($B278="","",Q278-R278)</f>
        <v/>
      </c>
      <c r="T278" s="43" t="str">
        <f aca="false">IF($B278="","",IF(S278&gt;0,"G","P"))</f>
        <v/>
      </c>
      <c r="U278" s="44" t="str">
        <f aca="false">IF($B278="","",S278/Parametros!$C$8)</f>
        <v/>
      </c>
      <c r="V278" s="42" t="str">
        <f aca="false">IF($B278="","",Parametros!$C$6+SUM($S$7:S278))</f>
        <v/>
      </c>
      <c r="W278" s="42" t="str">
        <f aca="false">IF($B278="","",MAX(V278,W277))</f>
        <v/>
      </c>
      <c r="X278" s="42" t="str">
        <f aca="false">IF($B278="","",V278-W278)</f>
        <v/>
      </c>
      <c r="Y278" s="45" t="str">
        <f aca="false">IF($B278="","",X278/W278)</f>
        <v/>
      </c>
      <c r="Z278" s="36" t="str">
        <f aca="false">IF($B278="","",IF(T278="G",IF(N(Z277)&gt;0,Z277+1,1),IF(N(Z277)&lt;0,Z277-1,-1)))</f>
        <v/>
      </c>
      <c r="AA278" s="46" t="str">
        <f aca="false">IF($B278="","",B278-WEEKDAY(B278,2)+1)</f>
        <v/>
      </c>
      <c r="AB278" s="47" t="str">
        <f aca="false">IF($B278="","",DATE(YEAR(B278),MONTH(B278),1))</f>
        <v/>
      </c>
      <c r="AC278" s="41" t="str">
        <f aca="false">IF($B278="","",CHOOSE(WEEKDAY(B278,2),"Lunes","Martes","Miércoles","Jueves","Viernes","Sábado","Domingo"))</f>
        <v/>
      </c>
      <c r="AD278" s="36" t="str">
        <f aca="false">IF($B278="","",HOUR(C278))</f>
        <v/>
      </c>
      <c r="AE278" s="42" t="str">
        <f aca="false">IF($B278="","",IF(O278&lt;&gt;O277,MAX(V278-S278,V278),MAX(V278,AE277)))</f>
        <v/>
      </c>
      <c r="AF278" s="42" t="str">
        <f aca="false">IF($B278="","",V278-AE278)</f>
        <v/>
      </c>
      <c r="AG278" s="36" t="str">
        <f aca="false">IF($B278="","",IF(O278&lt;&gt;O277,IF(T278="G",1,-1),IF(T278="G",IF(N(AG277)&gt;0,AG277+1,1),IF(N(AG277)&lt;0,AG277-1,-1))))</f>
        <v/>
      </c>
    </row>
    <row r="279" customFormat="false" ht="15" hidden="false" customHeight="false" outlineLevel="0" collapsed="false">
      <c r="A279" s="36" t="str">
        <f aca="false">IF(B279="","",ROW()-6)</f>
        <v/>
      </c>
      <c r="B279" s="37"/>
      <c r="C279" s="38"/>
      <c r="D279" s="38"/>
      <c r="E279" s="39"/>
      <c r="F279" s="39"/>
      <c r="G279" s="39"/>
      <c r="H279" s="40"/>
      <c r="I279" s="40"/>
      <c r="J279" s="40"/>
      <c r="K279" s="40"/>
      <c r="L279" s="39"/>
      <c r="M279" s="40"/>
      <c r="N279" s="40"/>
      <c r="O279" s="36" t="str">
        <f aca="false">IF($B279="","",INT((A279-1)/Parametros!$C$10)+1)</f>
        <v/>
      </c>
      <c r="P279" s="41" t="str">
        <f aca="false">IF($B279="","",IF(OR(C279="",D279=""),"",ROUND((D279-C279)*1440,0)))</f>
        <v/>
      </c>
      <c r="Q279" s="42" t="str">
        <f aca="false">IF($B279="","",I279*VLOOKUP(E279,Parametros!$B$18:$D$24,2,FALSE()))</f>
        <v/>
      </c>
      <c r="R279" s="42" t="str">
        <f aca="false">IF($B279="","",G279*VLOOKUP(E279,Parametros!$B$18:$D$24,3,FALSE()))</f>
        <v/>
      </c>
      <c r="S279" s="42" t="str">
        <f aca="false">IF($B279="","",Q279-R279)</f>
        <v/>
      </c>
      <c r="T279" s="43" t="str">
        <f aca="false">IF($B279="","",IF(S279&gt;0,"G","P"))</f>
        <v/>
      </c>
      <c r="U279" s="44" t="str">
        <f aca="false">IF($B279="","",S279/Parametros!$C$8)</f>
        <v/>
      </c>
      <c r="V279" s="42" t="str">
        <f aca="false">IF($B279="","",Parametros!$C$6+SUM($S$7:S279))</f>
        <v/>
      </c>
      <c r="W279" s="42" t="str">
        <f aca="false">IF($B279="","",MAX(V279,W278))</f>
        <v/>
      </c>
      <c r="X279" s="42" t="str">
        <f aca="false">IF($B279="","",V279-W279)</f>
        <v/>
      </c>
      <c r="Y279" s="45" t="str">
        <f aca="false">IF($B279="","",X279/W279)</f>
        <v/>
      </c>
      <c r="Z279" s="36" t="str">
        <f aca="false">IF($B279="","",IF(T279="G",IF(N(Z278)&gt;0,Z278+1,1),IF(N(Z278)&lt;0,Z278-1,-1)))</f>
        <v/>
      </c>
      <c r="AA279" s="46" t="str">
        <f aca="false">IF($B279="","",B279-WEEKDAY(B279,2)+1)</f>
        <v/>
      </c>
      <c r="AB279" s="47" t="str">
        <f aca="false">IF($B279="","",DATE(YEAR(B279),MONTH(B279),1))</f>
        <v/>
      </c>
      <c r="AC279" s="41" t="str">
        <f aca="false">IF($B279="","",CHOOSE(WEEKDAY(B279,2),"Lunes","Martes","Miércoles","Jueves","Viernes","Sábado","Domingo"))</f>
        <v/>
      </c>
      <c r="AD279" s="36" t="str">
        <f aca="false">IF($B279="","",HOUR(C279))</f>
        <v/>
      </c>
      <c r="AE279" s="42" t="str">
        <f aca="false">IF($B279="","",IF(O279&lt;&gt;O278,MAX(V279-S279,V279),MAX(V279,AE278)))</f>
        <v/>
      </c>
      <c r="AF279" s="42" t="str">
        <f aca="false">IF($B279="","",V279-AE279)</f>
        <v/>
      </c>
      <c r="AG279" s="36" t="str">
        <f aca="false">IF($B279="","",IF(O279&lt;&gt;O278,IF(T279="G",1,-1),IF(T279="G",IF(N(AG278)&gt;0,AG278+1,1),IF(N(AG278)&lt;0,AG278-1,-1))))</f>
        <v/>
      </c>
    </row>
    <row r="280" customFormat="false" ht="15" hidden="false" customHeight="false" outlineLevel="0" collapsed="false">
      <c r="A280" s="36" t="str">
        <f aca="false">IF(B280="","",ROW()-6)</f>
        <v/>
      </c>
      <c r="B280" s="37"/>
      <c r="C280" s="38"/>
      <c r="D280" s="38"/>
      <c r="E280" s="39"/>
      <c r="F280" s="39"/>
      <c r="G280" s="39"/>
      <c r="H280" s="40"/>
      <c r="I280" s="40"/>
      <c r="J280" s="40"/>
      <c r="K280" s="40"/>
      <c r="L280" s="39"/>
      <c r="M280" s="40"/>
      <c r="N280" s="40"/>
      <c r="O280" s="36" t="str">
        <f aca="false">IF($B280="","",INT((A280-1)/Parametros!$C$10)+1)</f>
        <v/>
      </c>
      <c r="P280" s="41" t="str">
        <f aca="false">IF($B280="","",IF(OR(C280="",D280=""),"",ROUND((D280-C280)*1440,0)))</f>
        <v/>
      </c>
      <c r="Q280" s="42" t="str">
        <f aca="false">IF($B280="","",I280*VLOOKUP(E280,Parametros!$B$18:$D$24,2,FALSE()))</f>
        <v/>
      </c>
      <c r="R280" s="42" t="str">
        <f aca="false">IF($B280="","",G280*VLOOKUP(E280,Parametros!$B$18:$D$24,3,FALSE()))</f>
        <v/>
      </c>
      <c r="S280" s="42" t="str">
        <f aca="false">IF($B280="","",Q280-R280)</f>
        <v/>
      </c>
      <c r="T280" s="43" t="str">
        <f aca="false">IF($B280="","",IF(S280&gt;0,"G","P"))</f>
        <v/>
      </c>
      <c r="U280" s="44" t="str">
        <f aca="false">IF($B280="","",S280/Parametros!$C$8)</f>
        <v/>
      </c>
      <c r="V280" s="42" t="str">
        <f aca="false">IF($B280="","",Parametros!$C$6+SUM($S$7:S280))</f>
        <v/>
      </c>
      <c r="W280" s="42" t="str">
        <f aca="false">IF($B280="","",MAX(V280,W279))</f>
        <v/>
      </c>
      <c r="X280" s="42" t="str">
        <f aca="false">IF($B280="","",V280-W280)</f>
        <v/>
      </c>
      <c r="Y280" s="45" t="str">
        <f aca="false">IF($B280="","",X280/W280)</f>
        <v/>
      </c>
      <c r="Z280" s="36" t="str">
        <f aca="false">IF($B280="","",IF(T280="G",IF(N(Z279)&gt;0,Z279+1,1),IF(N(Z279)&lt;0,Z279-1,-1)))</f>
        <v/>
      </c>
      <c r="AA280" s="46" t="str">
        <f aca="false">IF($B280="","",B280-WEEKDAY(B280,2)+1)</f>
        <v/>
      </c>
      <c r="AB280" s="47" t="str">
        <f aca="false">IF($B280="","",DATE(YEAR(B280),MONTH(B280),1))</f>
        <v/>
      </c>
      <c r="AC280" s="41" t="str">
        <f aca="false">IF($B280="","",CHOOSE(WEEKDAY(B280,2),"Lunes","Martes","Miércoles","Jueves","Viernes","Sábado","Domingo"))</f>
        <v/>
      </c>
      <c r="AD280" s="36" t="str">
        <f aca="false">IF($B280="","",HOUR(C280))</f>
        <v/>
      </c>
      <c r="AE280" s="42" t="str">
        <f aca="false">IF($B280="","",IF(O280&lt;&gt;O279,MAX(V280-S280,V280),MAX(V280,AE279)))</f>
        <v/>
      </c>
      <c r="AF280" s="42" t="str">
        <f aca="false">IF($B280="","",V280-AE280)</f>
        <v/>
      </c>
      <c r="AG280" s="36" t="str">
        <f aca="false">IF($B280="","",IF(O280&lt;&gt;O279,IF(T280="G",1,-1),IF(T280="G",IF(N(AG279)&gt;0,AG279+1,1),IF(N(AG279)&lt;0,AG279-1,-1))))</f>
        <v/>
      </c>
    </row>
    <row r="281" customFormat="false" ht="15" hidden="false" customHeight="false" outlineLevel="0" collapsed="false">
      <c r="A281" s="36" t="str">
        <f aca="false">IF(B281="","",ROW()-6)</f>
        <v/>
      </c>
      <c r="B281" s="37"/>
      <c r="C281" s="38"/>
      <c r="D281" s="38"/>
      <c r="E281" s="39"/>
      <c r="F281" s="39"/>
      <c r="G281" s="39"/>
      <c r="H281" s="40"/>
      <c r="I281" s="40"/>
      <c r="J281" s="40"/>
      <c r="K281" s="40"/>
      <c r="L281" s="39"/>
      <c r="M281" s="40"/>
      <c r="N281" s="40"/>
      <c r="O281" s="36" t="str">
        <f aca="false">IF($B281="","",INT((A281-1)/Parametros!$C$10)+1)</f>
        <v/>
      </c>
      <c r="P281" s="41" t="str">
        <f aca="false">IF($B281="","",IF(OR(C281="",D281=""),"",ROUND((D281-C281)*1440,0)))</f>
        <v/>
      </c>
      <c r="Q281" s="42" t="str">
        <f aca="false">IF($B281="","",I281*VLOOKUP(E281,Parametros!$B$18:$D$24,2,FALSE()))</f>
        <v/>
      </c>
      <c r="R281" s="42" t="str">
        <f aca="false">IF($B281="","",G281*VLOOKUP(E281,Parametros!$B$18:$D$24,3,FALSE()))</f>
        <v/>
      </c>
      <c r="S281" s="42" t="str">
        <f aca="false">IF($B281="","",Q281-R281)</f>
        <v/>
      </c>
      <c r="T281" s="43" t="str">
        <f aca="false">IF($B281="","",IF(S281&gt;0,"G","P"))</f>
        <v/>
      </c>
      <c r="U281" s="44" t="str">
        <f aca="false">IF($B281="","",S281/Parametros!$C$8)</f>
        <v/>
      </c>
      <c r="V281" s="42" t="str">
        <f aca="false">IF($B281="","",Parametros!$C$6+SUM($S$7:S281))</f>
        <v/>
      </c>
      <c r="W281" s="42" t="str">
        <f aca="false">IF($B281="","",MAX(V281,W280))</f>
        <v/>
      </c>
      <c r="X281" s="42" t="str">
        <f aca="false">IF($B281="","",V281-W281)</f>
        <v/>
      </c>
      <c r="Y281" s="45" t="str">
        <f aca="false">IF($B281="","",X281/W281)</f>
        <v/>
      </c>
      <c r="Z281" s="36" t="str">
        <f aca="false">IF($B281="","",IF(T281="G",IF(N(Z280)&gt;0,Z280+1,1),IF(N(Z280)&lt;0,Z280-1,-1)))</f>
        <v/>
      </c>
      <c r="AA281" s="46" t="str">
        <f aca="false">IF($B281="","",B281-WEEKDAY(B281,2)+1)</f>
        <v/>
      </c>
      <c r="AB281" s="47" t="str">
        <f aca="false">IF($B281="","",DATE(YEAR(B281),MONTH(B281),1))</f>
        <v/>
      </c>
      <c r="AC281" s="41" t="str">
        <f aca="false">IF($B281="","",CHOOSE(WEEKDAY(B281,2),"Lunes","Martes","Miércoles","Jueves","Viernes","Sábado","Domingo"))</f>
        <v/>
      </c>
      <c r="AD281" s="36" t="str">
        <f aca="false">IF($B281="","",HOUR(C281))</f>
        <v/>
      </c>
      <c r="AE281" s="42" t="str">
        <f aca="false">IF($B281="","",IF(O281&lt;&gt;O280,MAX(V281-S281,V281),MAX(V281,AE280)))</f>
        <v/>
      </c>
      <c r="AF281" s="42" t="str">
        <f aca="false">IF($B281="","",V281-AE281)</f>
        <v/>
      </c>
      <c r="AG281" s="36" t="str">
        <f aca="false">IF($B281="","",IF(O281&lt;&gt;O280,IF(T281="G",1,-1),IF(T281="G",IF(N(AG280)&gt;0,AG280+1,1),IF(N(AG280)&lt;0,AG280-1,-1))))</f>
        <v/>
      </c>
    </row>
    <row r="282" customFormat="false" ht="15" hidden="false" customHeight="false" outlineLevel="0" collapsed="false">
      <c r="A282" s="36" t="str">
        <f aca="false">IF(B282="","",ROW()-6)</f>
        <v/>
      </c>
      <c r="B282" s="37"/>
      <c r="C282" s="38"/>
      <c r="D282" s="38"/>
      <c r="E282" s="39"/>
      <c r="F282" s="39"/>
      <c r="G282" s="39"/>
      <c r="H282" s="40"/>
      <c r="I282" s="40"/>
      <c r="J282" s="40"/>
      <c r="K282" s="40"/>
      <c r="L282" s="39"/>
      <c r="M282" s="40"/>
      <c r="N282" s="40"/>
      <c r="O282" s="36" t="str">
        <f aca="false">IF($B282="","",INT((A282-1)/Parametros!$C$10)+1)</f>
        <v/>
      </c>
      <c r="P282" s="41" t="str">
        <f aca="false">IF($B282="","",IF(OR(C282="",D282=""),"",ROUND((D282-C282)*1440,0)))</f>
        <v/>
      </c>
      <c r="Q282" s="42" t="str">
        <f aca="false">IF($B282="","",I282*VLOOKUP(E282,Parametros!$B$18:$D$24,2,FALSE()))</f>
        <v/>
      </c>
      <c r="R282" s="42" t="str">
        <f aca="false">IF($B282="","",G282*VLOOKUP(E282,Parametros!$B$18:$D$24,3,FALSE()))</f>
        <v/>
      </c>
      <c r="S282" s="42" t="str">
        <f aca="false">IF($B282="","",Q282-R282)</f>
        <v/>
      </c>
      <c r="T282" s="43" t="str">
        <f aca="false">IF($B282="","",IF(S282&gt;0,"G","P"))</f>
        <v/>
      </c>
      <c r="U282" s="44" t="str">
        <f aca="false">IF($B282="","",S282/Parametros!$C$8)</f>
        <v/>
      </c>
      <c r="V282" s="42" t="str">
        <f aca="false">IF($B282="","",Parametros!$C$6+SUM($S$7:S282))</f>
        <v/>
      </c>
      <c r="W282" s="42" t="str">
        <f aca="false">IF($B282="","",MAX(V282,W281))</f>
        <v/>
      </c>
      <c r="X282" s="42" t="str">
        <f aca="false">IF($B282="","",V282-W282)</f>
        <v/>
      </c>
      <c r="Y282" s="45" t="str">
        <f aca="false">IF($B282="","",X282/W282)</f>
        <v/>
      </c>
      <c r="Z282" s="36" t="str">
        <f aca="false">IF($B282="","",IF(T282="G",IF(N(Z281)&gt;0,Z281+1,1),IF(N(Z281)&lt;0,Z281-1,-1)))</f>
        <v/>
      </c>
      <c r="AA282" s="46" t="str">
        <f aca="false">IF($B282="","",B282-WEEKDAY(B282,2)+1)</f>
        <v/>
      </c>
      <c r="AB282" s="47" t="str">
        <f aca="false">IF($B282="","",DATE(YEAR(B282),MONTH(B282),1))</f>
        <v/>
      </c>
      <c r="AC282" s="41" t="str">
        <f aca="false">IF($B282="","",CHOOSE(WEEKDAY(B282,2),"Lunes","Martes","Miércoles","Jueves","Viernes","Sábado","Domingo"))</f>
        <v/>
      </c>
      <c r="AD282" s="36" t="str">
        <f aca="false">IF($B282="","",HOUR(C282))</f>
        <v/>
      </c>
      <c r="AE282" s="42" t="str">
        <f aca="false">IF($B282="","",IF(O282&lt;&gt;O281,MAX(V282-S282,V282),MAX(V282,AE281)))</f>
        <v/>
      </c>
      <c r="AF282" s="42" t="str">
        <f aca="false">IF($B282="","",V282-AE282)</f>
        <v/>
      </c>
      <c r="AG282" s="36" t="str">
        <f aca="false">IF($B282="","",IF(O282&lt;&gt;O281,IF(T282="G",1,-1),IF(T282="G",IF(N(AG281)&gt;0,AG281+1,1),IF(N(AG281)&lt;0,AG281-1,-1))))</f>
        <v/>
      </c>
    </row>
    <row r="283" customFormat="false" ht="15" hidden="false" customHeight="false" outlineLevel="0" collapsed="false">
      <c r="A283" s="36" t="str">
        <f aca="false">IF(B283="","",ROW()-6)</f>
        <v/>
      </c>
      <c r="B283" s="37"/>
      <c r="C283" s="38"/>
      <c r="D283" s="38"/>
      <c r="E283" s="39"/>
      <c r="F283" s="39"/>
      <c r="G283" s="39"/>
      <c r="H283" s="40"/>
      <c r="I283" s="40"/>
      <c r="J283" s="40"/>
      <c r="K283" s="40"/>
      <c r="L283" s="39"/>
      <c r="M283" s="40"/>
      <c r="N283" s="40"/>
      <c r="O283" s="36" t="str">
        <f aca="false">IF($B283="","",INT((A283-1)/Parametros!$C$10)+1)</f>
        <v/>
      </c>
      <c r="P283" s="41" t="str">
        <f aca="false">IF($B283="","",IF(OR(C283="",D283=""),"",ROUND((D283-C283)*1440,0)))</f>
        <v/>
      </c>
      <c r="Q283" s="42" t="str">
        <f aca="false">IF($B283="","",I283*VLOOKUP(E283,Parametros!$B$18:$D$24,2,FALSE()))</f>
        <v/>
      </c>
      <c r="R283" s="42" t="str">
        <f aca="false">IF($B283="","",G283*VLOOKUP(E283,Parametros!$B$18:$D$24,3,FALSE()))</f>
        <v/>
      </c>
      <c r="S283" s="42" t="str">
        <f aca="false">IF($B283="","",Q283-R283)</f>
        <v/>
      </c>
      <c r="T283" s="43" t="str">
        <f aca="false">IF($B283="","",IF(S283&gt;0,"G","P"))</f>
        <v/>
      </c>
      <c r="U283" s="44" t="str">
        <f aca="false">IF($B283="","",S283/Parametros!$C$8)</f>
        <v/>
      </c>
      <c r="V283" s="42" t="str">
        <f aca="false">IF($B283="","",Parametros!$C$6+SUM($S$7:S283))</f>
        <v/>
      </c>
      <c r="W283" s="42" t="str">
        <f aca="false">IF($B283="","",MAX(V283,W282))</f>
        <v/>
      </c>
      <c r="X283" s="42" t="str">
        <f aca="false">IF($B283="","",V283-W283)</f>
        <v/>
      </c>
      <c r="Y283" s="45" t="str">
        <f aca="false">IF($B283="","",X283/W283)</f>
        <v/>
      </c>
      <c r="Z283" s="36" t="str">
        <f aca="false">IF($B283="","",IF(T283="G",IF(N(Z282)&gt;0,Z282+1,1),IF(N(Z282)&lt;0,Z282-1,-1)))</f>
        <v/>
      </c>
      <c r="AA283" s="46" t="str">
        <f aca="false">IF($B283="","",B283-WEEKDAY(B283,2)+1)</f>
        <v/>
      </c>
      <c r="AB283" s="47" t="str">
        <f aca="false">IF($B283="","",DATE(YEAR(B283),MONTH(B283),1))</f>
        <v/>
      </c>
      <c r="AC283" s="41" t="str">
        <f aca="false">IF($B283="","",CHOOSE(WEEKDAY(B283,2),"Lunes","Martes","Miércoles","Jueves","Viernes","Sábado","Domingo"))</f>
        <v/>
      </c>
      <c r="AD283" s="36" t="str">
        <f aca="false">IF($B283="","",HOUR(C283))</f>
        <v/>
      </c>
      <c r="AE283" s="42" t="str">
        <f aca="false">IF($B283="","",IF(O283&lt;&gt;O282,MAX(V283-S283,V283),MAX(V283,AE282)))</f>
        <v/>
      </c>
      <c r="AF283" s="42" t="str">
        <f aca="false">IF($B283="","",V283-AE283)</f>
        <v/>
      </c>
      <c r="AG283" s="36" t="str">
        <f aca="false">IF($B283="","",IF(O283&lt;&gt;O282,IF(T283="G",1,-1),IF(T283="G",IF(N(AG282)&gt;0,AG282+1,1),IF(N(AG282)&lt;0,AG282-1,-1))))</f>
        <v/>
      </c>
    </row>
    <row r="284" customFormat="false" ht="15" hidden="false" customHeight="false" outlineLevel="0" collapsed="false">
      <c r="A284" s="36" t="str">
        <f aca="false">IF(B284="","",ROW()-6)</f>
        <v/>
      </c>
      <c r="B284" s="37"/>
      <c r="C284" s="38"/>
      <c r="D284" s="38"/>
      <c r="E284" s="39"/>
      <c r="F284" s="39"/>
      <c r="G284" s="39"/>
      <c r="H284" s="40"/>
      <c r="I284" s="40"/>
      <c r="J284" s="40"/>
      <c r="K284" s="40"/>
      <c r="L284" s="39"/>
      <c r="M284" s="40"/>
      <c r="N284" s="40"/>
      <c r="O284" s="36" t="str">
        <f aca="false">IF($B284="","",INT((A284-1)/Parametros!$C$10)+1)</f>
        <v/>
      </c>
      <c r="P284" s="41" t="str">
        <f aca="false">IF($B284="","",IF(OR(C284="",D284=""),"",ROUND((D284-C284)*1440,0)))</f>
        <v/>
      </c>
      <c r="Q284" s="42" t="str">
        <f aca="false">IF($B284="","",I284*VLOOKUP(E284,Parametros!$B$18:$D$24,2,FALSE()))</f>
        <v/>
      </c>
      <c r="R284" s="42" t="str">
        <f aca="false">IF($B284="","",G284*VLOOKUP(E284,Parametros!$B$18:$D$24,3,FALSE()))</f>
        <v/>
      </c>
      <c r="S284" s="42" t="str">
        <f aca="false">IF($B284="","",Q284-R284)</f>
        <v/>
      </c>
      <c r="T284" s="43" t="str">
        <f aca="false">IF($B284="","",IF(S284&gt;0,"G","P"))</f>
        <v/>
      </c>
      <c r="U284" s="44" t="str">
        <f aca="false">IF($B284="","",S284/Parametros!$C$8)</f>
        <v/>
      </c>
      <c r="V284" s="42" t="str">
        <f aca="false">IF($B284="","",Parametros!$C$6+SUM($S$7:S284))</f>
        <v/>
      </c>
      <c r="W284" s="42" t="str">
        <f aca="false">IF($B284="","",MAX(V284,W283))</f>
        <v/>
      </c>
      <c r="X284" s="42" t="str">
        <f aca="false">IF($B284="","",V284-W284)</f>
        <v/>
      </c>
      <c r="Y284" s="45" t="str">
        <f aca="false">IF($B284="","",X284/W284)</f>
        <v/>
      </c>
      <c r="Z284" s="36" t="str">
        <f aca="false">IF($B284="","",IF(T284="G",IF(N(Z283)&gt;0,Z283+1,1),IF(N(Z283)&lt;0,Z283-1,-1)))</f>
        <v/>
      </c>
      <c r="AA284" s="46" t="str">
        <f aca="false">IF($B284="","",B284-WEEKDAY(B284,2)+1)</f>
        <v/>
      </c>
      <c r="AB284" s="47" t="str">
        <f aca="false">IF($B284="","",DATE(YEAR(B284),MONTH(B284),1))</f>
        <v/>
      </c>
      <c r="AC284" s="41" t="str">
        <f aca="false">IF($B284="","",CHOOSE(WEEKDAY(B284,2),"Lunes","Martes","Miércoles","Jueves","Viernes","Sábado","Domingo"))</f>
        <v/>
      </c>
      <c r="AD284" s="36" t="str">
        <f aca="false">IF($B284="","",HOUR(C284))</f>
        <v/>
      </c>
      <c r="AE284" s="42" t="str">
        <f aca="false">IF($B284="","",IF(O284&lt;&gt;O283,MAX(V284-S284,V284),MAX(V284,AE283)))</f>
        <v/>
      </c>
      <c r="AF284" s="42" t="str">
        <f aca="false">IF($B284="","",V284-AE284)</f>
        <v/>
      </c>
      <c r="AG284" s="36" t="str">
        <f aca="false">IF($B284="","",IF(O284&lt;&gt;O283,IF(T284="G",1,-1),IF(T284="G",IF(N(AG283)&gt;0,AG283+1,1),IF(N(AG283)&lt;0,AG283-1,-1))))</f>
        <v/>
      </c>
    </row>
    <row r="285" customFormat="false" ht="15" hidden="false" customHeight="false" outlineLevel="0" collapsed="false">
      <c r="A285" s="36" t="str">
        <f aca="false">IF(B285="","",ROW()-6)</f>
        <v/>
      </c>
      <c r="B285" s="37"/>
      <c r="C285" s="38"/>
      <c r="D285" s="38"/>
      <c r="E285" s="39"/>
      <c r="F285" s="39"/>
      <c r="G285" s="39"/>
      <c r="H285" s="40"/>
      <c r="I285" s="40"/>
      <c r="J285" s="40"/>
      <c r="K285" s="40"/>
      <c r="L285" s="39"/>
      <c r="M285" s="40"/>
      <c r="N285" s="40"/>
      <c r="O285" s="36" t="str">
        <f aca="false">IF($B285="","",INT((A285-1)/Parametros!$C$10)+1)</f>
        <v/>
      </c>
      <c r="P285" s="41" t="str">
        <f aca="false">IF($B285="","",IF(OR(C285="",D285=""),"",ROUND((D285-C285)*1440,0)))</f>
        <v/>
      </c>
      <c r="Q285" s="42" t="str">
        <f aca="false">IF($B285="","",I285*VLOOKUP(E285,Parametros!$B$18:$D$24,2,FALSE()))</f>
        <v/>
      </c>
      <c r="R285" s="42" t="str">
        <f aca="false">IF($B285="","",G285*VLOOKUP(E285,Parametros!$B$18:$D$24,3,FALSE()))</f>
        <v/>
      </c>
      <c r="S285" s="42" t="str">
        <f aca="false">IF($B285="","",Q285-R285)</f>
        <v/>
      </c>
      <c r="T285" s="43" t="str">
        <f aca="false">IF($B285="","",IF(S285&gt;0,"G","P"))</f>
        <v/>
      </c>
      <c r="U285" s="44" t="str">
        <f aca="false">IF($B285="","",S285/Parametros!$C$8)</f>
        <v/>
      </c>
      <c r="V285" s="42" t="str">
        <f aca="false">IF($B285="","",Parametros!$C$6+SUM($S$7:S285))</f>
        <v/>
      </c>
      <c r="W285" s="42" t="str">
        <f aca="false">IF($B285="","",MAX(V285,W284))</f>
        <v/>
      </c>
      <c r="X285" s="42" t="str">
        <f aca="false">IF($B285="","",V285-W285)</f>
        <v/>
      </c>
      <c r="Y285" s="45" t="str">
        <f aca="false">IF($B285="","",X285/W285)</f>
        <v/>
      </c>
      <c r="Z285" s="36" t="str">
        <f aca="false">IF($B285="","",IF(T285="G",IF(N(Z284)&gt;0,Z284+1,1),IF(N(Z284)&lt;0,Z284-1,-1)))</f>
        <v/>
      </c>
      <c r="AA285" s="46" t="str">
        <f aca="false">IF($B285="","",B285-WEEKDAY(B285,2)+1)</f>
        <v/>
      </c>
      <c r="AB285" s="47" t="str">
        <f aca="false">IF($B285="","",DATE(YEAR(B285),MONTH(B285),1))</f>
        <v/>
      </c>
      <c r="AC285" s="41" t="str">
        <f aca="false">IF($B285="","",CHOOSE(WEEKDAY(B285,2),"Lunes","Martes","Miércoles","Jueves","Viernes","Sábado","Domingo"))</f>
        <v/>
      </c>
      <c r="AD285" s="36" t="str">
        <f aca="false">IF($B285="","",HOUR(C285))</f>
        <v/>
      </c>
      <c r="AE285" s="42" t="str">
        <f aca="false">IF($B285="","",IF(O285&lt;&gt;O284,MAX(V285-S285,V285),MAX(V285,AE284)))</f>
        <v/>
      </c>
      <c r="AF285" s="42" t="str">
        <f aca="false">IF($B285="","",V285-AE285)</f>
        <v/>
      </c>
      <c r="AG285" s="36" t="str">
        <f aca="false">IF($B285="","",IF(O285&lt;&gt;O284,IF(T285="G",1,-1),IF(T285="G",IF(N(AG284)&gt;0,AG284+1,1),IF(N(AG284)&lt;0,AG284-1,-1))))</f>
        <v/>
      </c>
    </row>
    <row r="286" customFormat="false" ht="15" hidden="false" customHeight="false" outlineLevel="0" collapsed="false">
      <c r="A286" s="36" t="str">
        <f aca="false">IF(B286="","",ROW()-6)</f>
        <v/>
      </c>
      <c r="B286" s="37"/>
      <c r="C286" s="38"/>
      <c r="D286" s="38"/>
      <c r="E286" s="39"/>
      <c r="F286" s="39"/>
      <c r="G286" s="39"/>
      <c r="H286" s="40"/>
      <c r="I286" s="40"/>
      <c r="J286" s="40"/>
      <c r="K286" s="40"/>
      <c r="L286" s="39"/>
      <c r="M286" s="40"/>
      <c r="N286" s="40"/>
      <c r="O286" s="36" t="str">
        <f aca="false">IF($B286="","",INT((A286-1)/Parametros!$C$10)+1)</f>
        <v/>
      </c>
      <c r="P286" s="41" t="str">
        <f aca="false">IF($B286="","",IF(OR(C286="",D286=""),"",ROUND((D286-C286)*1440,0)))</f>
        <v/>
      </c>
      <c r="Q286" s="42" t="str">
        <f aca="false">IF($B286="","",I286*VLOOKUP(E286,Parametros!$B$18:$D$24,2,FALSE()))</f>
        <v/>
      </c>
      <c r="R286" s="42" t="str">
        <f aca="false">IF($B286="","",G286*VLOOKUP(E286,Parametros!$B$18:$D$24,3,FALSE()))</f>
        <v/>
      </c>
      <c r="S286" s="42" t="str">
        <f aca="false">IF($B286="","",Q286-R286)</f>
        <v/>
      </c>
      <c r="T286" s="43" t="str">
        <f aca="false">IF($B286="","",IF(S286&gt;0,"G","P"))</f>
        <v/>
      </c>
      <c r="U286" s="44" t="str">
        <f aca="false">IF($B286="","",S286/Parametros!$C$8)</f>
        <v/>
      </c>
      <c r="V286" s="42" t="str">
        <f aca="false">IF($B286="","",Parametros!$C$6+SUM($S$7:S286))</f>
        <v/>
      </c>
      <c r="W286" s="42" t="str">
        <f aca="false">IF($B286="","",MAX(V286,W285))</f>
        <v/>
      </c>
      <c r="X286" s="42" t="str">
        <f aca="false">IF($B286="","",V286-W286)</f>
        <v/>
      </c>
      <c r="Y286" s="45" t="str">
        <f aca="false">IF($B286="","",X286/W286)</f>
        <v/>
      </c>
      <c r="Z286" s="36" t="str">
        <f aca="false">IF($B286="","",IF(T286="G",IF(N(Z285)&gt;0,Z285+1,1),IF(N(Z285)&lt;0,Z285-1,-1)))</f>
        <v/>
      </c>
      <c r="AA286" s="46" t="str">
        <f aca="false">IF($B286="","",B286-WEEKDAY(B286,2)+1)</f>
        <v/>
      </c>
      <c r="AB286" s="47" t="str">
        <f aca="false">IF($B286="","",DATE(YEAR(B286),MONTH(B286),1))</f>
        <v/>
      </c>
      <c r="AC286" s="41" t="str">
        <f aca="false">IF($B286="","",CHOOSE(WEEKDAY(B286,2),"Lunes","Martes","Miércoles","Jueves","Viernes","Sábado","Domingo"))</f>
        <v/>
      </c>
      <c r="AD286" s="36" t="str">
        <f aca="false">IF($B286="","",HOUR(C286))</f>
        <v/>
      </c>
      <c r="AE286" s="42" t="str">
        <f aca="false">IF($B286="","",IF(O286&lt;&gt;O285,MAX(V286-S286,V286),MAX(V286,AE285)))</f>
        <v/>
      </c>
      <c r="AF286" s="42" t="str">
        <f aca="false">IF($B286="","",V286-AE286)</f>
        <v/>
      </c>
      <c r="AG286" s="36" t="str">
        <f aca="false">IF($B286="","",IF(O286&lt;&gt;O285,IF(T286="G",1,-1),IF(T286="G",IF(N(AG285)&gt;0,AG285+1,1),IF(N(AG285)&lt;0,AG285-1,-1))))</f>
        <v/>
      </c>
    </row>
    <row r="287" customFormat="false" ht="15" hidden="false" customHeight="false" outlineLevel="0" collapsed="false">
      <c r="A287" s="36" t="str">
        <f aca="false">IF(B287="","",ROW()-6)</f>
        <v/>
      </c>
      <c r="B287" s="37"/>
      <c r="C287" s="38"/>
      <c r="D287" s="38"/>
      <c r="E287" s="39"/>
      <c r="F287" s="39"/>
      <c r="G287" s="39"/>
      <c r="H287" s="40"/>
      <c r="I287" s="40"/>
      <c r="J287" s="40"/>
      <c r="K287" s="40"/>
      <c r="L287" s="39"/>
      <c r="M287" s="40"/>
      <c r="N287" s="40"/>
      <c r="O287" s="36" t="str">
        <f aca="false">IF($B287="","",INT((A287-1)/Parametros!$C$10)+1)</f>
        <v/>
      </c>
      <c r="P287" s="41" t="str">
        <f aca="false">IF($B287="","",IF(OR(C287="",D287=""),"",ROUND((D287-C287)*1440,0)))</f>
        <v/>
      </c>
      <c r="Q287" s="42" t="str">
        <f aca="false">IF($B287="","",I287*VLOOKUP(E287,Parametros!$B$18:$D$24,2,FALSE()))</f>
        <v/>
      </c>
      <c r="R287" s="42" t="str">
        <f aca="false">IF($B287="","",G287*VLOOKUP(E287,Parametros!$B$18:$D$24,3,FALSE()))</f>
        <v/>
      </c>
      <c r="S287" s="42" t="str">
        <f aca="false">IF($B287="","",Q287-R287)</f>
        <v/>
      </c>
      <c r="T287" s="43" t="str">
        <f aca="false">IF($B287="","",IF(S287&gt;0,"G","P"))</f>
        <v/>
      </c>
      <c r="U287" s="44" t="str">
        <f aca="false">IF($B287="","",S287/Parametros!$C$8)</f>
        <v/>
      </c>
      <c r="V287" s="42" t="str">
        <f aca="false">IF($B287="","",Parametros!$C$6+SUM($S$7:S287))</f>
        <v/>
      </c>
      <c r="W287" s="42" t="str">
        <f aca="false">IF($B287="","",MAX(V287,W286))</f>
        <v/>
      </c>
      <c r="X287" s="42" t="str">
        <f aca="false">IF($B287="","",V287-W287)</f>
        <v/>
      </c>
      <c r="Y287" s="45" t="str">
        <f aca="false">IF($B287="","",X287/W287)</f>
        <v/>
      </c>
      <c r="Z287" s="36" t="str">
        <f aca="false">IF($B287="","",IF(T287="G",IF(N(Z286)&gt;0,Z286+1,1),IF(N(Z286)&lt;0,Z286-1,-1)))</f>
        <v/>
      </c>
      <c r="AA287" s="46" t="str">
        <f aca="false">IF($B287="","",B287-WEEKDAY(B287,2)+1)</f>
        <v/>
      </c>
      <c r="AB287" s="47" t="str">
        <f aca="false">IF($B287="","",DATE(YEAR(B287),MONTH(B287),1))</f>
        <v/>
      </c>
      <c r="AC287" s="41" t="str">
        <f aca="false">IF($B287="","",CHOOSE(WEEKDAY(B287,2),"Lunes","Martes","Miércoles","Jueves","Viernes","Sábado","Domingo"))</f>
        <v/>
      </c>
      <c r="AD287" s="36" t="str">
        <f aca="false">IF($B287="","",HOUR(C287))</f>
        <v/>
      </c>
      <c r="AE287" s="42" t="str">
        <f aca="false">IF($B287="","",IF(O287&lt;&gt;O286,MAX(V287-S287,V287),MAX(V287,AE286)))</f>
        <v/>
      </c>
      <c r="AF287" s="42" t="str">
        <f aca="false">IF($B287="","",V287-AE287)</f>
        <v/>
      </c>
      <c r="AG287" s="36" t="str">
        <f aca="false">IF($B287="","",IF(O287&lt;&gt;O286,IF(T287="G",1,-1),IF(T287="G",IF(N(AG286)&gt;0,AG286+1,1),IF(N(AG286)&lt;0,AG286-1,-1))))</f>
        <v/>
      </c>
    </row>
    <row r="288" customFormat="false" ht="15" hidden="false" customHeight="false" outlineLevel="0" collapsed="false">
      <c r="A288" s="36" t="str">
        <f aca="false">IF(B288="","",ROW()-6)</f>
        <v/>
      </c>
      <c r="B288" s="37"/>
      <c r="C288" s="38"/>
      <c r="D288" s="38"/>
      <c r="E288" s="39"/>
      <c r="F288" s="39"/>
      <c r="G288" s="39"/>
      <c r="H288" s="40"/>
      <c r="I288" s="40"/>
      <c r="J288" s="40"/>
      <c r="K288" s="40"/>
      <c r="L288" s="39"/>
      <c r="M288" s="40"/>
      <c r="N288" s="40"/>
      <c r="O288" s="36" t="str">
        <f aca="false">IF($B288="","",INT((A288-1)/Parametros!$C$10)+1)</f>
        <v/>
      </c>
      <c r="P288" s="41" t="str">
        <f aca="false">IF($B288="","",IF(OR(C288="",D288=""),"",ROUND((D288-C288)*1440,0)))</f>
        <v/>
      </c>
      <c r="Q288" s="42" t="str">
        <f aca="false">IF($B288="","",I288*VLOOKUP(E288,Parametros!$B$18:$D$24,2,FALSE()))</f>
        <v/>
      </c>
      <c r="R288" s="42" t="str">
        <f aca="false">IF($B288="","",G288*VLOOKUP(E288,Parametros!$B$18:$D$24,3,FALSE()))</f>
        <v/>
      </c>
      <c r="S288" s="42" t="str">
        <f aca="false">IF($B288="","",Q288-R288)</f>
        <v/>
      </c>
      <c r="T288" s="43" t="str">
        <f aca="false">IF($B288="","",IF(S288&gt;0,"G","P"))</f>
        <v/>
      </c>
      <c r="U288" s="44" t="str">
        <f aca="false">IF($B288="","",S288/Parametros!$C$8)</f>
        <v/>
      </c>
      <c r="V288" s="42" t="str">
        <f aca="false">IF($B288="","",Parametros!$C$6+SUM($S$7:S288))</f>
        <v/>
      </c>
      <c r="W288" s="42" t="str">
        <f aca="false">IF($B288="","",MAX(V288,W287))</f>
        <v/>
      </c>
      <c r="X288" s="42" t="str">
        <f aca="false">IF($B288="","",V288-W288)</f>
        <v/>
      </c>
      <c r="Y288" s="45" t="str">
        <f aca="false">IF($B288="","",X288/W288)</f>
        <v/>
      </c>
      <c r="Z288" s="36" t="str">
        <f aca="false">IF($B288="","",IF(T288="G",IF(N(Z287)&gt;0,Z287+1,1),IF(N(Z287)&lt;0,Z287-1,-1)))</f>
        <v/>
      </c>
      <c r="AA288" s="46" t="str">
        <f aca="false">IF($B288="","",B288-WEEKDAY(B288,2)+1)</f>
        <v/>
      </c>
      <c r="AB288" s="47" t="str">
        <f aca="false">IF($B288="","",DATE(YEAR(B288),MONTH(B288),1))</f>
        <v/>
      </c>
      <c r="AC288" s="41" t="str">
        <f aca="false">IF($B288="","",CHOOSE(WEEKDAY(B288,2),"Lunes","Martes","Miércoles","Jueves","Viernes","Sábado","Domingo"))</f>
        <v/>
      </c>
      <c r="AD288" s="36" t="str">
        <f aca="false">IF($B288="","",HOUR(C288))</f>
        <v/>
      </c>
      <c r="AE288" s="42" t="str">
        <f aca="false">IF($B288="","",IF(O288&lt;&gt;O287,MAX(V288-S288,V288),MAX(V288,AE287)))</f>
        <v/>
      </c>
      <c r="AF288" s="42" t="str">
        <f aca="false">IF($B288="","",V288-AE288)</f>
        <v/>
      </c>
      <c r="AG288" s="36" t="str">
        <f aca="false">IF($B288="","",IF(O288&lt;&gt;O287,IF(T288="G",1,-1),IF(T288="G",IF(N(AG287)&gt;0,AG287+1,1),IF(N(AG287)&lt;0,AG287-1,-1))))</f>
        <v/>
      </c>
    </row>
    <row r="289" customFormat="false" ht="15" hidden="false" customHeight="false" outlineLevel="0" collapsed="false">
      <c r="A289" s="36" t="str">
        <f aca="false">IF(B289="","",ROW()-6)</f>
        <v/>
      </c>
      <c r="B289" s="37"/>
      <c r="C289" s="38"/>
      <c r="D289" s="38"/>
      <c r="E289" s="39"/>
      <c r="F289" s="39"/>
      <c r="G289" s="39"/>
      <c r="H289" s="40"/>
      <c r="I289" s="40"/>
      <c r="J289" s="40"/>
      <c r="K289" s="40"/>
      <c r="L289" s="39"/>
      <c r="M289" s="40"/>
      <c r="N289" s="40"/>
      <c r="O289" s="36" t="str">
        <f aca="false">IF($B289="","",INT((A289-1)/Parametros!$C$10)+1)</f>
        <v/>
      </c>
      <c r="P289" s="41" t="str">
        <f aca="false">IF($B289="","",IF(OR(C289="",D289=""),"",ROUND((D289-C289)*1440,0)))</f>
        <v/>
      </c>
      <c r="Q289" s="42" t="str">
        <f aca="false">IF($B289="","",I289*VLOOKUP(E289,Parametros!$B$18:$D$24,2,FALSE()))</f>
        <v/>
      </c>
      <c r="R289" s="42" t="str">
        <f aca="false">IF($B289="","",G289*VLOOKUP(E289,Parametros!$B$18:$D$24,3,FALSE()))</f>
        <v/>
      </c>
      <c r="S289" s="42" t="str">
        <f aca="false">IF($B289="","",Q289-R289)</f>
        <v/>
      </c>
      <c r="T289" s="43" t="str">
        <f aca="false">IF($B289="","",IF(S289&gt;0,"G","P"))</f>
        <v/>
      </c>
      <c r="U289" s="44" t="str">
        <f aca="false">IF($B289="","",S289/Parametros!$C$8)</f>
        <v/>
      </c>
      <c r="V289" s="42" t="str">
        <f aca="false">IF($B289="","",Parametros!$C$6+SUM($S$7:S289))</f>
        <v/>
      </c>
      <c r="W289" s="42" t="str">
        <f aca="false">IF($B289="","",MAX(V289,W288))</f>
        <v/>
      </c>
      <c r="X289" s="42" t="str">
        <f aca="false">IF($B289="","",V289-W289)</f>
        <v/>
      </c>
      <c r="Y289" s="45" t="str">
        <f aca="false">IF($B289="","",X289/W289)</f>
        <v/>
      </c>
      <c r="Z289" s="36" t="str">
        <f aca="false">IF($B289="","",IF(T289="G",IF(N(Z288)&gt;0,Z288+1,1),IF(N(Z288)&lt;0,Z288-1,-1)))</f>
        <v/>
      </c>
      <c r="AA289" s="46" t="str">
        <f aca="false">IF($B289="","",B289-WEEKDAY(B289,2)+1)</f>
        <v/>
      </c>
      <c r="AB289" s="47" t="str">
        <f aca="false">IF($B289="","",DATE(YEAR(B289),MONTH(B289),1))</f>
        <v/>
      </c>
      <c r="AC289" s="41" t="str">
        <f aca="false">IF($B289="","",CHOOSE(WEEKDAY(B289,2),"Lunes","Martes","Miércoles","Jueves","Viernes","Sábado","Domingo"))</f>
        <v/>
      </c>
      <c r="AD289" s="36" t="str">
        <f aca="false">IF($B289="","",HOUR(C289))</f>
        <v/>
      </c>
      <c r="AE289" s="42" t="str">
        <f aca="false">IF($B289="","",IF(O289&lt;&gt;O288,MAX(V289-S289,V289),MAX(V289,AE288)))</f>
        <v/>
      </c>
      <c r="AF289" s="42" t="str">
        <f aca="false">IF($B289="","",V289-AE289)</f>
        <v/>
      </c>
      <c r="AG289" s="36" t="str">
        <f aca="false">IF($B289="","",IF(O289&lt;&gt;O288,IF(T289="G",1,-1),IF(T289="G",IF(N(AG288)&gt;0,AG288+1,1),IF(N(AG288)&lt;0,AG288-1,-1))))</f>
        <v/>
      </c>
    </row>
    <row r="290" customFormat="false" ht="15" hidden="false" customHeight="false" outlineLevel="0" collapsed="false">
      <c r="A290" s="36" t="str">
        <f aca="false">IF(B290="","",ROW()-6)</f>
        <v/>
      </c>
      <c r="B290" s="37"/>
      <c r="C290" s="38"/>
      <c r="D290" s="38"/>
      <c r="E290" s="39"/>
      <c r="F290" s="39"/>
      <c r="G290" s="39"/>
      <c r="H290" s="40"/>
      <c r="I290" s="40"/>
      <c r="J290" s="40"/>
      <c r="K290" s="40"/>
      <c r="L290" s="39"/>
      <c r="M290" s="40"/>
      <c r="N290" s="40"/>
      <c r="O290" s="36" t="str">
        <f aca="false">IF($B290="","",INT((A290-1)/Parametros!$C$10)+1)</f>
        <v/>
      </c>
      <c r="P290" s="41" t="str">
        <f aca="false">IF($B290="","",IF(OR(C290="",D290=""),"",ROUND((D290-C290)*1440,0)))</f>
        <v/>
      </c>
      <c r="Q290" s="42" t="str">
        <f aca="false">IF($B290="","",I290*VLOOKUP(E290,Parametros!$B$18:$D$24,2,FALSE()))</f>
        <v/>
      </c>
      <c r="R290" s="42" t="str">
        <f aca="false">IF($B290="","",G290*VLOOKUP(E290,Parametros!$B$18:$D$24,3,FALSE()))</f>
        <v/>
      </c>
      <c r="S290" s="42" t="str">
        <f aca="false">IF($B290="","",Q290-R290)</f>
        <v/>
      </c>
      <c r="T290" s="43" t="str">
        <f aca="false">IF($B290="","",IF(S290&gt;0,"G","P"))</f>
        <v/>
      </c>
      <c r="U290" s="44" t="str">
        <f aca="false">IF($B290="","",S290/Parametros!$C$8)</f>
        <v/>
      </c>
      <c r="V290" s="42" t="str">
        <f aca="false">IF($B290="","",Parametros!$C$6+SUM($S$7:S290))</f>
        <v/>
      </c>
      <c r="W290" s="42" t="str">
        <f aca="false">IF($B290="","",MAX(V290,W289))</f>
        <v/>
      </c>
      <c r="X290" s="42" t="str">
        <f aca="false">IF($B290="","",V290-W290)</f>
        <v/>
      </c>
      <c r="Y290" s="45" t="str">
        <f aca="false">IF($B290="","",X290/W290)</f>
        <v/>
      </c>
      <c r="Z290" s="36" t="str">
        <f aca="false">IF($B290="","",IF(T290="G",IF(N(Z289)&gt;0,Z289+1,1),IF(N(Z289)&lt;0,Z289-1,-1)))</f>
        <v/>
      </c>
      <c r="AA290" s="46" t="str">
        <f aca="false">IF($B290="","",B290-WEEKDAY(B290,2)+1)</f>
        <v/>
      </c>
      <c r="AB290" s="47" t="str">
        <f aca="false">IF($B290="","",DATE(YEAR(B290),MONTH(B290),1))</f>
        <v/>
      </c>
      <c r="AC290" s="41" t="str">
        <f aca="false">IF($B290="","",CHOOSE(WEEKDAY(B290,2),"Lunes","Martes","Miércoles","Jueves","Viernes","Sábado","Domingo"))</f>
        <v/>
      </c>
      <c r="AD290" s="36" t="str">
        <f aca="false">IF($B290="","",HOUR(C290))</f>
        <v/>
      </c>
      <c r="AE290" s="42" t="str">
        <f aca="false">IF($B290="","",IF(O290&lt;&gt;O289,MAX(V290-S290,V290),MAX(V290,AE289)))</f>
        <v/>
      </c>
      <c r="AF290" s="42" t="str">
        <f aca="false">IF($B290="","",V290-AE290)</f>
        <v/>
      </c>
      <c r="AG290" s="36" t="str">
        <f aca="false">IF($B290="","",IF(O290&lt;&gt;O289,IF(T290="G",1,-1),IF(T290="G",IF(N(AG289)&gt;0,AG289+1,1),IF(N(AG289)&lt;0,AG289-1,-1))))</f>
        <v/>
      </c>
    </row>
    <row r="291" customFormat="false" ht="15" hidden="false" customHeight="false" outlineLevel="0" collapsed="false">
      <c r="A291" s="36" t="str">
        <f aca="false">IF(B291="","",ROW()-6)</f>
        <v/>
      </c>
      <c r="B291" s="37"/>
      <c r="C291" s="38"/>
      <c r="D291" s="38"/>
      <c r="E291" s="39"/>
      <c r="F291" s="39"/>
      <c r="G291" s="39"/>
      <c r="H291" s="40"/>
      <c r="I291" s="40"/>
      <c r="J291" s="40"/>
      <c r="K291" s="40"/>
      <c r="L291" s="39"/>
      <c r="M291" s="40"/>
      <c r="N291" s="40"/>
      <c r="O291" s="36" t="str">
        <f aca="false">IF($B291="","",INT((A291-1)/Parametros!$C$10)+1)</f>
        <v/>
      </c>
      <c r="P291" s="41" t="str">
        <f aca="false">IF($B291="","",IF(OR(C291="",D291=""),"",ROUND((D291-C291)*1440,0)))</f>
        <v/>
      </c>
      <c r="Q291" s="42" t="str">
        <f aca="false">IF($B291="","",I291*VLOOKUP(E291,Parametros!$B$18:$D$24,2,FALSE()))</f>
        <v/>
      </c>
      <c r="R291" s="42" t="str">
        <f aca="false">IF($B291="","",G291*VLOOKUP(E291,Parametros!$B$18:$D$24,3,FALSE()))</f>
        <v/>
      </c>
      <c r="S291" s="42" t="str">
        <f aca="false">IF($B291="","",Q291-R291)</f>
        <v/>
      </c>
      <c r="T291" s="43" t="str">
        <f aca="false">IF($B291="","",IF(S291&gt;0,"G","P"))</f>
        <v/>
      </c>
      <c r="U291" s="44" t="str">
        <f aca="false">IF($B291="","",S291/Parametros!$C$8)</f>
        <v/>
      </c>
      <c r="V291" s="42" t="str">
        <f aca="false">IF($B291="","",Parametros!$C$6+SUM($S$7:S291))</f>
        <v/>
      </c>
      <c r="W291" s="42" t="str">
        <f aca="false">IF($B291="","",MAX(V291,W290))</f>
        <v/>
      </c>
      <c r="X291" s="42" t="str">
        <f aca="false">IF($B291="","",V291-W291)</f>
        <v/>
      </c>
      <c r="Y291" s="45" t="str">
        <f aca="false">IF($B291="","",X291/W291)</f>
        <v/>
      </c>
      <c r="Z291" s="36" t="str">
        <f aca="false">IF($B291="","",IF(T291="G",IF(N(Z290)&gt;0,Z290+1,1),IF(N(Z290)&lt;0,Z290-1,-1)))</f>
        <v/>
      </c>
      <c r="AA291" s="46" t="str">
        <f aca="false">IF($B291="","",B291-WEEKDAY(B291,2)+1)</f>
        <v/>
      </c>
      <c r="AB291" s="47" t="str">
        <f aca="false">IF($B291="","",DATE(YEAR(B291),MONTH(B291),1))</f>
        <v/>
      </c>
      <c r="AC291" s="41" t="str">
        <f aca="false">IF($B291="","",CHOOSE(WEEKDAY(B291,2),"Lunes","Martes","Miércoles","Jueves","Viernes","Sábado","Domingo"))</f>
        <v/>
      </c>
      <c r="AD291" s="36" t="str">
        <f aca="false">IF($B291="","",HOUR(C291))</f>
        <v/>
      </c>
      <c r="AE291" s="42" t="str">
        <f aca="false">IF($B291="","",IF(O291&lt;&gt;O290,MAX(V291-S291,V291),MAX(V291,AE290)))</f>
        <v/>
      </c>
      <c r="AF291" s="42" t="str">
        <f aca="false">IF($B291="","",V291-AE291)</f>
        <v/>
      </c>
      <c r="AG291" s="36" t="str">
        <f aca="false">IF($B291="","",IF(O291&lt;&gt;O290,IF(T291="G",1,-1),IF(T291="G",IF(N(AG290)&gt;0,AG290+1,1),IF(N(AG290)&lt;0,AG290-1,-1))))</f>
        <v/>
      </c>
    </row>
    <row r="292" customFormat="false" ht="15" hidden="false" customHeight="false" outlineLevel="0" collapsed="false">
      <c r="A292" s="36" t="str">
        <f aca="false">IF(B292="","",ROW()-6)</f>
        <v/>
      </c>
      <c r="B292" s="37"/>
      <c r="C292" s="38"/>
      <c r="D292" s="38"/>
      <c r="E292" s="39"/>
      <c r="F292" s="39"/>
      <c r="G292" s="39"/>
      <c r="H292" s="40"/>
      <c r="I292" s="40"/>
      <c r="J292" s="40"/>
      <c r="K292" s="40"/>
      <c r="L292" s="39"/>
      <c r="M292" s="40"/>
      <c r="N292" s="40"/>
      <c r="O292" s="36" t="str">
        <f aca="false">IF($B292="","",INT((A292-1)/Parametros!$C$10)+1)</f>
        <v/>
      </c>
      <c r="P292" s="41" t="str">
        <f aca="false">IF($B292="","",IF(OR(C292="",D292=""),"",ROUND((D292-C292)*1440,0)))</f>
        <v/>
      </c>
      <c r="Q292" s="42" t="str">
        <f aca="false">IF($B292="","",I292*VLOOKUP(E292,Parametros!$B$18:$D$24,2,FALSE()))</f>
        <v/>
      </c>
      <c r="R292" s="42" t="str">
        <f aca="false">IF($B292="","",G292*VLOOKUP(E292,Parametros!$B$18:$D$24,3,FALSE()))</f>
        <v/>
      </c>
      <c r="S292" s="42" t="str">
        <f aca="false">IF($B292="","",Q292-R292)</f>
        <v/>
      </c>
      <c r="T292" s="43" t="str">
        <f aca="false">IF($B292="","",IF(S292&gt;0,"G","P"))</f>
        <v/>
      </c>
      <c r="U292" s="44" t="str">
        <f aca="false">IF($B292="","",S292/Parametros!$C$8)</f>
        <v/>
      </c>
      <c r="V292" s="42" t="str">
        <f aca="false">IF($B292="","",Parametros!$C$6+SUM($S$7:S292))</f>
        <v/>
      </c>
      <c r="W292" s="42" t="str">
        <f aca="false">IF($B292="","",MAX(V292,W291))</f>
        <v/>
      </c>
      <c r="X292" s="42" t="str">
        <f aca="false">IF($B292="","",V292-W292)</f>
        <v/>
      </c>
      <c r="Y292" s="45" t="str">
        <f aca="false">IF($B292="","",X292/W292)</f>
        <v/>
      </c>
      <c r="Z292" s="36" t="str">
        <f aca="false">IF($B292="","",IF(T292="G",IF(N(Z291)&gt;0,Z291+1,1),IF(N(Z291)&lt;0,Z291-1,-1)))</f>
        <v/>
      </c>
      <c r="AA292" s="46" t="str">
        <f aca="false">IF($B292="","",B292-WEEKDAY(B292,2)+1)</f>
        <v/>
      </c>
      <c r="AB292" s="47" t="str">
        <f aca="false">IF($B292="","",DATE(YEAR(B292),MONTH(B292),1))</f>
        <v/>
      </c>
      <c r="AC292" s="41" t="str">
        <f aca="false">IF($B292="","",CHOOSE(WEEKDAY(B292,2),"Lunes","Martes","Miércoles","Jueves","Viernes","Sábado","Domingo"))</f>
        <v/>
      </c>
      <c r="AD292" s="36" t="str">
        <f aca="false">IF($B292="","",HOUR(C292))</f>
        <v/>
      </c>
      <c r="AE292" s="42" t="str">
        <f aca="false">IF($B292="","",IF(O292&lt;&gt;O291,MAX(V292-S292,V292),MAX(V292,AE291)))</f>
        <v/>
      </c>
      <c r="AF292" s="42" t="str">
        <f aca="false">IF($B292="","",V292-AE292)</f>
        <v/>
      </c>
      <c r="AG292" s="36" t="str">
        <f aca="false">IF($B292="","",IF(O292&lt;&gt;O291,IF(T292="G",1,-1),IF(T292="G",IF(N(AG291)&gt;0,AG291+1,1),IF(N(AG291)&lt;0,AG291-1,-1))))</f>
        <v/>
      </c>
    </row>
    <row r="293" customFormat="false" ht="15" hidden="false" customHeight="false" outlineLevel="0" collapsed="false">
      <c r="A293" s="36" t="str">
        <f aca="false">IF(B293="","",ROW()-6)</f>
        <v/>
      </c>
      <c r="B293" s="37"/>
      <c r="C293" s="38"/>
      <c r="D293" s="38"/>
      <c r="E293" s="39"/>
      <c r="F293" s="39"/>
      <c r="G293" s="39"/>
      <c r="H293" s="40"/>
      <c r="I293" s="40"/>
      <c r="J293" s="40"/>
      <c r="K293" s="40"/>
      <c r="L293" s="39"/>
      <c r="M293" s="40"/>
      <c r="N293" s="40"/>
      <c r="O293" s="36" t="str">
        <f aca="false">IF($B293="","",INT((A293-1)/Parametros!$C$10)+1)</f>
        <v/>
      </c>
      <c r="P293" s="41" t="str">
        <f aca="false">IF($B293="","",IF(OR(C293="",D293=""),"",ROUND((D293-C293)*1440,0)))</f>
        <v/>
      </c>
      <c r="Q293" s="42" t="str">
        <f aca="false">IF($B293="","",I293*VLOOKUP(E293,Parametros!$B$18:$D$24,2,FALSE()))</f>
        <v/>
      </c>
      <c r="R293" s="42" t="str">
        <f aca="false">IF($B293="","",G293*VLOOKUP(E293,Parametros!$B$18:$D$24,3,FALSE()))</f>
        <v/>
      </c>
      <c r="S293" s="42" t="str">
        <f aca="false">IF($B293="","",Q293-R293)</f>
        <v/>
      </c>
      <c r="T293" s="43" t="str">
        <f aca="false">IF($B293="","",IF(S293&gt;0,"G","P"))</f>
        <v/>
      </c>
      <c r="U293" s="44" t="str">
        <f aca="false">IF($B293="","",S293/Parametros!$C$8)</f>
        <v/>
      </c>
      <c r="V293" s="42" t="str">
        <f aca="false">IF($B293="","",Parametros!$C$6+SUM($S$7:S293))</f>
        <v/>
      </c>
      <c r="W293" s="42" t="str">
        <f aca="false">IF($B293="","",MAX(V293,W292))</f>
        <v/>
      </c>
      <c r="X293" s="42" t="str">
        <f aca="false">IF($B293="","",V293-W293)</f>
        <v/>
      </c>
      <c r="Y293" s="45" t="str">
        <f aca="false">IF($B293="","",X293/W293)</f>
        <v/>
      </c>
      <c r="Z293" s="36" t="str">
        <f aca="false">IF($B293="","",IF(T293="G",IF(N(Z292)&gt;0,Z292+1,1),IF(N(Z292)&lt;0,Z292-1,-1)))</f>
        <v/>
      </c>
      <c r="AA293" s="46" t="str">
        <f aca="false">IF($B293="","",B293-WEEKDAY(B293,2)+1)</f>
        <v/>
      </c>
      <c r="AB293" s="47" t="str">
        <f aca="false">IF($B293="","",DATE(YEAR(B293),MONTH(B293),1))</f>
        <v/>
      </c>
      <c r="AC293" s="41" t="str">
        <f aca="false">IF($B293="","",CHOOSE(WEEKDAY(B293,2),"Lunes","Martes","Miércoles","Jueves","Viernes","Sábado","Domingo"))</f>
        <v/>
      </c>
      <c r="AD293" s="36" t="str">
        <f aca="false">IF($B293="","",HOUR(C293))</f>
        <v/>
      </c>
      <c r="AE293" s="42" t="str">
        <f aca="false">IF($B293="","",IF(O293&lt;&gt;O292,MAX(V293-S293,V293),MAX(V293,AE292)))</f>
        <v/>
      </c>
      <c r="AF293" s="42" t="str">
        <f aca="false">IF($B293="","",V293-AE293)</f>
        <v/>
      </c>
      <c r="AG293" s="36" t="str">
        <f aca="false">IF($B293="","",IF(O293&lt;&gt;O292,IF(T293="G",1,-1),IF(T293="G",IF(N(AG292)&gt;0,AG292+1,1),IF(N(AG292)&lt;0,AG292-1,-1))))</f>
        <v/>
      </c>
    </row>
    <row r="294" customFormat="false" ht="15" hidden="false" customHeight="false" outlineLevel="0" collapsed="false">
      <c r="A294" s="36" t="str">
        <f aca="false">IF(B294="","",ROW()-6)</f>
        <v/>
      </c>
      <c r="B294" s="37"/>
      <c r="C294" s="38"/>
      <c r="D294" s="38"/>
      <c r="E294" s="39"/>
      <c r="F294" s="39"/>
      <c r="G294" s="39"/>
      <c r="H294" s="40"/>
      <c r="I294" s="40"/>
      <c r="J294" s="40"/>
      <c r="K294" s="40"/>
      <c r="L294" s="39"/>
      <c r="M294" s="40"/>
      <c r="N294" s="40"/>
      <c r="O294" s="36" t="str">
        <f aca="false">IF($B294="","",INT((A294-1)/Parametros!$C$10)+1)</f>
        <v/>
      </c>
      <c r="P294" s="41" t="str">
        <f aca="false">IF($B294="","",IF(OR(C294="",D294=""),"",ROUND((D294-C294)*1440,0)))</f>
        <v/>
      </c>
      <c r="Q294" s="42" t="str">
        <f aca="false">IF($B294="","",I294*VLOOKUP(E294,Parametros!$B$18:$D$24,2,FALSE()))</f>
        <v/>
      </c>
      <c r="R294" s="42" t="str">
        <f aca="false">IF($B294="","",G294*VLOOKUP(E294,Parametros!$B$18:$D$24,3,FALSE()))</f>
        <v/>
      </c>
      <c r="S294" s="42" t="str">
        <f aca="false">IF($B294="","",Q294-R294)</f>
        <v/>
      </c>
      <c r="T294" s="43" t="str">
        <f aca="false">IF($B294="","",IF(S294&gt;0,"G","P"))</f>
        <v/>
      </c>
      <c r="U294" s="44" t="str">
        <f aca="false">IF($B294="","",S294/Parametros!$C$8)</f>
        <v/>
      </c>
      <c r="V294" s="42" t="str">
        <f aca="false">IF($B294="","",Parametros!$C$6+SUM($S$7:S294))</f>
        <v/>
      </c>
      <c r="W294" s="42" t="str">
        <f aca="false">IF($B294="","",MAX(V294,W293))</f>
        <v/>
      </c>
      <c r="X294" s="42" t="str">
        <f aca="false">IF($B294="","",V294-W294)</f>
        <v/>
      </c>
      <c r="Y294" s="45" t="str">
        <f aca="false">IF($B294="","",X294/W294)</f>
        <v/>
      </c>
      <c r="Z294" s="36" t="str">
        <f aca="false">IF($B294="","",IF(T294="G",IF(N(Z293)&gt;0,Z293+1,1),IF(N(Z293)&lt;0,Z293-1,-1)))</f>
        <v/>
      </c>
      <c r="AA294" s="46" t="str">
        <f aca="false">IF($B294="","",B294-WEEKDAY(B294,2)+1)</f>
        <v/>
      </c>
      <c r="AB294" s="47" t="str">
        <f aca="false">IF($B294="","",DATE(YEAR(B294),MONTH(B294),1))</f>
        <v/>
      </c>
      <c r="AC294" s="41" t="str">
        <f aca="false">IF($B294="","",CHOOSE(WEEKDAY(B294,2),"Lunes","Martes","Miércoles","Jueves","Viernes","Sábado","Domingo"))</f>
        <v/>
      </c>
      <c r="AD294" s="36" t="str">
        <f aca="false">IF($B294="","",HOUR(C294))</f>
        <v/>
      </c>
      <c r="AE294" s="42" t="str">
        <f aca="false">IF($B294="","",IF(O294&lt;&gt;O293,MAX(V294-S294,V294),MAX(V294,AE293)))</f>
        <v/>
      </c>
      <c r="AF294" s="42" t="str">
        <f aca="false">IF($B294="","",V294-AE294)</f>
        <v/>
      </c>
      <c r="AG294" s="36" t="str">
        <f aca="false">IF($B294="","",IF(O294&lt;&gt;O293,IF(T294="G",1,-1),IF(T294="G",IF(N(AG293)&gt;0,AG293+1,1),IF(N(AG293)&lt;0,AG293-1,-1))))</f>
        <v/>
      </c>
    </row>
    <row r="295" customFormat="false" ht="15" hidden="false" customHeight="false" outlineLevel="0" collapsed="false">
      <c r="A295" s="36" t="str">
        <f aca="false">IF(B295="","",ROW()-6)</f>
        <v/>
      </c>
      <c r="B295" s="37"/>
      <c r="C295" s="38"/>
      <c r="D295" s="38"/>
      <c r="E295" s="39"/>
      <c r="F295" s="39"/>
      <c r="G295" s="39"/>
      <c r="H295" s="40"/>
      <c r="I295" s="40"/>
      <c r="J295" s="40"/>
      <c r="K295" s="40"/>
      <c r="L295" s="39"/>
      <c r="M295" s="40"/>
      <c r="N295" s="40"/>
      <c r="O295" s="36" t="str">
        <f aca="false">IF($B295="","",INT((A295-1)/Parametros!$C$10)+1)</f>
        <v/>
      </c>
      <c r="P295" s="41" t="str">
        <f aca="false">IF($B295="","",IF(OR(C295="",D295=""),"",ROUND((D295-C295)*1440,0)))</f>
        <v/>
      </c>
      <c r="Q295" s="42" t="str">
        <f aca="false">IF($B295="","",I295*VLOOKUP(E295,Parametros!$B$18:$D$24,2,FALSE()))</f>
        <v/>
      </c>
      <c r="R295" s="42" t="str">
        <f aca="false">IF($B295="","",G295*VLOOKUP(E295,Parametros!$B$18:$D$24,3,FALSE()))</f>
        <v/>
      </c>
      <c r="S295" s="42" t="str">
        <f aca="false">IF($B295="","",Q295-R295)</f>
        <v/>
      </c>
      <c r="T295" s="43" t="str">
        <f aca="false">IF($B295="","",IF(S295&gt;0,"G","P"))</f>
        <v/>
      </c>
      <c r="U295" s="44" t="str">
        <f aca="false">IF($B295="","",S295/Parametros!$C$8)</f>
        <v/>
      </c>
      <c r="V295" s="42" t="str">
        <f aca="false">IF($B295="","",Parametros!$C$6+SUM($S$7:S295))</f>
        <v/>
      </c>
      <c r="W295" s="42" t="str">
        <f aca="false">IF($B295="","",MAX(V295,W294))</f>
        <v/>
      </c>
      <c r="X295" s="42" t="str">
        <f aca="false">IF($B295="","",V295-W295)</f>
        <v/>
      </c>
      <c r="Y295" s="45" t="str">
        <f aca="false">IF($B295="","",X295/W295)</f>
        <v/>
      </c>
      <c r="Z295" s="36" t="str">
        <f aca="false">IF($B295="","",IF(T295="G",IF(N(Z294)&gt;0,Z294+1,1),IF(N(Z294)&lt;0,Z294-1,-1)))</f>
        <v/>
      </c>
      <c r="AA295" s="46" t="str">
        <f aca="false">IF($B295="","",B295-WEEKDAY(B295,2)+1)</f>
        <v/>
      </c>
      <c r="AB295" s="47" t="str">
        <f aca="false">IF($B295="","",DATE(YEAR(B295),MONTH(B295),1))</f>
        <v/>
      </c>
      <c r="AC295" s="41" t="str">
        <f aca="false">IF($B295="","",CHOOSE(WEEKDAY(B295,2),"Lunes","Martes","Miércoles","Jueves","Viernes","Sábado","Domingo"))</f>
        <v/>
      </c>
      <c r="AD295" s="36" t="str">
        <f aca="false">IF($B295="","",HOUR(C295))</f>
        <v/>
      </c>
      <c r="AE295" s="42" t="str">
        <f aca="false">IF($B295="","",IF(O295&lt;&gt;O294,MAX(V295-S295,V295),MAX(V295,AE294)))</f>
        <v/>
      </c>
      <c r="AF295" s="42" t="str">
        <f aca="false">IF($B295="","",V295-AE295)</f>
        <v/>
      </c>
      <c r="AG295" s="36" t="str">
        <f aca="false">IF($B295="","",IF(O295&lt;&gt;O294,IF(T295="G",1,-1),IF(T295="G",IF(N(AG294)&gt;0,AG294+1,1),IF(N(AG294)&lt;0,AG294-1,-1))))</f>
        <v/>
      </c>
    </row>
    <row r="296" customFormat="false" ht="15" hidden="false" customHeight="false" outlineLevel="0" collapsed="false">
      <c r="A296" s="36" t="str">
        <f aca="false">IF(B296="","",ROW()-6)</f>
        <v/>
      </c>
      <c r="B296" s="37"/>
      <c r="C296" s="38"/>
      <c r="D296" s="38"/>
      <c r="E296" s="39"/>
      <c r="F296" s="39"/>
      <c r="G296" s="39"/>
      <c r="H296" s="40"/>
      <c r="I296" s="40"/>
      <c r="J296" s="40"/>
      <c r="K296" s="40"/>
      <c r="L296" s="39"/>
      <c r="M296" s="40"/>
      <c r="N296" s="40"/>
      <c r="O296" s="36" t="str">
        <f aca="false">IF($B296="","",INT((A296-1)/Parametros!$C$10)+1)</f>
        <v/>
      </c>
      <c r="P296" s="41" t="str">
        <f aca="false">IF($B296="","",IF(OR(C296="",D296=""),"",ROUND((D296-C296)*1440,0)))</f>
        <v/>
      </c>
      <c r="Q296" s="42" t="str">
        <f aca="false">IF($B296="","",I296*VLOOKUP(E296,Parametros!$B$18:$D$24,2,FALSE()))</f>
        <v/>
      </c>
      <c r="R296" s="42" t="str">
        <f aca="false">IF($B296="","",G296*VLOOKUP(E296,Parametros!$B$18:$D$24,3,FALSE()))</f>
        <v/>
      </c>
      <c r="S296" s="42" t="str">
        <f aca="false">IF($B296="","",Q296-R296)</f>
        <v/>
      </c>
      <c r="T296" s="43" t="str">
        <f aca="false">IF($B296="","",IF(S296&gt;0,"G","P"))</f>
        <v/>
      </c>
      <c r="U296" s="44" t="str">
        <f aca="false">IF($B296="","",S296/Parametros!$C$8)</f>
        <v/>
      </c>
      <c r="V296" s="42" t="str">
        <f aca="false">IF($B296="","",Parametros!$C$6+SUM($S$7:S296))</f>
        <v/>
      </c>
      <c r="W296" s="42" t="str">
        <f aca="false">IF($B296="","",MAX(V296,W295))</f>
        <v/>
      </c>
      <c r="X296" s="42" t="str">
        <f aca="false">IF($B296="","",V296-W296)</f>
        <v/>
      </c>
      <c r="Y296" s="45" t="str">
        <f aca="false">IF($B296="","",X296/W296)</f>
        <v/>
      </c>
      <c r="Z296" s="36" t="str">
        <f aca="false">IF($B296="","",IF(T296="G",IF(N(Z295)&gt;0,Z295+1,1),IF(N(Z295)&lt;0,Z295-1,-1)))</f>
        <v/>
      </c>
      <c r="AA296" s="46" t="str">
        <f aca="false">IF($B296="","",B296-WEEKDAY(B296,2)+1)</f>
        <v/>
      </c>
      <c r="AB296" s="47" t="str">
        <f aca="false">IF($B296="","",DATE(YEAR(B296),MONTH(B296),1))</f>
        <v/>
      </c>
      <c r="AC296" s="41" t="str">
        <f aca="false">IF($B296="","",CHOOSE(WEEKDAY(B296,2),"Lunes","Martes","Miércoles","Jueves","Viernes","Sábado","Domingo"))</f>
        <v/>
      </c>
      <c r="AD296" s="36" t="str">
        <f aca="false">IF($B296="","",HOUR(C296))</f>
        <v/>
      </c>
      <c r="AE296" s="42" t="str">
        <f aca="false">IF($B296="","",IF(O296&lt;&gt;O295,MAX(V296-S296,V296),MAX(V296,AE295)))</f>
        <v/>
      </c>
      <c r="AF296" s="42" t="str">
        <f aca="false">IF($B296="","",V296-AE296)</f>
        <v/>
      </c>
      <c r="AG296" s="36" t="str">
        <f aca="false">IF($B296="","",IF(O296&lt;&gt;O295,IF(T296="G",1,-1),IF(T296="G",IF(N(AG295)&gt;0,AG295+1,1),IF(N(AG295)&lt;0,AG295-1,-1))))</f>
        <v/>
      </c>
    </row>
    <row r="297" customFormat="false" ht="15" hidden="false" customHeight="false" outlineLevel="0" collapsed="false">
      <c r="A297" s="36" t="str">
        <f aca="false">IF(B297="","",ROW()-6)</f>
        <v/>
      </c>
      <c r="B297" s="37"/>
      <c r="C297" s="38"/>
      <c r="D297" s="38"/>
      <c r="E297" s="39"/>
      <c r="F297" s="39"/>
      <c r="G297" s="39"/>
      <c r="H297" s="40"/>
      <c r="I297" s="40"/>
      <c r="J297" s="40"/>
      <c r="K297" s="40"/>
      <c r="L297" s="39"/>
      <c r="M297" s="40"/>
      <c r="N297" s="40"/>
      <c r="O297" s="36" t="str">
        <f aca="false">IF($B297="","",INT((A297-1)/Parametros!$C$10)+1)</f>
        <v/>
      </c>
      <c r="P297" s="41" t="str">
        <f aca="false">IF($B297="","",IF(OR(C297="",D297=""),"",ROUND((D297-C297)*1440,0)))</f>
        <v/>
      </c>
      <c r="Q297" s="42" t="str">
        <f aca="false">IF($B297="","",I297*VLOOKUP(E297,Parametros!$B$18:$D$24,2,FALSE()))</f>
        <v/>
      </c>
      <c r="R297" s="42" t="str">
        <f aca="false">IF($B297="","",G297*VLOOKUP(E297,Parametros!$B$18:$D$24,3,FALSE()))</f>
        <v/>
      </c>
      <c r="S297" s="42" t="str">
        <f aca="false">IF($B297="","",Q297-R297)</f>
        <v/>
      </c>
      <c r="T297" s="43" t="str">
        <f aca="false">IF($B297="","",IF(S297&gt;0,"G","P"))</f>
        <v/>
      </c>
      <c r="U297" s="44" t="str">
        <f aca="false">IF($B297="","",S297/Parametros!$C$8)</f>
        <v/>
      </c>
      <c r="V297" s="42" t="str">
        <f aca="false">IF($B297="","",Parametros!$C$6+SUM($S$7:S297))</f>
        <v/>
      </c>
      <c r="W297" s="42" t="str">
        <f aca="false">IF($B297="","",MAX(V297,W296))</f>
        <v/>
      </c>
      <c r="X297" s="42" t="str">
        <f aca="false">IF($B297="","",V297-W297)</f>
        <v/>
      </c>
      <c r="Y297" s="45" t="str">
        <f aca="false">IF($B297="","",X297/W297)</f>
        <v/>
      </c>
      <c r="Z297" s="36" t="str">
        <f aca="false">IF($B297="","",IF(T297="G",IF(N(Z296)&gt;0,Z296+1,1),IF(N(Z296)&lt;0,Z296-1,-1)))</f>
        <v/>
      </c>
      <c r="AA297" s="46" t="str">
        <f aca="false">IF($B297="","",B297-WEEKDAY(B297,2)+1)</f>
        <v/>
      </c>
      <c r="AB297" s="47" t="str">
        <f aca="false">IF($B297="","",DATE(YEAR(B297),MONTH(B297),1))</f>
        <v/>
      </c>
      <c r="AC297" s="41" t="str">
        <f aca="false">IF($B297="","",CHOOSE(WEEKDAY(B297,2),"Lunes","Martes","Miércoles","Jueves","Viernes","Sábado","Domingo"))</f>
        <v/>
      </c>
      <c r="AD297" s="36" t="str">
        <f aca="false">IF($B297="","",HOUR(C297))</f>
        <v/>
      </c>
      <c r="AE297" s="42" t="str">
        <f aca="false">IF($B297="","",IF(O297&lt;&gt;O296,MAX(V297-S297,V297),MAX(V297,AE296)))</f>
        <v/>
      </c>
      <c r="AF297" s="42" t="str">
        <f aca="false">IF($B297="","",V297-AE297)</f>
        <v/>
      </c>
      <c r="AG297" s="36" t="str">
        <f aca="false">IF($B297="","",IF(O297&lt;&gt;O296,IF(T297="G",1,-1),IF(T297="G",IF(N(AG296)&gt;0,AG296+1,1),IF(N(AG296)&lt;0,AG296-1,-1))))</f>
        <v/>
      </c>
    </row>
    <row r="298" customFormat="false" ht="15" hidden="false" customHeight="false" outlineLevel="0" collapsed="false">
      <c r="A298" s="36" t="str">
        <f aca="false">IF(B298="","",ROW()-6)</f>
        <v/>
      </c>
      <c r="B298" s="37"/>
      <c r="C298" s="38"/>
      <c r="D298" s="38"/>
      <c r="E298" s="39"/>
      <c r="F298" s="39"/>
      <c r="G298" s="39"/>
      <c r="H298" s="40"/>
      <c r="I298" s="40"/>
      <c r="J298" s="40"/>
      <c r="K298" s="40"/>
      <c r="L298" s="39"/>
      <c r="M298" s="40"/>
      <c r="N298" s="40"/>
      <c r="O298" s="36" t="str">
        <f aca="false">IF($B298="","",INT((A298-1)/Parametros!$C$10)+1)</f>
        <v/>
      </c>
      <c r="P298" s="41" t="str">
        <f aca="false">IF($B298="","",IF(OR(C298="",D298=""),"",ROUND((D298-C298)*1440,0)))</f>
        <v/>
      </c>
      <c r="Q298" s="42" t="str">
        <f aca="false">IF($B298="","",I298*VLOOKUP(E298,Parametros!$B$18:$D$24,2,FALSE()))</f>
        <v/>
      </c>
      <c r="R298" s="42" t="str">
        <f aca="false">IF($B298="","",G298*VLOOKUP(E298,Parametros!$B$18:$D$24,3,FALSE()))</f>
        <v/>
      </c>
      <c r="S298" s="42" t="str">
        <f aca="false">IF($B298="","",Q298-R298)</f>
        <v/>
      </c>
      <c r="T298" s="43" t="str">
        <f aca="false">IF($B298="","",IF(S298&gt;0,"G","P"))</f>
        <v/>
      </c>
      <c r="U298" s="44" t="str">
        <f aca="false">IF($B298="","",S298/Parametros!$C$8)</f>
        <v/>
      </c>
      <c r="V298" s="42" t="str">
        <f aca="false">IF($B298="","",Parametros!$C$6+SUM($S$7:S298))</f>
        <v/>
      </c>
      <c r="W298" s="42" t="str">
        <f aca="false">IF($B298="","",MAX(V298,W297))</f>
        <v/>
      </c>
      <c r="X298" s="42" t="str">
        <f aca="false">IF($B298="","",V298-W298)</f>
        <v/>
      </c>
      <c r="Y298" s="45" t="str">
        <f aca="false">IF($B298="","",X298/W298)</f>
        <v/>
      </c>
      <c r="Z298" s="36" t="str">
        <f aca="false">IF($B298="","",IF(T298="G",IF(N(Z297)&gt;0,Z297+1,1),IF(N(Z297)&lt;0,Z297-1,-1)))</f>
        <v/>
      </c>
      <c r="AA298" s="46" t="str">
        <f aca="false">IF($B298="","",B298-WEEKDAY(B298,2)+1)</f>
        <v/>
      </c>
      <c r="AB298" s="47" t="str">
        <f aca="false">IF($B298="","",DATE(YEAR(B298),MONTH(B298),1))</f>
        <v/>
      </c>
      <c r="AC298" s="41" t="str">
        <f aca="false">IF($B298="","",CHOOSE(WEEKDAY(B298,2),"Lunes","Martes","Miércoles","Jueves","Viernes","Sábado","Domingo"))</f>
        <v/>
      </c>
      <c r="AD298" s="36" t="str">
        <f aca="false">IF($B298="","",HOUR(C298))</f>
        <v/>
      </c>
      <c r="AE298" s="42" t="str">
        <f aca="false">IF($B298="","",IF(O298&lt;&gt;O297,MAX(V298-S298,V298),MAX(V298,AE297)))</f>
        <v/>
      </c>
      <c r="AF298" s="42" t="str">
        <f aca="false">IF($B298="","",V298-AE298)</f>
        <v/>
      </c>
      <c r="AG298" s="36" t="str">
        <f aca="false">IF($B298="","",IF(O298&lt;&gt;O297,IF(T298="G",1,-1),IF(T298="G",IF(N(AG297)&gt;0,AG297+1,1),IF(N(AG297)&lt;0,AG297-1,-1))))</f>
        <v/>
      </c>
    </row>
    <row r="299" customFormat="false" ht="15" hidden="false" customHeight="false" outlineLevel="0" collapsed="false">
      <c r="A299" s="36" t="str">
        <f aca="false">IF(B299="","",ROW()-6)</f>
        <v/>
      </c>
      <c r="B299" s="37"/>
      <c r="C299" s="38"/>
      <c r="D299" s="38"/>
      <c r="E299" s="39"/>
      <c r="F299" s="39"/>
      <c r="G299" s="39"/>
      <c r="H299" s="40"/>
      <c r="I299" s="40"/>
      <c r="J299" s="40"/>
      <c r="K299" s="40"/>
      <c r="L299" s="39"/>
      <c r="M299" s="40"/>
      <c r="N299" s="40"/>
      <c r="O299" s="36" t="str">
        <f aca="false">IF($B299="","",INT((A299-1)/Parametros!$C$10)+1)</f>
        <v/>
      </c>
      <c r="P299" s="41" t="str">
        <f aca="false">IF($B299="","",IF(OR(C299="",D299=""),"",ROUND((D299-C299)*1440,0)))</f>
        <v/>
      </c>
      <c r="Q299" s="42" t="str">
        <f aca="false">IF($B299="","",I299*VLOOKUP(E299,Parametros!$B$18:$D$24,2,FALSE()))</f>
        <v/>
      </c>
      <c r="R299" s="42" t="str">
        <f aca="false">IF($B299="","",G299*VLOOKUP(E299,Parametros!$B$18:$D$24,3,FALSE()))</f>
        <v/>
      </c>
      <c r="S299" s="42" t="str">
        <f aca="false">IF($B299="","",Q299-R299)</f>
        <v/>
      </c>
      <c r="T299" s="43" t="str">
        <f aca="false">IF($B299="","",IF(S299&gt;0,"G","P"))</f>
        <v/>
      </c>
      <c r="U299" s="44" t="str">
        <f aca="false">IF($B299="","",S299/Parametros!$C$8)</f>
        <v/>
      </c>
      <c r="V299" s="42" t="str">
        <f aca="false">IF($B299="","",Parametros!$C$6+SUM($S$7:S299))</f>
        <v/>
      </c>
      <c r="W299" s="42" t="str">
        <f aca="false">IF($B299="","",MAX(V299,W298))</f>
        <v/>
      </c>
      <c r="X299" s="42" t="str">
        <f aca="false">IF($B299="","",V299-W299)</f>
        <v/>
      </c>
      <c r="Y299" s="45" t="str">
        <f aca="false">IF($B299="","",X299/W299)</f>
        <v/>
      </c>
      <c r="Z299" s="36" t="str">
        <f aca="false">IF($B299="","",IF(T299="G",IF(N(Z298)&gt;0,Z298+1,1),IF(N(Z298)&lt;0,Z298-1,-1)))</f>
        <v/>
      </c>
      <c r="AA299" s="46" t="str">
        <f aca="false">IF($B299="","",B299-WEEKDAY(B299,2)+1)</f>
        <v/>
      </c>
      <c r="AB299" s="47" t="str">
        <f aca="false">IF($B299="","",DATE(YEAR(B299),MONTH(B299),1))</f>
        <v/>
      </c>
      <c r="AC299" s="41" t="str">
        <f aca="false">IF($B299="","",CHOOSE(WEEKDAY(B299,2),"Lunes","Martes","Miércoles","Jueves","Viernes","Sábado","Domingo"))</f>
        <v/>
      </c>
      <c r="AD299" s="36" t="str">
        <f aca="false">IF($B299="","",HOUR(C299))</f>
        <v/>
      </c>
      <c r="AE299" s="42" t="str">
        <f aca="false">IF($B299="","",IF(O299&lt;&gt;O298,MAX(V299-S299,V299),MAX(V299,AE298)))</f>
        <v/>
      </c>
      <c r="AF299" s="42" t="str">
        <f aca="false">IF($B299="","",V299-AE299)</f>
        <v/>
      </c>
      <c r="AG299" s="36" t="str">
        <f aca="false">IF($B299="","",IF(O299&lt;&gt;O298,IF(T299="G",1,-1),IF(T299="G",IF(N(AG298)&gt;0,AG298+1,1),IF(N(AG298)&lt;0,AG298-1,-1))))</f>
        <v/>
      </c>
    </row>
    <row r="300" customFormat="false" ht="15" hidden="false" customHeight="false" outlineLevel="0" collapsed="false">
      <c r="A300" s="36" t="str">
        <f aca="false">IF(B300="","",ROW()-6)</f>
        <v/>
      </c>
      <c r="B300" s="37"/>
      <c r="C300" s="38"/>
      <c r="D300" s="38"/>
      <c r="E300" s="39"/>
      <c r="F300" s="39"/>
      <c r="G300" s="39"/>
      <c r="H300" s="40"/>
      <c r="I300" s="40"/>
      <c r="J300" s="40"/>
      <c r="K300" s="40"/>
      <c r="L300" s="39"/>
      <c r="M300" s="40"/>
      <c r="N300" s="40"/>
      <c r="O300" s="36" t="str">
        <f aca="false">IF($B300="","",INT((A300-1)/Parametros!$C$10)+1)</f>
        <v/>
      </c>
      <c r="P300" s="41" t="str">
        <f aca="false">IF($B300="","",IF(OR(C300="",D300=""),"",ROUND((D300-C300)*1440,0)))</f>
        <v/>
      </c>
      <c r="Q300" s="42" t="str">
        <f aca="false">IF($B300="","",I300*VLOOKUP(E300,Parametros!$B$18:$D$24,2,FALSE()))</f>
        <v/>
      </c>
      <c r="R300" s="42" t="str">
        <f aca="false">IF($B300="","",G300*VLOOKUP(E300,Parametros!$B$18:$D$24,3,FALSE()))</f>
        <v/>
      </c>
      <c r="S300" s="42" t="str">
        <f aca="false">IF($B300="","",Q300-R300)</f>
        <v/>
      </c>
      <c r="T300" s="43" t="str">
        <f aca="false">IF($B300="","",IF(S300&gt;0,"G","P"))</f>
        <v/>
      </c>
      <c r="U300" s="44" t="str">
        <f aca="false">IF($B300="","",S300/Parametros!$C$8)</f>
        <v/>
      </c>
      <c r="V300" s="42" t="str">
        <f aca="false">IF($B300="","",Parametros!$C$6+SUM($S$7:S300))</f>
        <v/>
      </c>
      <c r="W300" s="42" t="str">
        <f aca="false">IF($B300="","",MAX(V300,W299))</f>
        <v/>
      </c>
      <c r="X300" s="42" t="str">
        <f aca="false">IF($B300="","",V300-W300)</f>
        <v/>
      </c>
      <c r="Y300" s="45" t="str">
        <f aca="false">IF($B300="","",X300/W300)</f>
        <v/>
      </c>
      <c r="Z300" s="36" t="str">
        <f aca="false">IF($B300="","",IF(T300="G",IF(N(Z299)&gt;0,Z299+1,1),IF(N(Z299)&lt;0,Z299-1,-1)))</f>
        <v/>
      </c>
      <c r="AA300" s="46" t="str">
        <f aca="false">IF($B300="","",B300-WEEKDAY(B300,2)+1)</f>
        <v/>
      </c>
      <c r="AB300" s="47" t="str">
        <f aca="false">IF($B300="","",DATE(YEAR(B300),MONTH(B300),1))</f>
        <v/>
      </c>
      <c r="AC300" s="41" t="str">
        <f aca="false">IF($B300="","",CHOOSE(WEEKDAY(B300,2),"Lunes","Martes","Miércoles","Jueves","Viernes","Sábado","Domingo"))</f>
        <v/>
      </c>
      <c r="AD300" s="36" t="str">
        <f aca="false">IF($B300="","",HOUR(C300))</f>
        <v/>
      </c>
      <c r="AE300" s="42" t="str">
        <f aca="false">IF($B300="","",IF(O300&lt;&gt;O299,MAX(V300-S300,V300),MAX(V300,AE299)))</f>
        <v/>
      </c>
      <c r="AF300" s="42" t="str">
        <f aca="false">IF($B300="","",V300-AE300)</f>
        <v/>
      </c>
      <c r="AG300" s="36" t="str">
        <f aca="false">IF($B300="","",IF(O300&lt;&gt;O299,IF(T300="G",1,-1),IF(T300="G",IF(N(AG299)&gt;0,AG299+1,1),IF(N(AG299)&lt;0,AG299-1,-1))))</f>
        <v/>
      </c>
    </row>
    <row r="301" customFormat="false" ht="15" hidden="false" customHeight="false" outlineLevel="0" collapsed="false">
      <c r="A301" s="36" t="str">
        <f aca="false">IF(B301="","",ROW()-6)</f>
        <v/>
      </c>
      <c r="B301" s="37"/>
      <c r="C301" s="38"/>
      <c r="D301" s="38"/>
      <c r="E301" s="39"/>
      <c r="F301" s="39"/>
      <c r="G301" s="39"/>
      <c r="H301" s="40"/>
      <c r="I301" s="40"/>
      <c r="J301" s="40"/>
      <c r="K301" s="40"/>
      <c r="L301" s="39"/>
      <c r="M301" s="40"/>
      <c r="N301" s="40"/>
      <c r="O301" s="36" t="str">
        <f aca="false">IF($B301="","",INT((A301-1)/Parametros!$C$10)+1)</f>
        <v/>
      </c>
      <c r="P301" s="41" t="str">
        <f aca="false">IF($B301="","",IF(OR(C301="",D301=""),"",ROUND((D301-C301)*1440,0)))</f>
        <v/>
      </c>
      <c r="Q301" s="42" t="str">
        <f aca="false">IF($B301="","",I301*VLOOKUP(E301,Parametros!$B$18:$D$24,2,FALSE()))</f>
        <v/>
      </c>
      <c r="R301" s="42" t="str">
        <f aca="false">IF($B301="","",G301*VLOOKUP(E301,Parametros!$B$18:$D$24,3,FALSE()))</f>
        <v/>
      </c>
      <c r="S301" s="42" t="str">
        <f aca="false">IF($B301="","",Q301-R301)</f>
        <v/>
      </c>
      <c r="T301" s="43" t="str">
        <f aca="false">IF($B301="","",IF(S301&gt;0,"G","P"))</f>
        <v/>
      </c>
      <c r="U301" s="44" t="str">
        <f aca="false">IF($B301="","",S301/Parametros!$C$8)</f>
        <v/>
      </c>
      <c r="V301" s="42" t="str">
        <f aca="false">IF($B301="","",Parametros!$C$6+SUM($S$7:S301))</f>
        <v/>
      </c>
      <c r="W301" s="42" t="str">
        <f aca="false">IF($B301="","",MAX(V301,W300))</f>
        <v/>
      </c>
      <c r="X301" s="42" t="str">
        <f aca="false">IF($B301="","",V301-W301)</f>
        <v/>
      </c>
      <c r="Y301" s="45" t="str">
        <f aca="false">IF($B301="","",X301/W301)</f>
        <v/>
      </c>
      <c r="Z301" s="36" t="str">
        <f aca="false">IF($B301="","",IF(T301="G",IF(N(Z300)&gt;0,Z300+1,1),IF(N(Z300)&lt;0,Z300-1,-1)))</f>
        <v/>
      </c>
      <c r="AA301" s="46" t="str">
        <f aca="false">IF($B301="","",B301-WEEKDAY(B301,2)+1)</f>
        <v/>
      </c>
      <c r="AB301" s="47" t="str">
        <f aca="false">IF($B301="","",DATE(YEAR(B301),MONTH(B301),1))</f>
        <v/>
      </c>
      <c r="AC301" s="41" t="str">
        <f aca="false">IF($B301="","",CHOOSE(WEEKDAY(B301,2),"Lunes","Martes","Miércoles","Jueves","Viernes","Sábado","Domingo"))</f>
        <v/>
      </c>
      <c r="AD301" s="36" t="str">
        <f aca="false">IF($B301="","",HOUR(C301))</f>
        <v/>
      </c>
      <c r="AE301" s="42" t="str">
        <f aca="false">IF($B301="","",IF(O301&lt;&gt;O300,MAX(V301-S301,V301),MAX(V301,AE300)))</f>
        <v/>
      </c>
      <c r="AF301" s="42" t="str">
        <f aca="false">IF($B301="","",V301-AE301)</f>
        <v/>
      </c>
      <c r="AG301" s="36" t="str">
        <f aca="false">IF($B301="","",IF(O301&lt;&gt;O300,IF(T301="G",1,-1),IF(T301="G",IF(N(AG300)&gt;0,AG300+1,1),IF(N(AG300)&lt;0,AG300-1,-1))))</f>
        <v/>
      </c>
    </row>
    <row r="302" customFormat="false" ht="15" hidden="false" customHeight="false" outlineLevel="0" collapsed="false">
      <c r="A302" s="36" t="str">
        <f aca="false">IF(B302="","",ROW()-6)</f>
        <v/>
      </c>
      <c r="B302" s="37"/>
      <c r="C302" s="38"/>
      <c r="D302" s="38"/>
      <c r="E302" s="39"/>
      <c r="F302" s="39"/>
      <c r="G302" s="39"/>
      <c r="H302" s="40"/>
      <c r="I302" s="40"/>
      <c r="J302" s="40"/>
      <c r="K302" s="40"/>
      <c r="L302" s="39"/>
      <c r="M302" s="40"/>
      <c r="N302" s="40"/>
      <c r="O302" s="36" t="str">
        <f aca="false">IF($B302="","",INT((A302-1)/Parametros!$C$10)+1)</f>
        <v/>
      </c>
      <c r="P302" s="41" t="str">
        <f aca="false">IF($B302="","",IF(OR(C302="",D302=""),"",ROUND((D302-C302)*1440,0)))</f>
        <v/>
      </c>
      <c r="Q302" s="42" t="str">
        <f aca="false">IF($B302="","",I302*VLOOKUP(E302,Parametros!$B$18:$D$24,2,FALSE()))</f>
        <v/>
      </c>
      <c r="R302" s="42" t="str">
        <f aca="false">IF($B302="","",G302*VLOOKUP(E302,Parametros!$B$18:$D$24,3,FALSE()))</f>
        <v/>
      </c>
      <c r="S302" s="42" t="str">
        <f aca="false">IF($B302="","",Q302-R302)</f>
        <v/>
      </c>
      <c r="T302" s="43" t="str">
        <f aca="false">IF($B302="","",IF(S302&gt;0,"G","P"))</f>
        <v/>
      </c>
      <c r="U302" s="44" t="str">
        <f aca="false">IF($B302="","",S302/Parametros!$C$8)</f>
        <v/>
      </c>
      <c r="V302" s="42" t="str">
        <f aca="false">IF($B302="","",Parametros!$C$6+SUM($S$7:S302))</f>
        <v/>
      </c>
      <c r="W302" s="42" t="str">
        <f aca="false">IF($B302="","",MAX(V302,W301))</f>
        <v/>
      </c>
      <c r="X302" s="42" t="str">
        <f aca="false">IF($B302="","",V302-W302)</f>
        <v/>
      </c>
      <c r="Y302" s="45" t="str">
        <f aca="false">IF($B302="","",X302/W302)</f>
        <v/>
      </c>
      <c r="Z302" s="36" t="str">
        <f aca="false">IF($B302="","",IF(T302="G",IF(N(Z301)&gt;0,Z301+1,1),IF(N(Z301)&lt;0,Z301-1,-1)))</f>
        <v/>
      </c>
      <c r="AA302" s="46" t="str">
        <f aca="false">IF($B302="","",B302-WEEKDAY(B302,2)+1)</f>
        <v/>
      </c>
      <c r="AB302" s="47" t="str">
        <f aca="false">IF($B302="","",DATE(YEAR(B302),MONTH(B302),1))</f>
        <v/>
      </c>
      <c r="AC302" s="41" t="str">
        <f aca="false">IF($B302="","",CHOOSE(WEEKDAY(B302,2),"Lunes","Martes","Miércoles","Jueves","Viernes","Sábado","Domingo"))</f>
        <v/>
      </c>
      <c r="AD302" s="36" t="str">
        <f aca="false">IF($B302="","",HOUR(C302))</f>
        <v/>
      </c>
      <c r="AE302" s="42" t="str">
        <f aca="false">IF($B302="","",IF(O302&lt;&gt;O301,MAX(V302-S302,V302),MAX(V302,AE301)))</f>
        <v/>
      </c>
      <c r="AF302" s="42" t="str">
        <f aca="false">IF($B302="","",V302-AE302)</f>
        <v/>
      </c>
      <c r="AG302" s="36" t="str">
        <f aca="false">IF($B302="","",IF(O302&lt;&gt;O301,IF(T302="G",1,-1),IF(T302="G",IF(N(AG301)&gt;0,AG301+1,1),IF(N(AG301)&lt;0,AG301-1,-1))))</f>
        <v/>
      </c>
    </row>
    <row r="303" customFormat="false" ht="15" hidden="false" customHeight="false" outlineLevel="0" collapsed="false">
      <c r="A303" s="36" t="str">
        <f aca="false">IF(B303="","",ROW()-6)</f>
        <v/>
      </c>
      <c r="B303" s="37"/>
      <c r="C303" s="38"/>
      <c r="D303" s="38"/>
      <c r="E303" s="39"/>
      <c r="F303" s="39"/>
      <c r="G303" s="39"/>
      <c r="H303" s="40"/>
      <c r="I303" s="40"/>
      <c r="J303" s="40"/>
      <c r="K303" s="40"/>
      <c r="L303" s="39"/>
      <c r="M303" s="40"/>
      <c r="N303" s="40"/>
      <c r="O303" s="36" t="str">
        <f aca="false">IF($B303="","",INT((A303-1)/Parametros!$C$10)+1)</f>
        <v/>
      </c>
      <c r="P303" s="41" t="str">
        <f aca="false">IF($B303="","",IF(OR(C303="",D303=""),"",ROUND((D303-C303)*1440,0)))</f>
        <v/>
      </c>
      <c r="Q303" s="42" t="str">
        <f aca="false">IF($B303="","",I303*VLOOKUP(E303,Parametros!$B$18:$D$24,2,FALSE()))</f>
        <v/>
      </c>
      <c r="R303" s="42" t="str">
        <f aca="false">IF($B303="","",G303*VLOOKUP(E303,Parametros!$B$18:$D$24,3,FALSE()))</f>
        <v/>
      </c>
      <c r="S303" s="42" t="str">
        <f aca="false">IF($B303="","",Q303-R303)</f>
        <v/>
      </c>
      <c r="T303" s="43" t="str">
        <f aca="false">IF($B303="","",IF(S303&gt;0,"G","P"))</f>
        <v/>
      </c>
      <c r="U303" s="44" t="str">
        <f aca="false">IF($B303="","",S303/Parametros!$C$8)</f>
        <v/>
      </c>
      <c r="V303" s="42" t="str">
        <f aca="false">IF($B303="","",Parametros!$C$6+SUM($S$7:S303))</f>
        <v/>
      </c>
      <c r="W303" s="42" t="str">
        <f aca="false">IF($B303="","",MAX(V303,W302))</f>
        <v/>
      </c>
      <c r="X303" s="42" t="str">
        <f aca="false">IF($B303="","",V303-W303)</f>
        <v/>
      </c>
      <c r="Y303" s="45" t="str">
        <f aca="false">IF($B303="","",X303/W303)</f>
        <v/>
      </c>
      <c r="Z303" s="36" t="str">
        <f aca="false">IF($B303="","",IF(T303="G",IF(N(Z302)&gt;0,Z302+1,1),IF(N(Z302)&lt;0,Z302-1,-1)))</f>
        <v/>
      </c>
      <c r="AA303" s="46" t="str">
        <f aca="false">IF($B303="","",B303-WEEKDAY(B303,2)+1)</f>
        <v/>
      </c>
      <c r="AB303" s="47" t="str">
        <f aca="false">IF($B303="","",DATE(YEAR(B303),MONTH(B303),1))</f>
        <v/>
      </c>
      <c r="AC303" s="41" t="str">
        <f aca="false">IF($B303="","",CHOOSE(WEEKDAY(B303,2),"Lunes","Martes","Miércoles","Jueves","Viernes","Sábado","Domingo"))</f>
        <v/>
      </c>
      <c r="AD303" s="36" t="str">
        <f aca="false">IF($B303="","",HOUR(C303))</f>
        <v/>
      </c>
      <c r="AE303" s="42" t="str">
        <f aca="false">IF($B303="","",IF(O303&lt;&gt;O302,MAX(V303-S303,V303),MAX(V303,AE302)))</f>
        <v/>
      </c>
      <c r="AF303" s="42" t="str">
        <f aca="false">IF($B303="","",V303-AE303)</f>
        <v/>
      </c>
      <c r="AG303" s="36" t="str">
        <f aca="false">IF($B303="","",IF(O303&lt;&gt;O302,IF(T303="G",1,-1),IF(T303="G",IF(N(AG302)&gt;0,AG302+1,1),IF(N(AG302)&lt;0,AG302-1,-1))))</f>
        <v/>
      </c>
    </row>
    <row r="304" customFormat="false" ht="15" hidden="false" customHeight="false" outlineLevel="0" collapsed="false">
      <c r="A304" s="36" t="str">
        <f aca="false">IF(B304="","",ROW()-6)</f>
        <v/>
      </c>
      <c r="B304" s="37"/>
      <c r="C304" s="38"/>
      <c r="D304" s="38"/>
      <c r="E304" s="39"/>
      <c r="F304" s="39"/>
      <c r="G304" s="39"/>
      <c r="H304" s="40"/>
      <c r="I304" s="40"/>
      <c r="J304" s="40"/>
      <c r="K304" s="40"/>
      <c r="L304" s="39"/>
      <c r="M304" s="40"/>
      <c r="N304" s="40"/>
      <c r="O304" s="36" t="str">
        <f aca="false">IF($B304="","",INT((A304-1)/Parametros!$C$10)+1)</f>
        <v/>
      </c>
      <c r="P304" s="41" t="str">
        <f aca="false">IF($B304="","",IF(OR(C304="",D304=""),"",ROUND((D304-C304)*1440,0)))</f>
        <v/>
      </c>
      <c r="Q304" s="42" t="str">
        <f aca="false">IF($B304="","",I304*VLOOKUP(E304,Parametros!$B$18:$D$24,2,FALSE()))</f>
        <v/>
      </c>
      <c r="R304" s="42" t="str">
        <f aca="false">IF($B304="","",G304*VLOOKUP(E304,Parametros!$B$18:$D$24,3,FALSE()))</f>
        <v/>
      </c>
      <c r="S304" s="42" t="str">
        <f aca="false">IF($B304="","",Q304-R304)</f>
        <v/>
      </c>
      <c r="T304" s="43" t="str">
        <f aca="false">IF($B304="","",IF(S304&gt;0,"G","P"))</f>
        <v/>
      </c>
      <c r="U304" s="44" t="str">
        <f aca="false">IF($B304="","",S304/Parametros!$C$8)</f>
        <v/>
      </c>
      <c r="V304" s="42" t="str">
        <f aca="false">IF($B304="","",Parametros!$C$6+SUM($S$7:S304))</f>
        <v/>
      </c>
      <c r="W304" s="42" t="str">
        <f aca="false">IF($B304="","",MAX(V304,W303))</f>
        <v/>
      </c>
      <c r="X304" s="42" t="str">
        <f aca="false">IF($B304="","",V304-W304)</f>
        <v/>
      </c>
      <c r="Y304" s="45" t="str">
        <f aca="false">IF($B304="","",X304/W304)</f>
        <v/>
      </c>
      <c r="Z304" s="36" t="str">
        <f aca="false">IF($B304="","",IF(T304="G",IF(N(Z303)&gt;0,Z303+1,1),IF(N(Z303)&lt;0,Z303-1,-1)))</f>
        <v/>
      </c>
      <c r="AA304" s="46" t="str">
        <f aca="false">IF($B304="","",B304-WEEKDAY(B304,2)+1)</f>
        <v/>
      </c>
      <c r="AB304" s="47" t="str">
        <f aca="false">IF($B304="","",DATE(YEAR(B304),MONTH(B304),1))</f>
        <v/>
      </c>
      <c r="AC304" s="41" t="str">
        <f aca="false">IF($B304="","",CHOOSE(WEEKDAY(B304,2),"Lunes","Martes","Miércoles","Jueves","Viernes","Sábado","Domingo"))</f>
        <v/>
      </c>
      <c r="AD304" s="36" t="str">
        <f aca="false">IF($B304="","",HOUR(C304))</f>
        <v/>
      </c>
      <c r="AE304" s="42" t="str">
        <f aca="false">IF($B304="","",IF(O304&lt;&gt;O303,MAX(V304-S304,V304),MAX(V304,AE303)))</f>
        <v/>
      </c>
      <c r="AF304" s="42" t="str">
        <f aca="false">IF($B304="","",V304-AE304)</f>
        <v/>
      </c>
      <c r="AG304" s="36" t="str">
        <f aca="false">IF($B304="","",IF(O304&lt;&gt;O303,IF(T304="G",1,-1),IF(T304="G",IF(N(AG303)&gt;0,AG303+1,1),IF(N(AG303)&lt;0,AG303-1,-1))))</f>
        <v/>
      </c>
    </row>
    <row r="305" customFormat="false" ht="15" hidden="false" customHeight="false" outlineLevel="0" collapsed="false">
      <c r="A305" s="36" t="str">
        <f aca="false">IF(B305="","",ROW()-6)</f>
        <v/>
      </c>
      <c r="B305" s="37"/>
      <c r="C305" s="38"/>
      <c r="D305" s="38"/>
      <c r="E305" s="39"/>
      <c r="F305" s="39"/>
      <c r="G305" s="39"/>
      <c r="H305" s="40"/>
      <c r="I305" s="40"/>
      <c r="J305" s="40"/>
      <c r="K305" s="40"/>
      <c r="L305" s="39"/>
      <c r="M305" s="40"/>
      <c r="N305" s="40"/>
      <c r="O305" s="36" t="str">
        <f aca="false">IF($B305="","",INT((A305-1)/Parametros!$C$10)+1)</f>
        <v/>
      </c>
      <c r="P305" s="41" t="str">
        <f aca="false">IF($B305="","",IF(OR(C305="",D305=""),"",ROUND((D305-C305)*1440,0)))</f>
        <v/>
      </c>
      <c r="Q305" s="42" t="str">
        <f aca="false">IF($B305="","",I305*VLOOKUP(E305,Parametros!$B$18:$D$24,2,FALSE()))</f>
        <v/>
      </c>
      <c r="R305" s="42" t="str">
        <f aca="false">IF($B305="","",G305*VLOOKUP(E305,Parametros!$B$18:$D$24,3,FALSE()))</f>
        <v/>
      </c>
      <c r="S305" s="42" t="str">
        <f aca="false">IF($B305="","",Q305-R305)</f>
        <v/>
      </c>
      <c r="T305" s="43" t="str">
        <f aca="false">IF($B305="","",IF(S305&gt;0,"G","P"))</f>
        <v/>
      </c>
      <c r="U305" s="44" t="str">
        <f aca="false">IF($B305="","",S305/Parametros!$C$8)</f>
        <v/>
      </c>
      <c r="V305" s="42" t="str">
        <f aca="false">IF($B305="","",Parametros!$C$6+SUM($S$7:S305))</f>
        <v/>
      </c>
      <c r="W305" s="42" t="str">
        <f aca="false">IF($B305="","",MAX(V305,W304))</f>
        <v/>
      </c>
      <c r="X305" s="42" t="str">
        <f aca="false">IF($B305="","",V305-W305)</f>
        <v/>
      </c>
      <c r="Y305" s="45" t="str">
        <f aca="false">IF($B305="","",X305/W305)</f>
        <v/>
      </c>
      <c r="Z305" s="36" t="str">
        <f aca="false">IF($B305="","",IF(T305="G",IF(N(Z304)&gt;0,Z304+1,1),IF(N(Z304)&lt;0,Z304-1,-1)))</f>
        <v/>
      </c>
      <c r="AA305" s="46" t="str">
        <f aca="false">IF($B305="","",B305-WEEKDAY(B305,2)+1)</f>
        <v/>
      </c>
      <c r="AB305" s="47" t="str">
        <f aca="false">IF($B305="","",DATE(YEAR(B305),MONTH(B305),1))</f>
        <v/>
      </c>
      <c r="AC305" s="41" t="str">
        <f aca="false">IF($B305="","",CHOOSE(WEEKDAY(B305,2),"Lunes","Martes","Miércoles","Jueves","Viernes","Sábado","Domingo"))</f>
        <v/>
      </c>
      <c r="AD305" s="36" t="str">
        <f aca="false">IF($B305="","",HOUR(C305))</f>
        <v/>
      </c>
      <c r="AE305" s="42" t="str">
        <f aca="false">IF($B305="","",IF(O305&lt;&gt;O304,MAX(V305-S305,V305),MAX(V305,AE304)))</f>
        <v/>
      </c>
      <c r="AF305" s="42" t="str">
        <f aca="false">IF($B305="","",V305-AE305)</f>
        <v/>
      </c>
      <c r="AG305" s="36" t="str">
        <f aca="false">IF($B305="","",IF(O305&lt;&gt;O304,IF(T305="G",1,-1),IF(T305="G",IF(N(AG304)&gt;0,AG304+1,1),IF(N(AG304)&lt;0,AG304-1,-1))))</f>
        <v/>
      </c>
    </row>
    <row r="306" customFormat="false" ht="15" hidden="false" customHeight="false" outlineLevel="0" collapsed="false">
      <c r="A306" s="36" t="str">
        <f aca="false">IF(B306="","",ROW()-6)</f>
        <v/>
      </c>
      <c r="B306" s="37"/>
      <c r="C306" s="38"/>
      <c r="D306" s="38"/>
      <c r="E306" s="39"/>
      <c r="F306" s="39"/>
      <c r="G306" s="39"/>
      <c r="H306" s="40"/>
      <c r="I306" s="40"/>
      <c r="J306" s="40"/>
      <c r="K306" s="40"/>
      <c r="L306" s="39"/>
      <c r="M306" s="40"/>
      <c r="N306" s="40"/>
      <c r="O306" s="36" t="str">
        <f aca="false">IF($B306="","",INT((A306-1)/Parametros!$C$10)+1)</f>
        <v/>
      </c>
      <c r="P306" s="41" t="str">
        <f aca="false">IF($B306="","",IF(OR(C306="",D306=""),"",ROUND((D306-C306)*1440,0)))</f>
        <v/>
      </c>
      <c r="Q306" s="42" t="str">
        <f aca="false">IF($B306="","",I306*VLOOKUP(E306,Parametros!$B$18:$D$24,2,FALSE()))</f>
        <v/>
      </c>
      <c r="R306" s="42" t="str">
        <f aca="false">IF($B306="","",G306*VLOOKUP(E306,Parametros!$B$18:$D$24,3,FALSE()))</f>
        <v/>
      </c>
      <c r="S306" s="42" t="str">
        <f aca="false">IF($B306="","",Q306-R306)</f>
        <v/>
      </c>
      <c r="T306" s="43" t="str">
        <f aca="false">IF($B306="","",IF(S306&gt;0,"G","P"))</f>
        <v/>
      </c>
      <c r="U306" s="44" t="str">
        <f aca="false">IF($B306="","",S306/Parametros!$C$8)</f>
        <v/>
      </c>
      <c r="V306" s="42" t="str">
        <f aca="false">IF($B306="","",Parametros!$C$6+SUM($S$7:S306))</f>
        <v/>
      </c>
      <c r="W306" s="42" t="str">
        <f aca="false">IF($B306="","",MAX(V306,W305))</f>
        <v/>
      </c>
      <c r="X306" s="42" t="str">
        <f aca="false">IF($B306="","",V306-W306)</f>
        <v/>
      </c>
      <c r="Y306" s="45" t="str">
        <f aca="false">IF($B306="","",X306/W306)</f>
        <v/>
      </c>
      <c r="Z306" s="36" t="str">
        <f aca="false">IF($B306="","",IF(T306="G",IF(N(Z305)&gt;0,Z305+1,1),IF(N(Z305)&lt;0,Z305-1,-1)))</f>
        <v/>
      </c>
      <c r="AA306" s="46" t="str">
        <f aca="false">IF($B306="","",B306-WEEKDAY(B306,2)+1)</f>
        <v/>
      </c>
      <c r="AB306" s="47" t="str">
        <f aca="false">IF($B306="","",DATE(YEAR(B306),MONTH(B306),1))</f>
        <v/>
      </c>
      <c r="AC306" s="41" t="str">
        <f aca="false">IF($B306="","",CHOOSE(WEEKDAY(B306,2),"Lunes","Martes","Miércoles","Jueves","Viernes","Sábado","Domingo"))</f>
        <v/>
      </c>
      <c r="AD306" s="36" t="str">
        <f aca="false">IF($B306="","",HOUR(C306))</f>
        <v/>
      </c>
      <c r="AE306" s="42" t="str">
        <f aca="false">IF($B306="","",IF(O306&lt;&gt;O305,MAX(V306-S306,V306),MAX(V306,AE305)))</f>
        <v/>
      </c>
      <c r="AF306" s="42" t="str">
        <f aca="false">IF($B306="","",V306-AE306)</f>
        <v/>
      </c>
      <c r="AG306" s="36" t="str">
        <f aca="false">IF($B306="","",IF(O306&lt;&gt;O305,IF(T306="G",1,-1),IF(T306="G",IF(N(AG305)&gt;0,AG305+1,1),IF(N(AG305)&lt;0,AG305-1,-1))))</f>
        <v/>
      </c>
    </row>
    <row r="307" customFormat="false" ht="15" hidden="false" customHeight="false" outlineLevel="0" collapsed="false">
      <c r="A307" s="36" t="str">
        <f aca="false">IF(B307="","",ROW()-6)</f>
        <v/>
      </c>
      <c r="B307" s="37"/>
      <c r="C307" s="38"/>
      <c r="D307" s="38"/>
      <c r="E307" s="39"/>
      <c r="F307" s="39"/>
      <c r="G307" s="39"/>
      <c r="H307" s="40"/>
      <c r="I307" s="40"/>
      <c r="J307" s="40"/>
      <c r="K307" s="40"/>
      <c r="L307" s="39"/>
      <c r="M307" s="40"/>
      <c r="N307" s="40"/>
      <c r="O307" s="36" t="str">
        <f aca="false">IF($B307="","",INT((A307-1)/Parametros!$C$10)+1)</f>
        <v/>
      </c>
      <c r="P307" s="41" t="str">
        <f aca="false">IF($B307="","",IF(OR(C307="",D307=""),"",ROUND((D307-C307)*1440,0)))</f>
        <v/>
      </c>
      <c r="Q307" s="42" t="str">
        <f aca="false">IF($B307="","",I307*VLOOKUP(E307,Parametros!$B$18:$D$24,2,FALSE()))</f>
        <v/>
      </c>
      <c r="R307" s="42" t="str">
        <f aca="false">IF($B307="","",G307*VLOOKUP(E307,Parametros!$B$18:$D$24,3,FALSE()))</f>
        <v/>
      </c>
      <c r="S307" s="42" t="str">
        <f aca="false">IF($B307="","",Q307-R307)</f>
        <v/>
      </c>
      <c r="T307" s="43" t="str">
        <f aca="false">IF($B307="","",IF(S307&gt;0,"G","P"))</f>
        <v/>
      </c>
      <c r="U307" s="44" t="str">
        <f aca="false">IF($B307="","",S307/Parametros!$C$8)</f>
        <v/>
      </c>
      <c r="V307" s="42" t="str">
        <f aca="false">IF($B307="","",Parametros!$C$6+SUM($S$7:S307))</f>
        <v/>
      </c>
      <c r="W307" s="42" t="str">
        <f aca="false">IF($B307="","",MAX(V307,W306))</f>
        <v/>
      </c>
      <c r="X307" s="42" t="str">
        <f aca="false">IF($B307="","",V307-W307)</f>
        <v/>
      </c>
      <c r="Y307" s="45" t="str">
        <f aca="false">IF($B307="","",X307/W307)</f>
        <v/>
      </c>
      <c r="Z307" s="36" t="str">
        <f aca="false">IF($B307="","",IF(T307="G",IF(N(Z306)&gt;0,Z306+1,1),IF(N(Z306)&lt;0,Z306-1,-1)))</f>
        <v/>
      </c>
      <c r="AA307" s="46" t="str">
        <f aca="false">IF($B307="","",B307-WEEKDAY(B307,2)+1)</f>
        <v/>
      </c>
      <c r="AB307" s="47" t="str">
        <f aca="false">IF($B307="","",DATE(YEAR(B307),MONTH(B307),1))</f>
        <v/>
      </c>
      <c r="AC307" s="41" t="str">
        <f aca="false">IF($B307="","",CHOOSE(WEEKDAY(B307,2),"Lunes","Martes","Miércoles","Jueves","Viernes","Sábado","Domingo"))</f>
        <v/>
      </c>
      <c r="AD307" s="36" t="str">
        <f aca="false">IF($B307="","",HOUR(C307))</f>
        <v/>
      </c>
      <c r="AE307" s="42" t="str">
        <f aca="false">IF($B307="","",IF(O307&lt;&gt;O306,MAX(V307-S307,V307),MAX(V307,AE306)))</f>
        <v/>
      </c>
      <c r="AF307" s="42" t="str">
        <f aca="false">IF($B307="","",V307-AE307)</f>
        <v/>
      </c>
      <c r="AG307" s="36" t="str">
        <f aca="false">IF($B307="","",IF(O307&lt;&gt;O306,IF(T307="G",1,-1),IF(T307="G",IF(N(AG306)&gt;0,AG306+1,1),IF(N(AG306)&lt;0,AG306-1,-1))))</f>
        <v/>
      </c>
    </row>
    <row r="308" customFormat="false" ht="15" hidden="false" customHeight="false" outlineLevel="0" collapsed="false">
      <c r="A308" s="36" t="str">
        <f aca="false">IF(B308="","",ROW()-6)</f>
        <v/>
      </c>
      <c r="B308" s="37"/>
      <c r="C308" s="38"/>
      <c r="D308" s="38"/>
      <c r="E308" s="39"/>
      <c r="F308" s="39"/>
      <c r="G308" s="39"/>
      <c r="H308" s="40"/>
      <c r="I308" s="40"/>
      <c r="J308" s="40"/>
      <c r="K308" s="40"/>
      <c r="L308" s="39"/>
      <c r="M308" s="40"/>
      <c r="N308" s="40"/>
      <c r="O308" s="36" t="str">
        <f aca="false">IF($B308="","",INT((A308-1)/Parametros!$C$10)+1)</f>
        <v/>
      </c>
      <c r="P308" s="41" t="str">
        <f aca="false">IF($B308="","",IF(OR(C308="",D308=""),"",ROUND((D308-C308)*1440,0)))</f>
        <v/>
      </c>
      <c r="Q308" s="42" t="str">
        <f aca="false">IF($B308="","",I308*VLOOKUP(E308,Parametros!$B$18:$D$24,2,FALSE()))</f>
        <v/>
      </c>
      <c r="R308" s="42" t="str">
        <f aca="false">IF($B308="","",G308*VLOOKUP(E308,Parametros!$B$18:$D$24,3,FALSE()))</f>
        <v/>
      </c>
      <c r="S308" s="42" t="str">
        <f aca="false">IF($B308="","",Q308-R308)</f>
        <v/>
      </c>
      <c r="T308" s="43" t="str">
        <f aca="false">IF($B308="","",IF(S308&gt;0,"G","P"))</f>
        <v/>
      </c>
      <c r="U308" s="44" t="str">
        <f aca="false">IF($B308="","",S308/Parametros!$C$8)</f>
        <v/>
      </c>
      <c r="V308" s="42" t="str">
        <f aca="false">IF($B308="","",Parametros!$C$6+SUM($S$7:S308))</f>
        <v/>
      </c>
      <c r="W308" s="42" t="str">
        <f aca="false">IF($B308="","",MAX(V308,W307))</f>
        <v/>
      </c>
      <c r="X308" s="42" t="str">
        <f aca="false">IF($B308="","",V308-W308)</f>
        <v/>
      </c>
      <c r="Y308" s="45" t="str">
        <f aca="false">IF($B308="","",X308/W308)</f>
        <v/>
      </c>
      <c r="Z308" s="36" t="str">
        <f aca="false">IF($B308="","",IF(T308="G",IF(N(Z307)&gt;0,Z307+1,1),IF(N(Z307)&lt;0,Z307-1,-1)))</f>
        <v/>
      </c>
      <c r="AA308" s="46" t="str">
        <f aca="false">IF($B308="","",B308-WEEKDAY(B308,2)+1)</f>
        <v/>
      </c>
      <c r="AB308" s="47" t="str">
        <f aca="false">IF($B308="","",DATE(YEAR(B308),MONTH(B308),1))</f>
        <v/>
      </c>
      <c r="AC308" s="41" t="str">
        <f aca="false">IF($B308="","",CHOOSE(WEEKDAY(B308,2),"Lunes","Martes","Miércoles","Jueves","Viernes","Sábado","Domingo"))</f>
        <v/>
      </c>
      <c r="AD308" s="36" t="str">
        <f aca="false">IF($B308="","",HOUR(C308))</f>
        <v/>
      </c>
      <c r="AE308" s="42" t="str">
        <f aca="false">IF($B308="","",IF(O308&lt;&gt;O307,MAX(V308-S308,V308),MAX(V308,AE307)))</f>
        <v/>
      </c>
      <c r="AF308" s="42" t="str">
        <f aca="false">IF($B308="","",V308-AE308)</f>
        <v/>
      </c>
      <c r="AG308" s="36" t="str">
        <f aca="false">IF($B308="","",IF(O308&lt;&gt;O307,IF(T308="G",1,-1),IF(T308="G",IF(N(AG307)&gt;0,AG307+1,1),IF(N(AG307)&lt;0,AG307-1,-1))))</f>
        <v/>
      </c>
    </row>
    <row r="309" customFormat="false" ht="15" hidden="false" customHeight="false" outlineLevel="0" collapsed="false">
      <c r="A309" s="36" t="str">
        <f aca="false">IF(B309="","",ROW()-6)</f>
        <v/>
      </c>
      <c r="B309" s="37"/>
      <c r="C309" s="38"/>
      <c r="D309" s="38"/>
      <c r="E309" s="39"/>
      <c r="F309" s="39"/>
      <c r="G309" s="39"/>
      <c r="H309" s="40"/>
      <c r="I309" s="40"/>
      <c r="J309" s="40"/>
      <c r="K309" s="40"/>
      <c r="L309" s="39"/>
      <c r="M309" s="40"/>
      <c r="N309" s="40"/>
      <c r="O309" s="36" t="str">
        <f aca="false">IF($B309="","",INT((A309-1)/Parametros!$C$10)+1)</f>
        <v/>
      </c>
      <c r="P309" s="41" t="str">
        <f aca="false">IF($B309="","",IF(OR(C309="",D309=""),"",ROUND((D309-C309)*1440,0)))</f>
        <v/>
      </c>
      <c r="Q309" s="42" t="str">
        <f aca="false">IF($B309="","",I309*VLOOKUP(E309,Parametros!$B$18:$D$24,2,FALSE()))</f>
        <v/>
      </c>
      <c r="R309" s="42" t="str">
        <f aca="false">IF($B309="","",G309*VLOOKUP(E309,Parametros!$B$18:$D$24,3,FALSE()))</f>
        <v/>
      </c>
      <c r="S309" s="42" t="str">
        <f aca="false">IF($B309="","",Q309-R309)</f>
        <v/>
      </c>
      <c r="T309" s="43" t="str">
        <f aca="false">IF($B309="","",IF(S309&gt;0,"G","P"))</f>
        <v/>
      </c>
      <c r="U309" s="44" t="str">
        <f aca="false">IF($B309="","",S309/Parametros!$C$8)</f>
        <v/>
      </c>
      <c r="V309" s="42" t="str">
        <f aca="false">IF($B309="","",Parametros!$C$6+SUM($S$7:S309))</f>
        <v/>
      </c>
      <c r="W309" s="42" t="str">
        <f aca="false">IF($B309="","",MAX(V309,W308))</f>
        <v/>
      </c>
      <c r="X309" s="42" t="str">
        <f aca="false">IF($B309="","",V309-W309)</f>
        <v/>
      </c>
      <c r="Y309" s="45" t="str">
        <f aca="false">IF($B309="","",X309/W309)</f>
        <v/>
      </c>
      <c r="Z309" s="36" t="str">
        <f aca="false">IF($B309="","",IF(T309="G",IF(N(Z308)&gt;0,Z308+1,1),IF(N(Z308)&lt;0,Z308-1,-1)))</f>
        <v/>
      </c>
      <c r="AA309" s="46" t="str">
        <f aca="false">IF($B309="","",B309-WEEKDAY(B309,2)+1)</f>
        <v/>
      </c>
      <c r="AB309" s="47" t="str">
        <f aca="false">IF($B309="","",DATE(YEAR(B309),MONTH(B309),1))</f>
        <v/>
      </c>
      <c r="AC309" s="41" t="str">
        <f aca="false">IF($B309="","",CHOOSE(WEEKDAY(B309,2),"Lunes","Martes","Miércoles","Jueves","Viernes","Sábado","Domingo"))</f>
        <v/>
      </c>
      <c r="AD309" s="36" t="str">
        <f aca="false">IF($B309="","",HOUR(C309))</f>
        <v/>
      </c>
      <c r="AE309" s="42" t="str">
        <f aca="false">IF($B309="","",IF(O309&lt;&gt;O308,MAX(V309-S309,V309),MAX(V309,AE308)))</f>
        <v/>
      </c>
      <c r="AF309" s="42" t="str">
        <f aca="false">IF($B309="","",V309-AE309)</f>
        <v/>
      </c>
      <c r="AG309" s="36" t="str">
        <f aca="false">IF($B309="","",IF(O309&lt;&gt;O308,IF(T309="G",1,-1),IF(T309="G",IF(N(AG308)&gt;0,AG308+1,1),IF(N(AG308)&lt;0,AG308-1,-1))))</f>
        <v/>
      </c>
    </row>
    <row r="310" customFormat="false" ht="15" hidden="false" customHeight="false" outlineLevel="0" collapsed="false">
      <c r="A310" s="36" t="str">
        <f aca="false">IF(B310="","",ROW()-6)</f>
        <v/>
      </c>
      <c r="B310" s="37"/>
      <c r="C310" s="38"/>
      <c r="D310" s="38"/>
      <c r="E310" s="39"/>
      <c r="F310" s="39"/>
      <c r="G310" s="39"/>
      <c r="H310" s="40"/>
      <c r="I310" s="40"/>
      <c r="J310" s="40"/>
      <c r="K310" s="40"/>
      <c r="L310" s="39"/>
      <c r="M310" s="40"/>
      <c r="N310" s="40"/>
      <c r="O310" s="36" t="str">
        <f aca="false">IF($B310="","",INT((A310-1)/Parametros!$C$10)+1)</f>
        <v/>
      </c>
      <c r="P310" s="41" t="str">
        <f aca="false">IF($B310="","",IF(OR(C310="",D310=""),"",ROUND((D310-C310)*1440,0)))</f>
        <v/>
      </c>
      <c r="Q310" s="42" t="str">
        <f aca="false">IF($B310="","",I310*VLOOKUP(E310,Parametros!$B$18:$D$24,2,FALSE()))</f>
        <v/>
      </c>
      <c r="R310" s="42" t="str">
        <f aca="false">IF($B310="","",G310*VLOOKUP(E310,Parametros!$B$18:$D$24,3,FALSE()))</f>
        <v/>
      </c>
      <c r="S310" s="42" t="str">
        <f aca="false">IF($B310="","",Q310-R310)</f>
        <v/>
      </c>
      <c r="T310" s="43" t="str">
        <f aca="false">IF($B310="","",IF(S310&gt;0,"G","P"))</f>
        <v/>
      </c>
      <c r="U310" s="44" t="str">
        <f aca="false">IF($B310="","",S310/Parametros!$C$8)</f>
        <v/>
      </c>
      <c r="V310" s="42" t="str">
        <f aca="false">IF($B310="","",Parametros!$C$6+SUM($S$7:S310))</f>
        <v/>
      </c>
      <c r="W310" s="42" t="str">
        <f aca="false">IF($B310="","",MAX(V310,W309))</f>
        <v/>
      </c>
      <c r="X310" s="42" t="str">
        <f aca="false">IF($B310="","",V310-W310)</f>
        <v/>
      </c>
      <c r="Y310" s="45" t="str">
        <f aca="false">IF($B310="","",X310/W310)</f>
        <v/>
      </c>
      <c r="Z310" s="36" t="str">
        <f aca="false">IF($B310="","",IF(T310="G",IF(N(Z309)&gt;0,Z309+1,1),IF(N(Z309)&lt;0,Z309-1,-1)))</f>
        <v/>
      </c>
      <c r="AA310" s="46" t="str">
        <f aca="false">IF($B310="","",B310-WEEKDAY(B310,2)+1)</f>
        <v/>
      </c>
      <c r="AB310" s="47" t="str">
        <f aca="false">IF($B310="","",DATE(YEAR(B310),MONTH(B310),1))</f>
        <v/>
      </c>
      <c r="AC310" s="41" t="str">
        <f aca="false">IF($B310="","",CHOOSE(WEEKDAY(B310,2),"Lunes","Martes","Miércoles","Jueves","Viernes","Sábado","Domingo"))</f>
        <v/>
      </c>
      <c r="AD310" s="36" t="str">
        <f aca="false">IF($B310="","",HOUR(C310))</f>
        <v/>
      </c>
      <c r="AE310" s="42" t="str">
        <f aca="false">IF($B310="","",IF(O310&lt;&gt;O309,MAX(V310-S310,V310),MAX(V310,AE309)))</f>
        <v/>
      </c>
      <c r="AF310" s="42" t="str">
        <f aca="false">IF($B310="","",V310-AE310)</f>
        <v/>
      </c>
      <c r="AG310" s="36" t="str">
        <f aca="false">IF($B310="","",IF(O310&lt;&gt;O309,IF(T310="G",1,-1),IF(T310="G",IF(N(AG309)&gt;0,AG309+1,1),IF(N(AG309)&lt;0,AG309-1,-1))))</f>
        <v/>
      </c>
    </row>
    <row r="311" customFormat="false" ht="15" hidden="false" customHeight="false" outlineLevel="0" collapsed="false">
      <c r="A311" s="36" t="str">
        <f aca="false">IF(B311="","",ROW()-6)</f>
        <v/>
      </c>
      <c r="B311" s="37"/>
      <c r="C311" s="38"/>
      <c r="D311" s="38"/>
      <c r="E311" s="39"/>
      <c r="F311" s="39"/>
      <c r="G311" s="39"/>
      <c r="H311" s="40"/>
      <c r="I311" s="40"/>
      <c r="J311" s="40"/>
      <c r="K311" s="40"/>
      <c r="L311" s="39"/>
      <c r="M311" s="40"/>
      <c r="N311" s="40"/>
      <c r="O311" s="36" t="str">
        <f aca="false">IF($B311="","",INT((A311-1)/Parametros!$C$10)+1)</f>
        <v/>
      </c>
      <c r="P311" s="41" t="str">
        <f aca="false">IF($B311="","",IF(OR(C311="",D311=""),"",ROUND((D311-C311)*1440,0)))</f>
        <v/>
      </c>
      <c r="Q311" s="42" t="str">
        <f aca="false">IF($B311="","",I311*VLOOKUP(E311,Parametros!$B$18:$D$24,2,FALSE()))</f>
        <v/>
      </c>
      <c r="R311" s="42" t="str">
        <f aca="false">IF($B311="","",G311*VLOOKUP(E311,Parametros!$B$18:$D$24,3,FALSE()))</f>
        <v/>
      </c>
      <c r="S311" s="42" t="str">
        <f aca="false">IF($B311="","",Q311-R311)</f>
        <v/>
      </c>
      <c r="T311" s="43" t="str">
        <f aca="false">IF($B311="","",IF(S311&gt;0,"G","P"))</f>
        <v/>
      </c>
      <c r="U311" s="44" t="str">
        <f aca="false">IF($B311="","",S311/Parametros!$C$8)</f>
        <v/>
      </c>
      <c r="V311" s="42" t="str">
        <f aca="false">IF($B311="","",Parametros!$C$6+SUM($S$7:S311))</f>
        <v/>
      </c>
      <c r="W311" s="42" t="str">
        <f aca="false">IF($B311="","",MAX(V311,W310))</f>
        <v/>
      </c>
      <c r="X311" s="42" t="str">
        <f aca="false">IF($B311="","",V311-W311)</f>
        <v/>
      </c>
      <c r="Y311" s="45" t="str">
        <f aca="false">IF($B311="","",X311/W311)</f>
        <v/>
      </c>
      <c r="Z311" s="36" t="str">
        <f aca="false">IF($B311="","",IF(T311="G",IF(N(Z310)&gt;0,Z310+1,1),IF(N(Z310)&lt;0,Z310-1,-1)))</f>
        <v/>
      </c>
      <c r="AA311" s="46" t="str">
        <f aca="false">IF($B311="","",B311-WEEKDAY(B311,2)+1)</f>
        <v/>
      </c>
      <c r="AB311" s="47" t="str">
        <f aca="false">IF($B311="","",DATE(YEAR(B311),MONTH(B311),1))</f>
        <v/>
      </c>
      <c r="AC311" s="41" t="str">
        <f aca="false">IF($B311="","",CHOOSE(WEEKDAY(B311,2),"Lunes","Martes","Miércoles","Jueves","Viernes","Sábado","Domingo"))</f>
        <v/>
      </c>
      <c r="AD311" s="36" t="str">
        <f aca="false">IF($B311="","",HOUR(C311))</f>
        <v/>
      </c>
      <c r="AE311" s="42" t="str">
        <f aca="false">IF($B311="","",IF(O311&lt;&gt;O310,MAX(V311-S311,V311),MAX(V311,AE310)))</f>
        <v/>
      </c>
      <c r="AF311" s="42" t="str">
        <f aca="false">IF($B311="","",V311-AE311)</f>
        <v/>
      </c>
      <c r="AG311" s="36" t="str">
        <f aca="false">IF($B311="","",IF(O311&lt;&gt;O310,IF(T311="G",1,-1),IF(T311="G",IF(N(AG310)&gt;0,AG310+1,1),IF(N(AG310)&lt;0,AG310-1,-1))))</f>
        <v/>
      </c>
    </row>
    <row r="312" customFormat="false" ht="15" hidden="false" customHeight="false" outlineLevel="0" collapsed="false">
      <c r="A312" s="36" t="str">
        <f aca="false">IF(B312="","",ROW()-6)</f>
        <v/>
      </c>
      <c r="B312" s="37"/>
      <c r="C312" s="38"/>
      <c r="D312" s="38"/>
      <c r="E312" s="39"/>
      <c r="F312" s="39"/>
      <c r="G312" s="39"/>
      <c r="H312" s="40"/>
      <c r="I312" s="40"/>
      <c r="J312" s="40"/>
      <c r="K312" s="40"/>
      <c r="L312" s="39"/>
      <c r="M312" s="40"/>
      <c r="N312" s="40"/>
      <c r="O312" s="36" t="str">
        <f aca="false">IF($B312="","",INT((A312-1)/Parametros!$C$10)+1)</f>
        <v/>
      </c>
      <c r="P312" s="41" t="str">
        <f aca="false">IF($B312="","",IF(OR(C312="",D312=""),"",ROUND((D312-C312)*1440,0)))</f>
        <v/>
      </c>
      <c r="Q312" s="42" t="str">
        <f aca="false">IF($B312="","",I312*VLOOKUP(E312,Parametros!$B$18:$D$24,2,FALSE()))</f>
        <v/>
      </c>
      <c r="R312" s="42" t="str">
        <f aca="false">IF($B312="","",G312*VLOOKUP(E312,Parametros!$B$18:$D$24,3,FALSE()))</f>
        <v/>
      </c>
      <c r="S312" s="42" t="str">
        <f aca="false">IF($B312="","",Q312-R312)</f>
        <v/>
      </c>
      <c r="T312" s="43" t="str">
        <f aca="false">IF($B312="","",IF(S312&gt;0,"G","P"))</f>
        <v/>
      </c>
      <c r="U312" s="44" t="str">
        <f aca="false">IF($B312="","",S312/Parametros!$C$8)</f>
        <v/>
      </c>
      <c r="V312" s="42" t="str">
        <f aca="false">IF($B312="","",Parametros!$C$6+SUM($S$7:S312))</f>
        <v/>
      </c>
      <c r="W312" s="42" t="str">
        <f aca="false">IF($B312="","",MAX(V312,W311))</f>
        <v/>
      </c>
      <c r="X312" s="42" t="str">
        <f aca="false">IF($B312="","",V312-W312)</f>
        <v/>
      </c>
      <c r="Y312" s="45" t="str">
        <f aca="false">IF($B312="","",X312/W312)</f>
        <v/>
      </c>
      <c r="Z312" s="36" t="str">
        <f aca="false">IF($B312="","",IF(T312="G",IF(N(Z311)&gt;0,Z311+1,1),IF(N(Z311)&lt;0,Z311-1,-1)))</f>
        <v/>
      </c>
      <c r="AA312" s="46" t="str">
        <f aca="false">IF($B312="","",B312-WEEKDAY(B312,2)+1)</f>
        <v/>
      </c>
      <c r="AB312" s="47" t="str">
        <f aca="false">IF($B312="","",DATE(YEAR(B312),MONTH(B312),1))</f>
        <v/>
      </c>
      <c r="AC312" s="41" t="str">
        <f aca="false">IF($B312="","",CHOOSE(WEEKDAY(B312,2),"Lunes","Martes","Miércoles","Jueves","Viernes","Sábado","Domingo"))</f>
        <v/>
      </c>
      <c r="AD312" s="36" t="str">
        <f aca="false">IF($B312="","",HOUR(C312))</f>
        <v/>
      </c>
      <c r="AE312" s="42" t="str">
        <f aca="false">IF($B312="","",IF(O312&lt;&gt;O311,MAX(V312-S312,V312),MAX(V312,AE311)))</f>
        <v/>
      </c>
      <c r="AF312" s="42" t="str">
        <f aca="false">IF($B312="","",V312-AE312)</f>
        <v/>
      </c>
      <c r="AG312" s="36" t="str">
        <f aca="false">IF($B312="","",IF(O312&lt;&gt;O311,IF(T312="G",1,-1),IF(T312="G",IF(N(AG311)&gt;0,AG311+1,1),IF(N(AG311)&lt;0,AG311-1,-1))))</f>
        <v/>
      </c>
    </row>
    <row r="313" customFormat="false" ht="15" hidden="false" customHeight="false" outlineLevel="0" collapsed="false">
      <c r="A313" s="36" t="str">
        <f aca="false">IF(B313="","",ROW()-6)</f>
        <v/>
      </c>
      <c r="B313" s="37"/>
      <c r="C313" s="38"/>
      <c r="D313" s="38"/>
      <c r="E313" s="39"/>
      <c r="F313" s="39"/>
      <c r="G313" s="39"/>
      <c r="H313" s="40"/>
      <c r="I313" s="40"/>
      <c r="J313" s="40"/>
      <c r="K313" s="40"/>
      <c r="L313" s="39"/>
      <c r="M313" s="40"/>
      <c r="N313" s="40"/>
      <c r="O313" s="36" t="str">
        <f aca="false">IF($B313="","",INT((A313-1)/Parametros!$C$10)+1)</f>
        <v/>
      </c>
      <c r="P313" s="41" t="str">
        <f aca="false">IF($B313="","",IF(OR(C313="",D313=""),"",ROUND((D313-C313)*1440,0)))</f>
        <v/>
      </c>
      <c r="Q313" s="42" t="str">
        <f aca="false">IF($B313="","",I313*VLOOKUP(E313,Parametros!$B$18:$D$24,2,FALSE()))</f>
        <v/>
      </c>
      <c r="R313" s="42" t="str">
        <f aca="false">IF($B313="","",G313*VLOOKUP(E313,Parametros!$B$18:$D$24,3,FALSE()))</f>
        <v/>
      </c>
      <c r="S313" s="42" t="str">
        <f aca="false">IF($B313="","",Q313-R313)</f>
        <v/>
      </c>
      <c r="T313" s="43" t="str">
        <f aca="false">IF($B313="","",IF(S313&gt;0,"G","P"))</f>
        <v/>
      </c>
      <c r="U313" s="44" t="str">
        <f aca="false">IF($B313="","",S313/Parametros!$C$8)</f>
        <v/>
      </c>
      <c r="V313" s="42" t="str">
        <f aca="false">IF($B313="","",Parametros!$C$6+SUM($S$7:S313))</f>
        <v/>
      </c>
      <c r="W313" s="42" t="str">
        <f aca="false">IF($B313="","",MAX(V313,W312))</f>
        <v/>
      </c>
      <c r="X313" s="42" t="str">
        <f aca="false">IF($B313="","",V313-W313)</f>
        <v/>
      </c>
      <c r="Y313" s="45" t="str">
        <f aca="false">IF($B313="","",X313/W313)</f>
        <v/>
      </c>
      <c r="Z313" s="36" t="str">
        <f aca="false">IF($B313="","",IF(T313="G",IF(N(Z312)&gt;0,Z312+1,1),IF(N(Z312)&lt;0,Z312-1,-1)))</f>
        <v/>
      </c>
      <c r="AA313" s="46" t="str">
        <f aca="false">IF($B313="","",B313-WEEKDAY(B313,2)+1)</f>
        <v/>
      </c>
      <c r="AB313" s="47" t="str">
        <f aca="false">IF($B313="","",DATE(YEAR(B313),MONTH(B313),1))</f>
        <v/>
      </c>
      <c r="AC313" s="41" t="str">
        <f aca="false">IF($B313="","",CHOOSE(WEEKDAY(B313,2),"Lunes","Martes","Miércoles","Jueves","Viernes","Sábado","Domingo"))</f>
        <v/>
      </c>
      <c r="AD313" s="36" t="str">
        <f aca="false">IF($B313="","",HOUR(C313))</f>
        <v/>
      </c>
      <c r="AE313" s="42" t="str">
        <f aca="false">IF($B313="","",IF(O313&lt;&gt;O312,MAX(V313-S313,V313),MAX(V313,AE312)))</f>
        <v/>
      </c>
      <c r="AF313" s="42" t="str">
        <f aca="false">IF($B313="","",V313-AE313)</f>
        <v/>
      </c>
      <c r="AG313" s="36" t="str">
        <f aca="false">IF($B313="","",IF(O313&lt;&gt;O312,IF(T313="G",1,-1),IF(T313="G",IF(N(AG312)&gt;0,AG312+1,1),IF(N(AG312)&lt;0,AG312-1,-1))))</f>
        <v/>
      </c>
    </row>
    <row r="314" customFormat="false" ht="15" hidden="false" customHeight="false" outlineLevel="0" collapsed="false">
      <c r="A314" s="36" t="str">
        <f aca="false">IF(B314="","",ROW()-6)</f>
        <v/>
      </c>
      <c r="B314" s="37"/>
      <c r="C314" s="38"/>
      <c r="D314" s="38"/>
      <c r="E314" s="39"/>
      <c r="F314" s="39"/>
      <c r="G314" s="39"/>
      <c r="H314" s="40"/>
      <c r="I314" s="40"/>
      <c r="J314" s="40"/>
      <c r="K314" s="40"/>
      <c r="L314" s="39"/>
      <c r="M314" s="40"/>
      <c r="N314" s="40"/>
      <c r="O314" s="36" t="str">
        <f aca="false">IF($B314="","",INT((A314-1)/Parametros!$C$10)+1)</f>
        <v/>
      </c>
      <c r="P314" s="41" t="str">
        <f aca="false">IF($B314="","",IF(OR(C314="",D314=""),"",ROUND((D314-C314)*1440,0)))</f>
        <v/>
      </c>
      <c r="Q314" s="42" t="str">
        <f aca="false">IF($B314="","",I314*VLOOKUP(E314,Parametros!$B$18:$D$24,2,FALSE()))</f>
        <v/>
      </c>
      <c r="R314" s="42" t="str">
        <f aca="false">IF($B314="","",G314*VLOOKUP(E314,Parametros!$B$18:$D$24,3,FALSE()))</f>
        <v/>
      </c>
      <c r="S314" s="42" t="str">
        <f aca="false">IF($B314="","",Q314-R314)</f>
        <v/>
      </c>
      <c r="T314" s="43" t="str">
        <f aca="false">IF($B314="","",IF(S314&gt;0,"G","P"))</f>
        <v/>
      </c>
      <c r="U314" s="44" t="str">
        <f aca="false">IF($B314="","",S314/Parametros!$C$8)</f>
        <v/>
      </c>
      <c r="V314" s="42" t="str">
        <f aca="false">IF($B314="","",Parametros!$C$6+SUM($S$7:S314))</f>
        <v/>
      </c>
      <c r="W314" s="42" t="str">
        <f aca="false">IF($B314="","",MAX(V314,W313))</f>
        <v/>
      </c>
      <c r="X314" s="42" t="str">
        <f aca="false">IF($B314="","",V314-W314)</f>
        <v/>
      </c>
      <c r="Y314" s="45" t="str">
        <f aca="false">IF($B314="","",X314/W314)</f>
        <v/>
      </c>
      <c r="Z314" s="36" t="str">
        <f aca="false">IF($B314="","",IF(T314="G",IF(N(Z313)&gt;0,Z313+1,1),IF(N(Z313)&lt;0,Z313-1,-1)))</f>
        <v/>
      </c>
      <c r="AA314" s="46" t="str">
        <f aca="false">IF($B314="","",B314-WEEKDAY(B314,2)+1)</f>
        <v/>
      </c>
      <c r="AB314" s="47" t="str">
        <f aca="false">IF($B314="","",DATE(YEAR(B314),MONTH(B314),1))</f>
        <v/>
      </c>
      <c r="AC314" s="41" t="str">
        <f aca="false">IF($B314="","",CHOOSE(WEEKDAY(B314,2),"Lunes","Martes","Miércoles","Jueves","Viernes","Sábado","Domingo"))</f>
        <v/>
      </c>
      <c r="AD314" s="36" t="str">
        <f aca="false">IF($B314="","",HOUR(C314))</f>
        <v/>
      </c>
      <c r="AE314" s="42" t="str">
        <f aca="false">IF($B314="","",IF(O314&lt;&gt;O313,MAX(V314-S314,V314),MAX(V314,AE313)))</f>
        <v/>
      </c>
      <c r="AF314" s="42" t="str">
        <f aca="false">IF($B314="","",V314-AE314)</f>
        <v/>
      </c>
      <c r="AG314" s="36" t="str">
        <f aca="false">IF($B314="","",IF(O314&lt;&gt;O313,IF(T314="G",1,-1),IF(T314="G",IF(N(AG313)&gt;0,AG313+1,1),IF(N(AG313)&lt;0,AG313-1,-1))))</f>
        <v/>
      </c>
    </row>
    <row r="315" customFormat="false" ht="15" hidden="false" customHeight="false" outlineLevel="0" collapsed="false">
      <c r="A315" s="36" t="str">
        <f aca="false">IF(B315="","",ROW()-6)</f>
        <v/>
      </c>
      <c r="B315" s="37"/>
      <c r="C315" s="38"/>
      <c r="D315" s="38"/>
      <c r="E315" s="39"/>
      <c r="F315" s="39"/>
      <c r="G315" s="39"/>
      <c r="H315" s="40"/>
      <c r="I315" s="40"/>
      <c r="J315" s="40"/>
      <c r="K315" s="40"/>
      <c r="L315" s="39"/>
      <c r="M315" s="40"/>
      <c r="N315" s="40"/>
      <c r="O315" s="36" t="str">
        <f aca="false">IF($B315="","",INT((A315-1)/Parametros!$C$10)+1)</f>
        <v/>
      </c>
      <c r="P315" s="41" t="str">
        <f aca="false">IF($B315="","",IF(OR(C315="",D315=""),"",ROUND((D315-C315)*1440,0)))</f>
        <v/>
      </c>
      <c r="Q315" s="42" t="str">
        <f aca="false">IF($B315="","",I315*VLOOKUP(E315,Parametros!$B$18:$D$24,2,FALSE()))</f>
        <v/>
      </c>
      <c r="R315" s="42" t="str">
        <f aca="false">IF($B315="","",G315*VLOOKUP(E315,Parametros!$B$18:$D$24,3,FALSE()))</f>
        <v/>
      </c>
      <c r="S315" s="42" t="str">
        <f aca="false">IF($B315="","",Q315-R315)</f>
        <v/>
      </c>
      <c r="T315" s="43" t="str">
        <f aca="false">IF($B315="","",IF(S315&gt;0,"G","P"))</f>
        <v/>
      </c>
      <c r="U315" s="44" t="str">
        <f aca="false">IF($B315="","",S315/Parametros!$C$8)</f>
        <v/>
      </c>
      <c r="V315" s="42" t="str">
        <f aca="false">IF($B315="","",Parametros!$C$6+SUM($S$7:S315))</f>
        <v/>
      </c>
      <c r="W315" s="42" t="str">
        <f aca="false">IF($B315="","",MAX(V315,W314))</f>
        <v/>
      </c>
      <c r="X315" s="42" t="str">
        <f aca="false">IF($B315="","",V315-W315)</f>
        <v/>
      </c>
      <c r="Y315" s="45" t="str">
        <f aca="false">IF($B315="","",X315/W315)</f>
        <v/>
      </c>
      <c r="Z315" s="36" t="str">
        <f aca="false">IF($B315="","",IF(T315="G",IF(N(Z314)&gt;0,Z314+1,1),IF(N(Z314)&lt;0,Z314-1,-1)))</f>
        <v/>
      </c>
      <c r="AA315" s="46" t="str">
        <f aca="false">IF($B315="","",B315-WEEKDAY(B315,2)+1)</f>
        <v/>
      </c>
      <c r="AB315" s="47" t="str">
        <f aca="false">IF($B315="","",DATE(YEAR(B315),MONTH(B315),1))</f>
        <v/>
      </c>
      <c r="AC315" s="41" t="str">
        <f aca="false">IF($B315="","",CHOOSE(WEEKDAY(B315,2),"Lunes","Martes","Miércoles","Jueves","Viernes","Sábado","Domingo"))</f>
        <v/>
      </c>
      <c r="AD315" s="36" t="str">
        <f aca="false">IF($B315="","",HOUR(C315))</f>
        <v/>
      </c>
      <c r="AE315" s="42" t="str">
        <f aca="false">IF($B315="","",IF(O315&lt;&gt;O314,MAX(V315-S315,V315),MAX(V315,AE314)))</f>
        <v/>
      </c>
      <c r="AF315" s="42" t="str">
        <f aca="false">IF($B315="","",V315-AE315)</f>
        <v/>
      </c>
      <c r="AG315" s="36" t="str">
        <f aca="false">IF($B315="","",IF(O315&lt;&gt;O314,IF(T315="G",1,-1),IF(T315="G",IF(N(AG314)&gt;0,AG314+1,1),IF(N(AG314)&lt;0,AG314-1,-1))))</f>
        <v/>
      </c>
    </row>
    <row r="316" customFormat="false" ht="15" hidden="false" customHeight="false" outlineLevel="0" collapsed="false">
      <c r="A316" s="36" t="str">
        <f aca="false">IF(B316="","",ROW()-6)</f>
        <v/>
      </c>
      <c r="B316" s="37"/>
      <c r="C316" s="38"/>
      <c r="D316" s="38"/>
      <c r="E316" s="39"/>
      <c r="F316" s="39"/>
      <c r="G316" s="39"/>
      <c r="H316" s="40"/>
      <c r="I316" s="40"/>
      <c r="J316" s="40"/>
      <c r="K316" s="40"/>
      <c r="L316" s="39"/>
      <c r="M316" s="40"/>
      <c r="N316" s="40"/>
      <c r="O316" s="36" t="str">
        <f aca="false">IF($B316="","",INT((A316-1)/Parametros!$C$10)+1)</f>
        <v/>
      </c>
      <c r="P316" s="41" t="str">
        <f aca="false">IF($B316="","",IF(OR(C316="",D316=""),"",ROUND((D316-C316)*1440,0)))</f>
        <v/>
      </c>
      <c r="Q316" s="42" t="str">
        <f aca="false">IF($B316="","",I316*VLOOKUP(E316,Parametros!$B$18:$D$24,2,FALSE()))</f>
        <v/>
      </c>
      <c r="R316" s="42" t="str">
        <f aca="false">IF($B316="","",G316*VLOOKUP(E316,Parametros!$B$18:$D$24,3,FALSE()))</f>
        <v/>
      </c>
      <c r="S316" s="42" t="str">
        <f aca="false">IF($B316="","",Q316-R316)</f>
        <v/>
      </c>
      <c r="T316" s="43" t="str">
        <f aca="false">IF($B316="","",IF(S316&gt;0,"G","P"))</f>
        <v/>
      </c>
      <c r="U316" s="44" t="str">
        <f aca="false">IF($B316="","",S316/Parametros!$C$8)</f>
        <v/>
      </c>
      <c r="V316" s="42" t="str">
        <f aca="false">IF($B316="","",Parametros!$C$6+SUM($S$7:S316))</f>
        <v/>
      </c>
      <c r="W316" s="42" t="str">
        <f aca="false">IF($B316="","",MAX(V316,W315))</f>
        <v/>
      </c>
      <c r="X316" s="42" t="str">
        <f aca="false">IF($B316="","",V316-W316)</f>
        <v/>
      </c>
      <c r="Y316" s="45" t="str">
        <f aca="false">IF($B316="","",X316/W316)</f>
        <v/>
      </c>
      <c r="Z316" s="36" t="str">
        <f aca="false">IF($B316="","",IF(T316="G",IF(N(Z315)&gt;0,Z315+1,1),IF(N(Z315)&lt;0,Z315-1,-1)))</f>
        <v/>
      </c>
      <c r="AA316" s="46" t="str">
        <f aca="false">IF($B316="","",B316-WEEKDAY(B316,2)+1)</f>
        <v/>
      </c>
      <c r="AB316" s="47" t="str">
        <f aca="false">IF($B316="","",DATE(YEAR(B316),MONTH(B316),1))</f>
        <v/>
      </c>
      <c r="AC316" s="41" t="str">
        <f aca="false">IF($B316="","",CHOOSE(WEEKDAY(B316,2),"Lunes","Martes","Miércoles","Jueves","Viernes","Sábado","Domingo"))</f>
        <v/>
      </c>
      <c r="AD316" s="36" t="str">
        <f aca="false">IF($B316="","",HOUR(C316))</f>
        <v/>
      </c>
      <c r="AE316" s="42" t="str">
        <f aca="false">IF($B316="","",IF(O316&lt;&gt;O315,MAX(V316-S316,V316),MAX(V316,AE315)))</f>
        <v/>
      </c>
      <c r="AF316" s="42" t="str">
        <f aca="false">IF($B316="","",V316-AE316)</f>
        <v/>
      </c>
      <c r="AG316" s="36" t="str">
        <f aca="false">IF($B316="","",IF(O316&lt;&gt;O315,IF(T316="G",1,-1),IF(T316="G",IF(N(AG315)&gt;0,AG315+1,1),IF(N(AG315)&lt;0,AG315-1,-1))))</f>
        <v/>
      </c>
    </row>
    <row r="317" customFormat="false" ht="15" hidden="false" customHeight="false" outlineLevel="0" collapsed="false">
      <c r="A317" s="36" t="str">
        <f aca="false">IF(B317="","",ROW()-6)</f>
        <v/>
      </c>
      <c r="B317" s="37"/>
      <c r="C317" s="38"/>
      <c r="D317" s="38"/>
      <c r="E317" s="39"/>
      <c r="F317" s="39"/>
      <c r="G317" s="39"/>
      <c r="H317" s="40"/>
      <c r="I317" s="40"/>
      <c r="J317" s="40"/>
      <c r="K317" s="40"/>
      <c r="L317" s="39"/>
      <c r="M317" s="40"/>
      <c r="N317" s="40"/>
      <c r="O317" s="36" t="str">
        <f aca="false">IF($B317="","",INT((A317-1)/Parametros!$C$10)+1)</f>
        <v/>
      </c>
      <c r="P317" s="41" t="str">
        <f aca="false">IF($B317="","",IF(OR(C317="",D317=""),"",ROUND((D317-C317)*1440,0)))</f>
        <v/>
      </c>
      <c r="Q317" s="42" t="str">
        <f aca="false">IF($B317="","",I317*VLOOKUP(E317,Parametros!$B$18:$D$24,2,FALSE()))</f>
        <v/>
      </c>
      <c r="R317" s="42" t="str">
        <f aca="false">IF($B317="","",G317*VLOOKUP(E317,Parametros!$B$18:$D$24,3,FALSE()))</f>
        <v/>
      </c>
      <c r="S317" s="42" t="str">
        <f aca="false">IF($B317="","",Q317-R317)</f>
        <v/>
      </c>
      <c r="T317" s="43" t="str">
        <f aca="false">IF($B317="","",IF(S317&gt;0,"G","P"))</f>
        <v/>
      </c>
      <c r="U317" s="44" t="str">
        <f aca="false">IF($B317="","",S317/Parametros!$C$8)</f>
        <v/>
      </c>
      <c r="V317" s="42" t="str">
        <f aca="false">IF($B317="","",Parametros!$C$6+SUM($S$7:S317))</f>
        <v/>
      </c>
      <c r="W317" s="42" t="str">
        <f aca="false">IF($B317="","",MAX(V317,W316))</f>
        <v/>
      </c>
      <c r="X317" s="42" t="str">
        <f aca="false">IF($B317="","",V317-W317)</f>
        <v/>
      </c>
      <c r="Y317" s="45" t="str">
        <f aca="false">IF($B317="","",X317/W317)</f>
        <v/>
      </c>
      <c r="Z317" s="36" t="str">
        <f aca="false">IF($B317="","",IF(T317="G",IF(N(Z316)&gt;0,Z316+1,1),IF(N(Z316)&lt;0,Z316-1,-1)))</f>
        <v/>
      </c>
      <c r="AA317" s="46" t="str">
        <f aca="false">IF($B317="","",B317-WEEKDAY(B317,2)+1)</f>
        <v/>
      </c>
      <c r="AB317" s="47" t="str">
        <f aca="false">IF($B317="","",DATE(YEAR(B317),MONTH(B317),1))</f>
        <v/>
      </c>
      <c r="AC317" s="41" t="str">
        <f aca="false">IF($B317="","",CHOOSE(WEEKDAY(B317,2),"Lunes","Martes","Miércoles","Jueves","Viernes","Sábado","Domingo"))</f>
        <v/>
      </c>
      <c r="AD317" s="36" t="str">
        <f aca="false">IF($B317="","",HOUR(C317))</f>
        <v/>
      </c>
      <c r="AE317" s="42" t="str">
        <f aca="false">IF($B317="","",IF(O317&lt;&gt;O316,MAX(V317-S317,V317),MAX(V317,AE316)))</f>
        <v/>
      </c>
      <c r="AF317" s="42" t="str">
        <f aca="false">IF($B317="","",V317-AE317)</f>
        <v/>
      </c>
      <c r="AG317" s="36" t="str">
        <f aca="false">IF($B317="","",IF(O317&lt;&gt;O316,IF(T317="G",1,-1),IF(T317="G",IF(N(AG316)&gt;0,AG316+1,1),IF(N(AG316)&lt;0,AG316-1,-1))))</f>
        <v/>
      </c>
    </row>
    <row r="318" customFormat="false" ht="15" hidden="false" customHeight="false" outlineLevel="0" collapsed="false">
      <c r="A318" s="36" t="str">
        <f aca="false">IF(B318="","",ROW()-6)</f>
        <v/>
      </c>
      <c r="B318" s="37"/>
      <c r="C318" s="38"/>
      <c r="D318" s="38"/>
      <c r="E318" s="39"/>
      <c r="F318" s="39"/>
      <c r="G318" s="39"/>
      <c r="H318" s="40"/>
      <c r="I318" s="40"/>
      <c r="J318" s="40"/>
      <c r="K318" s="40"/>
      <c r="L318" s="39"/>
      <c r="M318" s="40"/>
      <c r="N318" s="40"/>
      <c r="O318" s="36" t="str">
        <f aca="false">IF($B318="","",INT((A318-1)/Parametros!$C$10)+1)</f>
        <v/>
      </c>
      <c r="P318" s="41" t="str">
        <f aca="false">IF($B318="","",IF(OR(C318="",D318=""),"",ROUND((D318-C318)*1440,0)))</f>
        <v/>
      </c>
      <c r="Q318" s="42" t="str">
        <f aca="false">IF($B318="","",I318*VLOOKUP(E318,Parametros!$B$18:$D$24,2,FALSE()))</f>
        <v/>
      </c>
      <c r="R318" s="42" t="str">
        <f aca="false">IF($B318="","",G318*VLOOKUP(E318,Parametros!$B$18:$D$24,3,FALSE()))</f>
        <v/>
      </c>
      <c r="S318" s="42" t="str">
        <f aca="false">IF($B318="","",Q318-R318)</f>
        <v/>
      </c>
      <c r="T318" s="43" t="str">
        <f aca="false">IF($B318="","",IF(S318&gt;0,"G","P"))</f>
        <v/>
      </c>
      <c r="U318" s="44" t="str">
        <f aca="false">IF($B318="","",S318/Parametros!$C$8)</f>
        <v/>
      </c>
      <c r="V318" s="42" t="str">
        <f aca="false">IF($B318="","",Parametros!$C$6+SUM($S$7:S318))</f>
        <v/>
      </c>
      <c r="W318" s="42" t="str">
        <f aca="false">IF($B318="","",MAX(V318,W317))</f>
        <v/>
      </c>
      <c r="X318" s="42" t="str">
        <f aca="false">IF($B318="","",V318-W318)</f>
        <v/>
      </c>
      <c r="Y318" s="45" t="str">
        <f aca="false">IF($B318="","",X318/W318)</f>
        <v/>
      </c>
      <c r="Z318" s="36" t="str">
        <f aca="false">IF($B318="","",IF(T318="G",IF(N(Z317)&gt;0,Z317+1,1),IF(N(Z317)&lt;0,Z317-1,-1)))</f>
        <v/>
      </c>
      <c r="AA318" s="46" t="str">
        <f aca="false">IF($B318="","",B318-WEEKDAY(B318,2)+1)</f>
        <v/>
      </c>
      <c r="AB318" s="47" t="str">
        <f aca="false">IF($B318="","",DATE(YEAR(B318),MONTH(B318),1))</f>
        <v/>
      </c>
      <c r="AC318" s="41" t="str">
        <f aca="false">IF($B318="","",CHOOSE(WEEKDAY(B318,2),"Lunes","Martes","Miércoles","Jueves","Viernes","Sábado","Domingo"))</f>
        <v/>
      </c>
      <c r="AD318" s="36" t="str">
        <f aca="false">IF($B318="","",HOUR(C318))</f>
        <v/>
      </c>
      <c r="AE318" s="42" t="str">
        <f aca="false">IF($B318="","",IF(O318&lt;&gt;O317,MAX(V318-S318,V318),MAX(V318,AE317)))</f>
        <v/>
      </c>
      <c r="AF318" s="42" t="str">
        <f aca="false">IF($B318="","",V318-AE318)</f>
        <v/>
      </c>
      <c r="AG318" s="36" t="str">
        <f aca="false">IF($B318="","",IF(O318&lt;&gt;O317,IF(T318="G",1,-1),IF(T318="G",IF(N(AG317)&gt;0,AG317+1,1),IF(N(AG317)&lt;0,AG317-1,-1))))</f>
        <v/>
      </c>
    </row>
    <row r="319" customFormat="false" ht="15" hidden="false" customHeight="false" outlineLevel="0" collapsed="false">
      <c r="A319" s="36" t="str">
        <f aca="false">IF(B319="","",ROW()-6)</f>
        <v/>
      </c>
      <c r="B319" s="37"/>
      <c r="C319" s="38"/>
      <c r="D319" s="38"/>
      <c r="E319" s="39"/>
      <c r="F319" s="39"/>
      <c r="G319" s="39"/>
      <c r="H319" s="40"/>
      <c r="I319" s="40"/>
      <c r="J319" s="40"/>
      <c r="K319" s="40"/>
      <c r="L319" s="39"/>
      <c r="M319" s="40"/>
      <c r="N319" s="40"/>
      <c r="O319" s="36" t="str">
        <f aca="false">IF($B319="","",INT((A319-1)/Parametros!$C$10)+1)</f>
        <v/>
      </c>
      <c r="P319" s="41" t="str">
        <f aca="false">IF($B319="","",IF(OR(C319="",D319=""),"",ROUND((D319-C319)*1440,0)))</f>
        <v/>
      </c>
      <c r="Q319" s="42" t="str">
        <f aca="false">IF($B319="","",I319*VLOOKUP(E319,Parametros!$B$18:$D$24,2,FALSE()))</f>
        <v/>
      </c>
      <c r="R319" s="42" t="str">
        <f aca="false">IF($B319="","",G319*VLOOKUP(E319,Parametros!$B$18:$D$24,3,FALSE()))</f>
        <v/>
      </c>
      <c r="S319" s="42" t="str">
        <f aca="false">IF($B319="","",Q319-R319)</f>
        <v/>
      </c>
      <c r="T319" s="43" t="str">
        <f aca="false">IF($B319="","",IF(S319&gt;0,"G","P"))</f>
        <v/>
      </c>
      <c r="U319" s="44" t="str">
        <f aca="false">IF($B319="","",S319/Parametros!$C$8)</f>
        <v/>
      </c>
      <c r="V319" s="42" t="str">
        <f aca="false">IF($B319="","",Parametros!$C$6+SUM($S$7:S319))</f>
        <v/>
      </c>
      <c r="W319" s="42" t="str">
        <f aca="false">IF($B319="","",MAX(V319,W318))</f>
        <v/>
      </c>
      <c r="X319" s="42" t="str">
        <f aca="false">IF($B319="","",V319-W319)</f>
        <v/>
      </c>
      <c r="Y319" s="45" t="str">
        <f aca="false">IF($B319="","",X319/W319)</f>
        <v/>
      </c>
      <c r="Z319" s="36" t="str">
        <f aca="false">IF($B319="","",IF(T319="G",IF(N(Z318)&gt;0,Z318+1,1),IF(N(Z318)&lt;0,Z318-1,-1)))</f>
        <v/>
      </c>
      <c r="AA319" s="46" t="str">
        <f aca="false">IF($B319="","",B319-WEEKDAY(B319,2)+1)</f>
        <v/>
      </c>
      <c r="AB319" s="47" t="str">
        <f aca="false">IF($B319="","",DATE(YEAR(B319),MONTH(B319),1))</f>
        <v/>
      </c>
      <c r="AC319" s="41" t="str">
        <f aca="false">IF($B319="","",CHOOSE(WEEKDAY(B319,2),"Lunes","Martes","Miércoles","Jueves","Viernes","Sábado","Domingo"))</f>
        <v/>
      </c>
      <c r="AD319" s="36" t="str">
        <f aca="false">IF($B319="","",HOUR(C319))</f>
        <v/>
      </c>
      <c r="AE319" s="42" t="str">
        <f aca="false">IF($B319="","",IF(O319&lt;&gt;O318,MAX(V319-S319,V319),MAX(V319,AE318)))</f>
        <v/>
      </c>
      <c r="AF319" s="42" t="str">
        <f aca="false">IF($B319="","",V319-AE319)</f>
        <v/>
      </c>
      <c r="AG319" s="36" t="str">
        <f aca="false">IF($B319="","",IF(O319&lt;&gt;O318,IF(T319="G",1,-1),IF(T319="G",IF(N(AG318)&gt;0,AG318+1,1),IF(N(AG318)&lt;0,AG318-1,-1))))</f>
        <v/>
      </c>
    </row>
    <row r="320" customFormat="false" ht="15" hidden="false" customHeight="false" outlineLevel="0" collapsed="false">
      <c r="A320" s="36" t="str">
        <f aca="false">IF(B320="","",ROW()-6)</f>
        <v/>
      </c>
      <c r="B320" s="37"/>
      <c r="C320" s="38"/>
      <c r="D320" s="38"/>
      <c r="E320" s="39"/>
      <c r="F320" s="39"/>
      <c r="G320" s="39"/>
      <c r="H320" s="40"/>
      <c r="I320" s="40"/>
      <c r="J320" s="40"/>
      <c r="K320" s="40"/>
      <c r="L320" s="39"/>
      <c r="M320" s="40"/>
      <c r="N320" s="40"/>
      <c r="O320" s="36" t="str">
        <f aca="false">IF($B320="","",INT((A320-1)/Parametros!$C$10)+1)</f>
        <v/>
      </c>
      <c r="P320" s="41" t="str">
        <f aca="false">IF($B320="","",IF(OR(C320="",D320=""),"",ROUND((D320-C320)*1440,0)))</f>
        <v/>
      </c>
      <c r="Q320" s="42" t="str">
        <f aca="false">IF($B320="","",I320*VLOOKUP(E320,Parametros!$B$18:$D$24,2,FALSE()))</f>
        <v/>
      </c>
      <c r="R320" s="42" t="str">
        <f aca="false">IF($B320="","",G320*VLOOKUP(E320,Parametros!$B$18:$D$24,3,FALSE()))</f>
        <v/>
      </c>
      <c r="S320" s="42" t="str">
        <f aca="false">IF($B320="","",Q320-R320)</f>
        <v/>
      </c>
      <c r="T320" s="43" t="str">
        <f aca="false">IF($B320="","",IF(S320&gt;0,"G","P"))</f>
        <v/>
      </c>
      <c r="U320" s="44" t="str">
        <f aca="false">IF($B320="","",S320/Parametros!$C$8)</f>
        <v/>
      </c>
      <c r="V320" s="42" t="str">
        <f aca="false">IF($B320="","",Parametros!$C$6+SUM($S$7:S320))</f>
        <v/>
      </c>
      <c r="W320" s="42" t="str">
        <f aca="false">IF($B320="","",MAX(V320,W319))</f>
        <v/>
      </c>
      <c r="X320" s="42" t="str">
        <f aca="false">IF($B320="","",V320-W320)</f>
        <v/>
      </c>
      <c r="Y320" s="45" t="str">
        <f aca="false">IF($B320="","",X320/W320)</f>
        <v/>
      </c>
      <c r="Z320" s="36" t="str">
        <f aca="false">IF($B320="","",IF(T320="G",IF(N(Z319)&gt;0,Z319+1,1),IF(N(Z319)&lt;0,Z319-1,-1)))</f>
        <v/>
      </c>
      <c r="AA320" s="46" t="str">
        <f aca="false">IF($B320="","",B320-WEEKDAY(B320,2)+1)</f>
        <v/>
      </c>
      <c r="AB320" s="47" t="str">
        <f aca="false">IF($B320="","",DATE(YEAR(B320),MONTH(B320),1))</f>
        <v/>
      </c>
      <c r="AC320" s="41" t="str">
        <f aca="false">IF($B320="","",CHOOSE(WEEKDAY(B320,2),"Lunes","Martes","Miércoles","Jueves","Viernes","Sábado","Domingo"))</f>
        <v/>
      </c>
      <c r="AD320" s="36" t="str">
        <f aca="false">IF($B320="","",HOUR(C320))</f>
        <v/>
      </c>
      <c r="AE320" s="42" t="str">
        <f aca="false">IF($B320="","",IF(O320&lt;&gt;O319,MAX(V320-S320,V320),MAX(V320,AE319)))</f>
        <v/>
      </c>
      <c r="AF320" s="42" t="str">
        <f aca="false">IF($B320="","",V320-AE320)</f>
        <v/>
      </c>
      <c r="AG320" s="36" t="str">
        <f aca="false">IF($B320="","",IF(O320&lt;&gt;O319,IF(T320="G",1,-1),IF(T320="G",IF(N(AG319)&gt;0,AG319+1,1),IF(N(AG319)&lt;0,AG319-1,-1))))</f>
        <v/>
      </c>
    </row>
    <row r="321" customFormat="false" ht="15" hidden="false" customHeight="false" outlineLevel="0" collapsed="false">
      <c r="A321" s="36" t="str">
        <f aca="false">IF(B321="","",ROW()-6)</f>
        <v/>
      </c>
      <c r="B321" s="37"/>
      <c r="C321" s="38"/>
      <c r="D321" s="38"/>
      <c r="E321" s="39"/>
      <c r="F321" s="39"/>
      <c r="G321" s="39"/>
      <c r="H321" s="40"/>
      <c r="I321" s="40"/>
      <c r="J321" s="40"/>
      <c r="K321" s="40"/>
      <c r="L321" s="39"/>
      <c r="M321" s="40"/>
      <c r="N321" s="40"/>
      <c r="O321" s="36" t="str">
        <f aca="false">IF($B321="","",INT((A321-1)/Parametros!$C$10)+1)</f>
        <v/>
      </c>
      <c r="P321" s="41" t="str">
        <f aca="false">IF($B321="","",IF(OR(C321="",D321=""),"",ROUND((D321-C321)*1440,0)))</f>
        <v/>
      </c>
      <c r="Q321" s="42" t="str">
        <f aca="false">IF($B321="","",I321*VLOOKUP(E321,Parametros!$B$18:$D$24,2,FALSE()))</f>
        <v/>
      </c>
      <c r="R321" s="42" t="str">
        <f aca="false">IF($B321="","",G321*VLOOKUP(E321,Parametros!$B$18:$D$24,3,FALSE()))</f>
        <v/>
      </c>
      <c r="S321" s="42" t="str">
        <f aca="false">IF($B321="","",Q321-R321)</f>
        <v/>
      </c>
      <c r="T321" s="43" t="str">
        <f aca="false">IF($B321="","",IF(S321&gt;0,"G","P"))</f>
        <v/>
      </c>
      <c r="U321" s="44" t="str">
        <f aca="false">IF($B321="","",S321/Parametros!$C$8)</f>
        <v/>
      </c>
      <c r="V321" s="42" t="str">
        <f aca="false">IF($B321="","",Parametros!$C$6+SUM($S$7:S321))</f>
        <v/>
      </c>
      <c r="W321" s="42" t="str">
        <f aca="false">IF($B321="","",MAX(V321,W320))</f>
        <v/>
      </c>
      <c r="X321" s="42" t="str">
        <f aca="false">IF($B321="","",V321-W321)</f>
        <v/>
      </c>
      <c r="Y321" s="45" t="str">
        <f aca="false">IF($B321="","",X321/W321)</f>
        <v/>
      </c>
      <c r="Z321" s="36" t="str">
        <f aca="false">IF($B321="","",IF(T321="G",IF(N(Z320)&gt;0,Z320+1,1),IF(N(Z320)&lt;0,Z320-1,-1)))</f>
        <v/>
      </c>
      <c r="AA321" s="46" t="str">
        <f aca="false">IF($B321="","",B321-WEEKDAY(B321,2)+1)</f>
        <v/>
      </c>
      <c r="AB321" s="47" t="str">
        <f aca="false">IF($B321="","",DATE(YEAR(B321),MONTH(B321),1))</f>
        <v/>
      </c>
      <c r="AC321" s="41" t="str">
        <f aca="false">IF($B321="","",CHOOSE(WEEKDAY(B321,2),"Lunes","Martes","Miércoles","Jueves","Viernes","Sábado","Domingo"))</f>
        <v/>
      </c>
      <c r="AD321" s="36" t="str">
        <f aca="false">IF($B321="","",HOUR(C321))</f>
        <v/>
      </c>
      <c r="AE321" s="42" t="str">
        <f aca="false">IF($B321="","",IF(O321&lt;&gt;O320,MAX(V321-S321,V321),MAX(V321,AE320)))</f>
        <v/>
      </c>
      <c r="AF321" s="42" t="str">
        <f aca="false">IF($B321="","",V321-AE321)</f>
        <v/>
      </c>
      <c r="AG321" s="36" t="str">
        <f aca="false">IF($B321="","",IF(O321&lt;&gt;O320,IF(T321="G",1,-1),IF(T321="G",IF(N(AG320)&gt;0,AG320+1,1),IF(N(AG320)&lt;0,AG320-1,-1))))</f>
        <v/>
      </c>
    </row>
    <row r="322" customFormat="false" ht="15" hidden="false" customHeight="false" outlineLevel="0" collapsed="false">
      <c r="A322" s="36" t="str">
        <f aca="false">IF(B322="","",ROW()-6)</f>
        <v/>
      </c>
      <c r="B322" s="37"/>
      <c r="C322" s="38"/>
      <c r="D322" s="38"/>
      <c r="E322" s="39"/>
      <c r="F322" s="39"/>
      <c r="G322" s="39"/>
      <c r="H322" s="40"/>
      <c r="I322" s="40"/>
      <c r="J322" s="40"/>
      <c r="K322" s="40"/>
      <c r="L322" s="39"/>
      <c r="M322" s="40"/>
      <c r="N322" s="40"/>
      <c r="O322" s="36" t="str">
        <f aca="false">IF($B322="","",INT((A322-1)/Parametros!$C$10)+1)</f>
        <v/>
      </c>
      <c r="P322" s="41" t="str">
        <f aca="false">IF($B322="","",IF(OR(C322="",D322=""),"",ROUND((D322-C322)*1440,0)))</f>
        <v/>
      </c>
      <c r="Q322" s="42" t="str">
        <f aca="false">IF($B322="","",I322*VLOOKUP(E322,Parametros!$B$18:$D$24,2,FALSE()))</f>
        <v/>
      </c>
      <c r="R322" s="42" t="str">
        <f aca="false">IF($B322="","",G322*VLOOKUP(E322,Parametros!$B$18:$D$24,3,FALSE()))</f>
        <v/>
      </c>
      <c r="S322" s="42" t="str">
        <f aca="false">IF($B322="","",Q322-R322)</f>
        <v/>
      </c>
      <c r="T322" s="43" t="str">
        <f aca="false">IF($B322="","",IF(S322&gt;0,"G","P"))</f>
        <v/>
      </c>
      <c r="U322" s="44" t="str">
        <f aca="false">IF($B322="","",S322/Parametros!$C$8)</f>
        <v/>
      </c>
      <c r="V322" s="42" t="str">
        <f aca="false">IF($B322="","",Parametros!$C$6+SUM($S$7:S322))</f>
        <v/>
      </c>
      <c r="W322" s="42" t="str">
        <f aca="false">IF($B322="","",MAX(V322,W321))</f>
        <v/>
      </c>
      <c r="X322" s="42" t="str">
        <f aca="false">IF($B322="","",V322-W322)</f>
        <v/>
      </c>
      <c r="Y322" s="45" t="str">
        <f aca="false">IF($B322="","",X322/W322)</f>
        <v/>
      </c>
      <c r="Z322" s="36" t="str">
        <f aca="false">IF($B322="","",IF(T322="G",IF(N(Z321)&gt;0,Z321+1,1),IF(N(Z321)&lt;0,Z321-1,-1)))</f>
        <v/>
      </c>
      <c r="AA322" s="46" t="str">
        <f aca="false">IF($B322="","",B322-WEEKDAY(B322,2)+1)</f>
        <v/>
      </c>
      <c r="AB322" s="47" t="str">
        <f aca="false">IF($B322="","",DATE(YEAR(B322),MONTH(B322),1))</f>
        <v/>
      </c>
      <c r="AC322" s="41" t="str">
        <f aca="false">IF($B322="","",CHOOSE(WEEKDAY(B322,2),"Lunes","Martes","Miércoles","Jueves","Viernes","Sábado","Domingo"))</f>
        <v/>
      </c>
      <c r="AD322" s="36" t="str">
        <f aca="false">IF($B322="","",HOUR(C322))</f>
        <v/>
      </c>
      <c r="AE322" s="42" t="str">
        <f aca="false">IF($B322="","",IF(O322&lt;&gt;O321,MAX(V322-S322,V322),MAX(V322,AE321)))</f>
        <v/>
      </c>
      <c r="AF322" s="42" t="str">
        <f aca="false">IF($B322="","",V322-AE322)</f>
        <v/>
      </c>
      <c r="AG322" s="36" t="str">
        <f aca="false">IF($B322="","",IF(O322&lt;&gt;O321,IF(T322="G",1,-1),IF(T322="G",IF(N(AG321)&gt;0,AG321+1,1),IF(N(AG321)&lt;0,AG321-1,-1))))</f>
        <v/>
      </c>
    </row>
    <row r="323" customFormat="false" ht="15" hidden="false" customHeight="false" outlineLevel="0" collapsed="false">
      <c r="A323" s="36" t="str">
        <f aca="false">IF(B323="","",ROW()-6)</f>
        <v/>
      </c>
      <c r="B323" s="37"/>
      <c r="C323" s="38"/>
      <c r="D323" s="38"/>
      <c r="E323" s="39"/>
      <c r="F323" s="39"/>
      <c r="G323" s="39"/>
      <c r="H323" s="40"/>
      <c r="I323" s="40"/>
      <c r="J323" s="40"/>
      <c r="K323" s="40"/>
      <c r="L323" s="39"/>
      <c r="M323" s="40"/>
      <c r="N323" s="40"/>
      <c r="O323" s="36" t="str">
        <f aca="false">IF($B323="","",INT((A323-1)/Parametros!$C$10)+1)</f>
        <v/>
      </c>
      <c r="P323" s="41" t="str">
        <f aca="false">IF($B323="","",IF(OR(C323="",D323=""),"",ROUND((D323-C323)*1440,0)))</f>
        <v/>
      </c>
      <c r="Q323" s="42" t="str">
        <f aca="false">IF($B323="","",I323*VLOOKUP(E323,Parametros!$B$18:$D$24,2,FALSE()))</f>
        <v/>
      </c>
      <c r="R323" s="42" t="str">
        <f aca="false">IF($B323="","",G323*VLOOKUP(E323,Parametros!$B$18:$D$24,3,FALSE()))</f>
        <v/>
      </c>
      <c r="S323" s="42" t="str">
        <f aca="false">IF($B323="","",Q323-R323)</f>
        <v/>
      </c>
      <c r="T323" s="43" t="str">
        <f aca="false">IF($B323="","",IF(S323&gt;0,"G","P"))</f>
        <v/>
      </c>
      <c r="U323" s="44" t="str">
        <f aca="false">IF($B323="","",S323/Parametros!$C$8)</f>
        <v/>
      </c>
      <c r="V323" s="42" t="str">
        <f aca="false">IF($B323="","",Parametros!$C$6+SUM($S$7:S323))</f>
        <v/>
      </c>
      <c r="W323" s="42" t="str">
        <f aca="false">IF($B323="","",MAX(V323,W322))</f>
        <v/>
      </c>
      <c r="X323" s="42" t="str">
        <f aca="false">IF($B323="","",V323-W323)</f>
        <v/>
      </c>
      <c r="Y323" s="45" t="str">
        <f aca="false">IF($B323="","",X323/W323)</f>
        <v/>
      </c>
      <c r="Z323" s="36" t="str">
        <f aca="false">IF($B323="","",IF(T323="G",IF(N(Z322)&gt;0,Z322+1,1),IF(N(Z322)&lt;0,Z322-1,-1)))</f>
        <v/>
      </c>
      <c r="AA323" s="46" t="str">
        <f aca="false">IF($B323="","",B323-WEEKDAY(B323,2)+1)</f>
        <v/>
      </c>
      <c r="AB323" s="47" t="str">
        <f aca="false">IF($B323="","",DATE(YEAR(B323),MONTH(B323),1))</f>
        <v/>
      </c>
      <c r="AC323" s="41" t="str">
        <f aca="false">IF($B323="","",CHOOSE(WEEKDAY(B323,2),"Lunes","Martes","Miércoles","Jueves","Viernes","Sábado","Domingo"))</f>
        <v/>
      </c>
      <c r="AD323" s="36" t="str">
        <f aca="false">IF($B323="","",HOUR(C323))</f>
        <v/>
      </c>
      <c r="AE323" s="42" t="str">
        <f aca="false">IF($B323="","",IF(O323&lt;&gt;O322,MAX(V323-S323,V323),MAX(V323,AE322)))</f>
        <v/>
      </c>
      <c r="AF323" s="42" t="str">
        <f aca="false">IF($B323="","",V323-AE323)</f>
        <v/>
      </c>
      <c r="AG323" s="36" t="str">
        <f aca="false">IF($B323="","",IF(O323&lt;&gt;O322,IF(T323="G",1,-1),IF(T323="G",IF(N(AG322)&gt;0,AG322+1,1),IF(N(AG322)&lt;0,AG322-1,-1))))</f>
        <v/>
      </c>
    </row>
    <row r="324" customFormat="false" ht="15" hidden="false" customHeight="false" outlineLevel="0" collapsed="false">
      <c r="A324" s="36" t="str">
        <f aca="false">IF(B324="","",ROW()-6)</f>
        <v/>
      </c>
      <c r="B324" s="37"/>
      <c r="C324" s="38"/>
      <c r="D324" s="38"/>
      <c r="E324" s="39"/>
      <c r="F324" s="39"/>
      <c r="G324" s="39"/>
      <c r="H324" s="40"/>
      <c r="I324" s="40"/>
      <c r="J324" s="40"/>
      <c r="K324" s="40"/>
      <c r="L324" s="39"/>
      <c r="M324" s="40"/>
      <c r="N324" s="40"/>
      <c r="O324" s="36" t="str">
        <f aca="false">IF($B324="","",INT((A324-1)/Parametros!$C$10)+1)</f>
        <v/>
      </c>
      <c r="P324" s="41" t="str">
        <f aca="false">IF($B324="","",IF(OR(C324="",D324=""),"",ROUND((D324-C324)*1440,0)))</f>
        <v/>
      </c>
      <c r="Q324" s="42" t="str">
        <f aca="false">IF($B324="","",I324*VLOOKUP(E324,Parametros!$B$18:$D$24,2,FALSE()))</f>
        <v/>
      </c>
      <c r="R324" s="42" t="str">
        <f aca="false">IF($B324="","",G324*VLOOKUP(E324,Parametros!$B$18:$D$24,3,FALSE()))</f>
        <v/>
      </c>
      <c r="S324" s="42" t="str">
        <f aca="false">IF($B324="","",Q324-R324)</f>
        <v/>
      </c>
      <c r="T324" s="43" t="str">
        <f aca="false">IF($B324="","",IF(S324&gt;0,"G","P"))</f>
        <v/>
      </c>
      <c r="U324" s="44" t="str">
        <f aca="false">IF($B324="","",S324/Parametros!$C$8)</f>
        <v/>
      </c>
      <c r="V324" s="42" t="str">
        <f aca="false">IF($B324="","",Parametros!$C$6+SUM($S$7:S324))</f>
        <v/>
      </c>
      <c r="W324" s="42" t="str">
        <f aca="false">IF($B324="","",MAX(V324,W323))</f>
        <v/>
      </c>
      <c r="X324" s="42" t="str">
        <f aca="false">IF($B324="","",V324-W324)</f>
        <v/>
      </c>
      <c r="Y324" s="45" t="str">
        <f aca="false">IF($B324="","",X324/W324)</f>
        <v/>
      </c>
      <c r="Z324" s="36" t="str">
        <f aca="false">IF($B324="","",IF(T324="G",IF(N(Z323)&gt;0,Z323+1,1),IF(N(Z323)&lt;0,Z323-1,-1)))</f>
        <v/>
      </c>
      <c r="AA324" s="46" t="str">
        <f aca="false">IF($B324="","",B324-WEEKDAY(B324,2)+1)</f>
        <v/>
      </c>
      <c r="AB324" s="47" t="str">
        <f aca="false">IF($B324="","",DATE(YEAR(B324),MONTH(B324),1))</f>
        <v/>
      </c>
      <c r="AC324" s="41" t="str">
        <f aca="false">IF($B324="","",CHOOSE(WEEKDAY(B324,2),"Lunes","Martes","Miércoles","Jueves","Viernes","Sábado","Domingo"))</f>
        <v/>
      </c>
      <c r="AD324" s="36" t="str">
        <f aca="false">IF($B324="","",HOUR(C324))</f>
        <v/>
      </c>
      <c r="AE324" s="42" t="str">
        <f aca="false">IF($B324="","",IF(O324&lt;&gt;O323,MAX(V324-S324,V324),MAX(V324,AE323)))</f>
        <v/>
      </c>
      <c r="AF324" s="42" t="str">
        <f aca="false">IF($B324="","",V324-AE324)</f>
        <v/>
      </c>
      <c r="AG324" s="36" t="str">
        <f aca="false">IF($B324="","",IF(O324&lt;&gt;O323,IF(T324="G",1,-1),IF(T324="G",IF(N(AG323)&gt;0,AG323+1,1),IF(N(AG323)&lt;0,AG323-1,-1))))</f>
        <v/>
      </c>
    </row>
    <row r="325" customFormat="false" ht="15" hidden="false" customHeight="false" outlineLevel="0" collapsed="false">
      <c r="A325" s="36" t="str">
        <f aca="false">IF(B325="","",ROW()-6)</f>
        <v/>
      </c>
      <c r="B325" s="37"/>
      <c r="C325" s="38"/>
      <c r="D325" s="38"/>
      <c r="E325" s="39"/>
      <c r="F325" s="39"/>
      <c r="G325" s="39"/>
      <c r="H325" s="40"/>
      <c r="I325" s="40"/>
      <c r="J325" s="40"/>
      <c r="K325" s="40"/>
      <c r="L325" s="39"/>
      <c r="M325" s="40"/>
      <c r="N325" s="40"/>
      <c r="O325" s="36" t="str">
        <f aca="false">IF($B325="","",INT((A325-1)/Parametros!$C$10)+1)</f>
        <v/>
      </c>
      <c r="P325" s="41" t="str">
        <f aca="false">IF($B325="","",IF(OR(C325="",D325=""),"",ROUND((D325-C325)*1440,0)))</f>
        <v/>
      </c>
      <c r="Q325" s="42" t="str">
        <f aca="false">IF($B325="","",I325*VLOOKUP(E325,Parametros!$B$18:$D$24,2,FALSE()))</f>
        <v/>
      </c>
      <c r="R325" s="42" t="str">
        <f aca="false">IF($B325="","",G325*VLOOKUP(E325,Parametros!$B$18:$D$24,3,FALSE()))</f>
        <v/>
      </c>
      <c r="S325" s="42" t="str">
        <f aca="false">IF($B325="","",Q325-R325)</f>
        <v/>
      </c>
      <c r="T325" s="43" t="str">
        <f aca="false">IF($B325="","",IF(S325&gt;0,"G","P"))</f>
        <v/>
      </c>
      <c r="U325" s="44" t="str">
        <f aca="false">IF($B325="","",S325/Parametros!$C$8)</f>
        <v/>
      </c>
      <c r="V325" s="42" t="str">
        <f aca="false">IF($B325="","",Parametros!$C$6+SUM($S$7:S325))</f>
        <v/>
      </c>
      <c r="W325" s="42" t="str">
        <f aca="false">IF($B325="","",MAX(V325,W324))</f>
        <v/>
      </c>
      <c r="X325" s="42" t="str">
        <f aca="false">IF($B325="","",V325-W325)</f>
        <v/>
      </c>
      <c r="Y325" s="45" t="str">
        <f aca="false">IF($B325="","",X325/W325)</f>
        <v/>
      </c>
      <c r="Z325" s="36" t="str">
        <f aca="false">IF($B325="","",IF(T325="G",IF(N(Z324)&gt;0,Z324+1,1),IF(N(Z324)&lt;0,Z324-1,-1)))</f>
        <v/>
      </c>
      <c r="AA325" s="46" t="str">
        <f aca="false">IF($B325="","",B325-WEEKDAY(B325,2)+1)</f>
        <v/>
      </c>
      <c r="AB325" s="47" t="str">
        <f aca="false">IF($B325="","",DATE(YEAR(B325),MONTH(B325),1))</f>
        <v/>
      </c>
      <c r="AC325" s="41" t="str">
        <f aca="false">IF($B325="","",CHOOSE(WEEKDAY(B325,2),"Lunes","Martes","Miércoles","Jueves","Viernes","Sábado","Domingo"))</f>
        <v/>
      </c>
      <c r="AD325" s="36" t="str">
        <f aca="false">IF($B325="","",HOUR(C325))</f>
        <v/>
      </c>
      <c r="AE325" s="42" t="str">
        <f aca="false">IF($B325="","",IF(O325&lt;&gt;O324,MAX(V325-S325,V325),MAX(V325,AE324)))</f>
        <v/>
      </c>
      <c r="AF325" s="42" t="str">
        <f aca="false">IF($B325="","",V325-AE325)</f>
        <v/>
      </c>
      <c r="AG325" s="36" t="str">
        <f aca="false">IF($B325="","",IF(O325&lt;&gt;O324,IF(T325="G",1,-1),IF(T325="G",IF(N(AG324)&gt;0,AG324+1,1),IF(N(AG324)&lt;0,AG324-1,-1))))</f>
        <v/>
      </c>
    </row>
    <row r="326" customFormat="false" ht="15" hidden="false" customHeight="false" outlineLevel="0" collapsed="false">
      <c r="A326" s="36" t="str">
        <f aca="false">IF(B326="","",ROW()-6)</f>
        <v/>
      </c>
      <c r="B326" s="37"/>
      <c r="C326" s="38"/>
      <c r="D326" s="38"/>
      <c r="E326" s="39"/>
      <c r="F326" s="39"/>
      <c r="G326" s="39"/>
      <c r="H326" s="40"/>
      <c r="I326" s="40"/>
      <c r="J326" s="40"/>
      <c r="K326" s="40"/>
      <c r="L326" s="39"/>
      <c r="M326" s="40"/>
      <c r="N326" s="40"/>
      <c r="O326" s="36" t="str">
        <f aca="false">IF($B326="","",INT((A326-1)/Parametros!$C$10)+1)</f>
        <v/>
      </c>
      <c r="P326" s="41" t="str">
        <f aca="false">IF($B326="","",IF(OR(C326="",D326=""),"",ROUND((D326-C326)*1440,0)))</f>
        <v/>
      </c>
      <c r="Q326" s="42" t="str">
        <f aca="false">IF($B326="","",I326*VLOOKUP(E326,Parametros!$B$18:$D$24,2,FALSE()))</f>
        <v/>
      </c>
      <c r="R326" s="42" t="str">
        <f aca="false">IF($B326="","",G326*VLOOKUP(E326,Parametros!$B$18:$D$24,3,FALSE()))</f>
        <v/>
      </c>
      <c r="S326" s="42" t="str">
        <f aca="false">IF($B326="","",Q326-R326)</f>
        <v/>
      </c>
      <c r="T326" s="43" t="str">
        <f aca="false">IF($B326="","",IF(S326&gt;0,"G","P"))</f>
        <v/>
      </c>
      <c r="U326" s="44" t="str">
        <f aca="false">IF($B326="","",S326/Parametros!$C$8)</f>
        <v/>
      </c>
      <c r="V326" s="42" t="str">
        <f aca="false">IF($B326="","",Parametros!$C$6+SUM($S$7:S326))</f>
        <v/>
      </c>
      <c r="W326" s="42" t="str">
        <f aca="false">IF($B326="","",MAX(V326,W325))</f>
        <v/>
      </c>
      <c r="X326" s="42" t="str">
        <f aca="false">IF($B326="","",V326-W326)</f>
        <v/>
      </c>
      <c r="Y326" s="45" t="str">
        <f aca="false">IF($B326="","",X326/W326)</f>
        <v/>
      </c>
      <c r="Z326" s="36" t="str">
        <f aca="false">IF($B326="","",IF(T326="G",IF(N(Z325)&gt;0,Z325+1,1),IF(N(Z325)&lt;0,Z325-1,-1)))</f>
        <v/>
      </c>
      <c r="AA326" s="46" t="str">
        <f aca="false">IF($B326="","",B326-WEEKDAY(B326,2)+1)</f>
        <v/>
      </c>
      <c r="AB326" s="47" t="str">
        <f aca="false">IF($B326="","",DATE(YEAR(B326),MONTH(B326),1))</f>
        <v/>
      </c>
      <c r="AC326" s="41" t="str">
        <f aca="false">IF($B326="","",CHOOSE(WEEKDAY(B326,2),"Lunes","Martes","Miércoles","Jueves","Viernes","Sábado","Domingo"))</f>
        <v/>
      </c>
      <c r="AD326" s="36" t="str">
        <f aca="false">IF($B326="","",HOUR(C326))</f>
        <v/>
      </c>
      <c r="AE326" s="42" t="str">
        <f aca="false">IF($B326="","",IF(O326&lt;&gt;O325,MAX(V326-S326,V326),MAX(V326,AE325)))</f>
        <v/>
      </c>
      <c r="AF326" s="42" t="str">
        <f aca="false">IF($B326="","",V326-AE326)</f>
        <v/>
      </c>
      <c r="AG326" s="36" t="str">
        <f aca="false">IF($B326="","",IF(O326&lt;&gt;O325,IF(T326="G",1,-1),IF(T326="G",IF(N(AG325)&gt;0,AG325+1,1),IF(N(AG325)&lt;0,AG325-1,-1))))</f>
        <v/>
      </c>
    </row>
    <row r="327" customFormat="false" ht="15" hidden="false" customHeight="false" outlineLevel="0" collapsed="false">
      <c r="A327" s="36" t="str">
        <f aca="false">IF(B327="","",ROW()-6)</f>
        <v/>
      </c>
      <c r="B327" s="37"/>
      <c r="C327" s="38"/>
      <c r="D327" s="38"/>
      <c r="E327" s="39"/>
      <c r="F327" s="39"/>
      <c r="G327" s="39"/>
      <c r="H327" s="40"/>
      <c r="I327" s="40"/>
      <c r="J327" s="40"/>
      <c r="K327" s="40"/>
      <c r="L327" s="39"/>
      <c r="M327" s="40"/>
      <c r="N327" s="40"/>
      <c r="O327" s="36" t="str">
        <f aca="false">IF($B327="","",INT((A327-1)/Parametros!$C$10)+1)</f>
        <v/>
      </c>
      <c r="P327" s="41" t="str">
        <f aca="false">IF($B327="","",IF(OR(C327="",D327=""),"",ROUND((D327-C327)*1440,0)))</f>
        <v/>
      </c>
      <c r="Q327" s="42" t="str">
        <f aca="false">IF($B327="","",I327*VLOOKUP(E327,Parametros!$B$18:$D$24,2,FALSE()))</f>
        <v/>
      </c>
      <c r="R327" s="42" t="str">
        <f aca="false">IF($B327="","",G327*VLOOKUP(E327,Parametros!$B$18:$D$24,3,FALSE()))</f>
        <v/>
      </c>
      <c r="S327" s="42" t="str">
        <f aca="false">IF($B327="","",Q327-R327)</f>
        <v/>
      </c>
      <c r="T327" s="43" t="str">
        <f aca="false">IF($B327="","",IF(S327&gt;0,"G","P"))</f>
        <v/>
      </c>
      <c r="U327" s="44" t="str">
        <f aca="false">IF($B327="","",S327/Parametros!$C$8)</f>
        <v/>
      </c>
      <c r="V327" s="42" t="str">
        <f aca="false">IF($B327="","",Parametros!$C$6+SUM($S$7:S327))</f>
        <v/>
      </c>
      <c r="W327" s="42" t="str">
        <f aca="false">IF($B327="","",MAX(V327,W326))</f>
        <v/>
      </c>
      <c r="X327" s="42" t="str">
        <f aca="false">IF($B327="","",V327-W327)</f>
        <v/>
      </c>
      <c r="Y327" s="45" t="str">
        <f aca="false">IF($B327="","",X327/W327)</f>
        <v/>
      </c>
      <c r="Z327" s="36" t="str">
        <f aca="false">IF($B327="","",IF(T327="G",IF(N(Z326)&gt;0,Z326+1,1),IF(N(Z326)&lt;0,Z326-1,-1)))</f>
        <v/>
      </c>
      <c r="AA327" s="46" t="str">
        <f aca="false">IF($B327="","",B327-WEEKDAY(B327,2)+1)</f>
        <v/>
      </c>
      <c r="AB327" s="47" t="str">
        <f aca="false">IF($B327="","",DATE(YEAR(B327),MONTH(B327),1))</f>
        <v/>
      </c>
      <c r="AC327" s="41" t="str">
        <f aca="false">IF($B327="","",CHOOSE(WEEKDAY(B327,2),"Lunes","Martes","Miércoles","Jueves","Viernes","Sábado","Domingo"))</f>
        <v/>
      </c>
      <c r="AD327" s="36" t="str">
        <f aca="false">IF($B327="","",HOUR(C327))</f>
        <v/>
      </c>
      <c r="AE327" s="42" t="str">
        <f aca="false">IF($B327="","",IF(O327&lt;&gt;O326,MAX(V327-S327,V327),MAX(V327,AE326)))</f>
        <v/>
      </c>
      <c r="AF327" s="42" t="str">
        <f aca="false">IF($B327="","",V327-AE327)</f>
        <v/>
      </c>
      <c r="AG327" s="36" t="str">
        <f aca="false">IF($B327="","",IF(O327&lt;&gt;O326,IF(T327="G",1,-1),IF(T327="G",IF(N(AG326)&gt;0,AG326+1,1),IF(N(AG326)&lt;0,AG326-1,-1))))</f>
        <v/>
      </c>
    </row>
    <row r="328" customFormat="false" ht="15" hidden="false" customHeight="false" outlineLevel="0" collapsed="false">
      <c r="A328" s="36" t="str">
        <f aca="false">IF(B328="","",ROW()-6)</f>
        <v/>
      </c>
      <c r="B328" s="37"/>
      <c r="C328" s="38"/>
      <c r="D328" s="38"/>
      <c r="E328" s="39"/>
      <c r="F328" s="39"/>
      <c r="G328" s="39"/>
      <c r="H328" s="40"/>
      <c r="I328" s="40"/>
      <c r="J328" s="40"/>
      <c r="K328" s="40"/>
      <c r="L328" s="39"/>
      <c r="M328" s="40"/>
      <c r="N328" s="40"/>
      <c r="O328" s="36" t="str">
        <f aca="false">IF($B328="","",INT((A328-1)/Parametros!$C$10)+1)</f>
        <v/>
      </c>
      <c r="P328" s="41" t="str">
        <f aca="false">IF($B328="","",IF(OR(C328="",D328=""),"",ROUND((D328-C328)*1440,0)))</f>
        <v/>
      </c>
      <c r="Q328" s="42" t="str">
        <f aca="false">IF($B328="","",I328*VLOOKUP(E328,Parametros!$B$18:$D$24,2,FALSE()))</f>
        <v/>
      </c>
      <c r="R328" s="42" t="str">
        <f aca="false">IF($B328="","",G328*VLOOKUP(E328,Parametros!$B$18:$D$24,3,FALSE()))</f>
        <v/>
      </c>
      <c r="S328" s="42" t="str">
        <f aca="false">IF($B328="","",Q328-R328)</f>
        <v/>
      </c>
      <c r="T328" s="43" t="str">
        <f aca="false">IF($B328="","",IF(S328&gt;0,"G","P"))</f>
        <v/>
      </c>
      <c r="U328" s="44" t="str">
        <f aca="false">IF($B328="","",S328/Parametros!$C$8)</f>
        <v/>
      </c>
      <c r="V328" s="42" t="str">
        <f aca="false">IF($B328="","",Parametros!$C$6+SUM($S$7:S328))</f>
        <v/>
      </c>
      <c r="W328" s="42" t="str">
        <f aca="false">IF($B328="","",MAX(V328,W327))</f>
        <v/>
      </c>
      <c r="X328" s="42" t="str">
        <f aca="false">IF($B328="","",V328-W328)</f>
        <v/>
      </c>
      <c r="Y328" s="45" t="str">
        <f aca="false">IF($B328="","",X328/W328)</f>
        <v/>
      </c>
      <c r="Z328" s="36" t="str">
        <f aca="false">IF($B328="","",IF(T328="G",IF(N(Z327)&gt;0,Z327+1,1),IF(N(Z327)&lt;0,Z327-1,-1)))</f>
        <v/>
      </c>
      <c r="AA328" s="46" t="str">
        <f aca="false">IF($B328="","",B328-WEEKDAY(B328,2)+1)</f>
        <v/>
      </c>
      <c r="AB328" s="47" t="str">
        <f aca="false">IF($B328="","",DATE(YEAR(B328),MONTH(B328),1))</f>
        <v/>
      </c>
      <c r="AC328" s="41" t="str">
        <f aca="false">IF($B328="","",CHOOSE(WEEKDAY(B328,2),"Lunes","Martes","Miércoles","Jueves","Viernes","Sábado","Domingo"))</f>
        <v/>
      </c>
      <c r="AD328" s="36" t="str">
        <f aca="false">IF($B328="","",HOUR(C328))</f>
        <v/>
      </c>
      <c r="AE328" s="42" t="str">
        <f aca="false">IF($B328="","",IF(O328&lt;&gt;O327,MAX(V328-S328,V328),MAX(V328,AE327)))</f>
        <v/>
      </c>
      <c r="AF328" s="42" t="str">
        <f aca="false">IF($B328="","",V328-AE328)</f>
        <v/>
      </c>
      <c r="AG328" s="36" t="str">
        <f aca="false">IF($B328="","",IF(O328&lt;&gt;O327,IF(T328="G",1,-1),IF(T328="G",IF(N(AG327)&gt;0,AG327+1,1),IF(N(AG327)&lt;0,AG327-1,-1))))</f>
        <v/>
      </c>
    </row>
    <row r="329" customFormat="false" ht="15" hidden="false" customHeight="false" outlineLevel="0" collapsed="false">
      <c r="A329" s="36" t="str">
        <f aca="false">IF(B329="","",ROW()-6)</f>
        <v/>
      </c>
      <c r="B329" s="37"/>
      <c r="C329" s="38"/>
      <c r="D329" s="38"/>
      <c r="E329" s="39"/>
      <c r="F329" s="39"/>
      <c r="G329" s="39"/>
      <c r="H329" s="40"/>
      <c r="I329" s="40"/>
      <c r="J329" s="40"/>
      <c r="K329" s="40"/>
      <c r="L329" s="39"/>
      <c r="M329" s="40"/>
      <c r="N329" s="40"/>
      <c r="O329" s="36" t="str">
        <f aca="false">IF($B329="","",INT((A329-1)/Parametros!$C$10)+1)</f>
        <v/>
      </c>
      <c r="P329" s="41" t="str">
        <f aca="false">IF($B329="","",IF(OR(C329="",D329=""),"",ROUND((D329-C329)*1440,0)))</f>
        <v/>
      </c>
      <c r="Q329" s="42" t="str">
        <f aca="false">IF($B329="","",I329*VLOOKUP(E329,Parametros!$B$18:$D$24,2,FALSE()))</f>
        <v/>
      </c>
      <c r="R329" s="42" t="str">
        <f aca="false">IF($B329="","",G329*VLOOKUP(E329,Parametros!$B$18:$D$24,3,FALSE()))</f>
        <v/>
      </c>
      <c r="S329" s="42" t="str">
        <f aca="false">IF($B329="","",Q329-R329)</f>
        <v/>
      </c>
      <c r="T329" s="43" t="str">
        <f aca="false">IF($B329="","",IF(S329&gt;0,"G","P"))</f>
        <v/>
      </c>
      <c r="U329" s="44" t="str">
        <f aca="false">IF($B329="","",S329/Parametros!$C$8)</f>
        <v/>
      </c>
      <c r="V329" s="42" t="str">
        <f aca="false">IF($B329="","",Parametros!$C$6+SUM($S$7:S329))</f>
        <v/>
      </c>
      <c r="W329" s="42" t="str">
        <f aca="false">IF($B329="","",MAX(V329,W328))</f>
        <v/>
      </c>
      <c r="X329" s="42" t="str">
        <f aca="false">IF($B329="","",V329-W329)</f>
        <v/>
      </c>
      <c r="Y329" s="45" t="str">
        <f aca="false">IF($B329="","",X329/W329)</f>
        <v/>
      </c>
      <c r="Z329" s="36" t="str">
        <f aca="false">IF($B329="","",IF(T329="G",IF(N(Z328)&gt;0,Z328+1,1),IF(N(Z328)&lt;0,Z328-1,-1)))</f>
        <v/>
      </c>
      <c r="AA329" s="46" t="str">
        <f aca="false">IF($B329="","",B329-WEEKDAY(B329,2)+1)</f>
        <v/>
      </c>
      <c r="AB329" s="47" t="str">
        <f aca="false">IF($B329="","",DATE(YEAR(B329),MONTH(B329),1))</f>
        <v/>
      </c>
      <c r="AC329" s="41" t="str">
        <f aca="false">IF($B329="","",CHOOSE(WEEKDAY(B329,2),"Lunes","Martes","Miércoles","Jueves","Viernes","Sábado","Domingo"))</f>
        <v/>
      </c>
      <c r="AD329" s="36" t="str">
        <f aca="false">IF($B329="","",HOUR(C329))</f>
        <v/>
      </c>
      <c r="AE329" s="42" t="str">
        <f aca="false">IF($B329="","",IF(O329&lt;&gt;O328,MAX(V329-S329,V329),MAX(V329,AE328)))</f>
        <v/>
      </c>
      <c r="AF329" s="42" t="str">
        <f aca="false">IF($B329="","",V329-AE329)</f>
        <v/>
      </c>
      <c r="AG329" s="36" t="str">
        <f aca="false">IF($B329="","",IF(O329&lt;&gt;O328,IF(T329="G",1,-1),IF(T329="G",IF(N(AG328)&gt;0,AG328+1,1),IF(N(AG328)&lt;0,AG328-1,-1))))</f>
        <v/>
      </c>
    </row>
    <row r="330" customFormat="false" ht="15" hidden="false" customHeight="false" outlineLevel="0" collapsed="false">
      <c r="A330" s="36" t="str">
        <f aca="false">IF(B330="","",ROW()-6)</f>
        <v/>
      </c>
      <c r="B330" s="37"/>
      <c r="C330" s="38"/>
      <c r="D330" s="38"/>
      <c r="E330" s="39"/>
      <c r="F330" s="39"/>
      <c r="G330" s="39"/>
      <c r="H330" s="40"/>
      <c r="I330" s="40"/>
      <c r="J330" s="40"/>
      <c r="K330" s="40"/>
      <c r="L330" s="39"/>
      <c r="M330" s="40"/>
      <c r="N330" s="40"/>
      <c r="O330" s="36" t="str">
        <f aca="false">IF($B330="","",INT((A330-1)/Parametros!$C$10)+1)</f>
        <v/>
      </c>
      <c r="P330" s="41" t="str">
        <f aca="false">IF($B330="","",IF(OR(C330="",D330=""),"",ROUND((D330-C330)*1440,0)))</f>
        <v/>
      </c>
      <c r="Q330" s="42" t="str">
        <f aca="false">IF($B330="","",I330*VLOOKUP(E330,Parametros!$B$18:$D$24,2,FALSE()))</f>
        <v/>
      </c>
      <c r="R330" s="42" t="str">
        <f aca="false">IF($B330="","",G330*VLOOKUP(E330,Parametros!$B$18:$D$24,3,FALSE()))</f>
        <v/>
      </c>
      <c r="S330" s="42" t="str">
        <f aca="false">IF($B330="","",Q330-R330)</f>
        <v/>
      </c>
      <c r="T330" s="43" t="str">
        <f aca="false">IF($B330="","",IF(S330&gt;0,"G","P"))</f>
        <v/>
      </c>
      <c r="U330" s="44" t="str">
        <f aca="false">IF($B330="","",S330/Parametros!$C$8)</f>
        <v/>
      </c>
      <c r="V330" s="42" t="str">
        <f aca="false">IF($B330="","",Parametros!$C$6+SUM($S$7:S330))</f>
        <v/>
      </c>
      <c r="W330" s="42" t="str">
        <f aca="false">IF($B330="","",MAX(V330,W329))</f>
        <v/>
      </c>
      <c r="X330" s="42" t="str">
        <f aca="false">IF($B330="","",V330-W330)</f>
        <v/>
      </c>
      <c r="Y330" s="45" t="str">
        <f aca="false">IF($B330="","",X330/W330)</f>
        <v/>
      </c>
      <c r="Z330" s="36" t="str">
        <f aca="false">IF($B330="","",IF(T330="G",IF(N(Z329)&gt;0,Z329+1,1),IF(N(Z329)&lt;0,Z329-1,-1)))</f>
        <v/>
      </c>
      <c r="AA330" s="46" t="str">
        <f aca="false">IF($B330="","",B330-WEEKDAY(B330,2)+1)</f>
        <v/>
      </c>
      <c r="AB330" s="47" t="str">
        <f aca="false">IF($B330="","",DATE(YEAR(B330),MONTH(B330),1))</f>
        <v/>
      </c>
      <c r="AC330" s="41" t="str">
        <f aca="false">IF($B330="","",CHOOSE(WEEKDAY(B330,2),"Lunes","Martes","Miércoles","Jueves","Viernes","Sábado","Domingo"))</f>
        <v/>
      </c>
      <c r="AD330" s="36" t="str">
        <f aca="false">IF($B330="","",HOUR(C330))</f>
        <v/>
      </c>
      <c r="AE330" s="42" t="str">
        <f aca="false">IF($B330="","",IF(O330&lt;&gt;O329,MAX(V330-S330,V330),MAX(V330,AE329)))</f>
        <v/>
      </c>
      <c r="AF330" s="42" t="str">
        <f aca="false">IF($B330="","",V330-AE330)</f>
        <v/>
      </c>
      <c r="AG330" s="36" t="str">
        <f aca="false">IF($B330="","",IF(O330&lt;&gt;O329,IF(T330="G",1,-1),IF(T330="G",IF(N(AG329)&gt;0,AG329+1,1),IF(N(AG329)&lt;0,AG329-1,-1))))</f>
        <v/>
      </c>
    </row>
    <row r="331" customFormat="false" ht="15" hidden="false" customHeight="false" outlineLevel="0" collapsed="false">
      <c r="A331" s="36" t="str">
        <f aca="false">IF(B331="","",ROW()-6)</f>
        <v/>
      </c>
      <c r="B331" s="37"/>
      <c r="C331" s="38"/>
      <c r="D331" s="38"/>
      <c r="E331" s="39"/>
      <c r="F331" s="39"/>
      <c r="G331" s="39"/>
      <c r="H331" s="40"/>
      <c r="I331" s="40"/>
      <c r="J331" s="40"/>
      <c r="K331" s="40"/>
      <c r="L331" s="39"/>
      <c r="M331" s="40"/>
      <c r="N331" s="40"/>
      <c r="O331" s="36" t="str">
        <f aca="false">IF($B331="","",INT((A331-1)/Parametros!$C$10)+1)</f>
        <v/>
      </c>
      <c r="P331" s="41" t="str">
        <f aca="false">IF($B331="","",IF(OR(C331="",D331=""),"",ROUND((D331-C331)*1440,0)))</f>
        <v/>
      </c>
      <c r="Q331" s="42" t="str">
        <f aca="false">IF($B331="","",I331*VLOOKUP(E331,Parametros!$B$18:$D$24,2,FALSE()))</f>
        <v/>
      </c>
      <c r="R331" s="42" t="str">
        <f aca="false">IF($B331="","",G331*VLOOKUP(E331,Parametros!$B$18:$D$24,3,FALSE()))</f>
        <v/>
      </c>
      <c r="S331" s="42" t="str">
        <f aca="false">IF($B331="","",Q331-R331)</f>
        <v/>
      </c>
      <c r="T331" s="43" t="str">
        <f aca="false">IF($B331="","",IF(S331&gt;0,"G","P"))</f>
        <v/>
      </c>
      <c r="U331" s="44" t="str">
        <f aca="false">IF($B331="","",S331/Parametros!$C$8)</f>
        <v/>
      </c>
      <c r="V331" s="42" t="str">
        <f aca="false">IF($B331="","",Parametros!$C$6+SUM($S$7:S331))</f>
        <v/>
      </c>
      <c r="W331" s="42" t="str">
        <f aca="false">IF($B331="","",MAX(V331,W330))</f>
        <v/>
      </c>
      <c r="X331" s="42" t="str">
        <f aca="false">IF($B331="","",V331-W331)</f>
        <v/>
      </c>
      <c r="Y331" s="45" t="str">
        <f aca="false">IF($B331="","",X331/W331)</f>
        <v/>
      </c>
      <c r="Z331" s="36" t="str">
        <f aca="false">IF($B331="","",IF(T331="G",IF(N(Z330)&gt;0,Z330+1,1),IF(N(Z330)&lt;0,Z330-1,-1)))</f>
        <v/>
      </c>
      <c r="AA331" s="46" t="str">
        <f aca="false">IF($B331="","",B331-WEEKDAY(B331,2)+1)</f>
        <v/>
      </c>
      <c r="AB331" s="47" t="str">
        <f aca="false">IF($B331="","",DATE(YEAR(B331),MONTH(B331),1))</f>
        <v/>
      </c>
      <c r="AC331" s="41" t="str">
        <f aca="false">IF($B331="","",CHOOSE(WEEKDAY(B331,2),"Lunes","Martes","Miércoles","Jueves","Viernes","Sábado","Domingo"))</f>
        <v/>
      </c>
      <c r="AD331" s="36" t="str">
        <f aca="false">IF($B331="","",HOUR(C331))</f>
        <v/>
      </c>
      <c r="AE331" s="42" t="str">
        <f aca="false">IF($B331="","",IF(O331&lt;&gt;O330,MAX(V331-S331,V331),MAX(V331,AE330)))</f>
        <v/>
      </c>
      <c r="AF331" s="42" t="str">
        <f aca="false">IF($B331="","",V331-AE331)</f>
        <v/>
      </c>
      <c r="AG331" s="36" t="str">
        <f aca="false">IF($B331="","",IF(O331&lt;&gt;O330,IF(T331="G",1,-1),IF(T331="G",IF(N(AG330)&gt;0,AG330+1,1),IF(N(AG330)&lt;0,AG330-1,-1))))</f>
        <v/>
      </c>
    </row>
    <row r="332" customFormat="false" ht="15" hidden="false" customHeight="false" outlineLevel="0" collapsed="false">
      <c r="A332" s="36" t="str">
        <f aca="false">IF(B332="","",ROW()-6)</f>
        <v/>
      </c>
      <c r="B332" s="37"/>
      <c r="C332" s="38"/>
      <c r="D332" s="38"/>
      <c r="E332" s="39"/>
      <c r="F332" s="39"/>
      <c r="G332" s="39"/>
      <c r="H332" s="40"/>
      <c r="I332" s="40"/>
      <c r="J332" s="40"/>
      <c r="K332" s="40"/>
      <c r="L332" s="39"/>
      <c r="M332" s="40"/>
      <c r="N332" s="40"/>
      <c r="O332" s="36" t="str">
        <f aca="false">IF($B332="","",INT((A332-1)/Parametros!$C$10)+1)</f>
        <v/>
      </c>
      <c r="P332" s="41" t="str">
        <f aca="false">IF($B332="","",IF(OR(C332="",D332=""),"",ROUND((D332-C332)*1440,0)))</f>
        <v/>
      </c>
      <c r="Q332" s="42" t="str">
        <f aca="false">IF($B332="","",I332*VLOOKUP(E332,Parametros!$B$18:$D$24,2,FALSE()))</f>
        <v/>
      </c>
      <c r="R332" s="42" t="str">
        <f aca="false">IF($B332="","",G332*VLOOKUP(E332,Parametros!$B$18:$D$24,3,FALSE()))</f>
        <v/>
      </c>
      <c r="S332" s="42" t="str">
        <f aca="false">IF($B332="","",Q332-R332)</f>
        <v/>
      </c>
      <c r="T332" s="43" t="str">
        <f aca="false">IF($B332="","",IF(S332&gt;0,"G","P"))</f>
        <v/>
      </c>
      <c r="U332" s="44" t="str">
        <f aca="false">IF($B332="","",S332/Parametros!$C$8)</f>
        <v/>
      </c>
      <c r="V332" s="42" t="str">
        <f aca="false">IF($B332="","",Parametros!$C$6+SUM($S$7:S332))</f>
        <v/>
      </c>
      <c r="W332" s="42" t="str">
        <f aca="false">IF($B332="","",MAX(V332,W331))</f>
        <v/>
      </c>
      <c r="X332" s="42" t="str">
        <f aca="false">IF($B332="","",V332-W332)</f>
        <v/>
      </c>
      <c r="Y332" s="45" t="str">
        <f aca="false">IF($B332="","",X332/W332)</f>
        <v/>
      </c>
      <c r="Z332" s="36" t="str">
        <f aca="false">IF($B332="","",IF(T332="G",IF(N(Z331)&gt;0,Z331+1,1),IF(N(Z331)&lt;0,Z331-1,-1)))</f>
        <v/>
      </c>
      <c r="AA332" s="46" t="str">
        <f aca="false">IF($B332="","",B332-WEEKDAY(B332,2)+1)</f>
        <v/>
      </c>
      <c r="AB332" s="47" t="str">
        <f aca="false">IF($B332="","",DATE(YEAR(B332),MONTH(B332),1))</f>
        <v/>
      </c>
      <c r="AC332" s="41" t="str">
        <f aca="false">IF($B332="","",CHOOSE(WEEKDAY(B332,2),"Lunes","Martes","Miércoles","Jueves","Viernes","Sábado","Domingo"))</f>
        <v/>
      </c>
      <c r="AD332" s="36" t="str">
        <f aca="false">IF($B332="","",HOUR(C332))</f>
        <v/>
      </c>
      <c r="AE332" s="42" t="str">
        <f aca="false">IF($B332="","",IF(O332&lt;&gt;O331,MAX(V332-S332,V332),MAX(V332,AE331)))</f>
        <v/>
      </c>
      <c r="AF332" s="42" t="str">
        <f aca="false">IF($B332="","",V332-AE332)</f>
        <v/>
      </c>
      <c r="AG332" s="36" t="str">
        <f aca="false">IF($B332="","",IF(O332&lt;&gt;O331,IF(T332="G",1,-1),IF(T332="G",IF(N(AG331)&gt;0,AG331+1,1),IF(N(AG331)&lt;0,AG331-1,-1))))</f>
        <v/>
      </c>
    </row>
    <row r="333" customFormat="false" ht="15" hidden="false" customHeight="false" outlineLevel="0" collapsed="false">
      <c r="A333" s="36" t="str">
        <f aca="false">IF(B333="","",ROW()-6)</f>
        <v/>
      </c>
      <c r="B333" s="37"/>
      <c r="C333" s="38"/>
      <c r="D333" s="38"/>
      <c r="E333" s="39"/>
      <c r="F333" s="39"/>
      <c r="G333" s="39"/>
      <c r="H333" s="40"/>
      <c r="I333" s="40"/>
      <c r="J333" s="40"/>
      <c r="K333" s="40"/>
      <c r="L333" s="39"/>
      <c r="M333" s="40"/>
      <c r="N333" s="40"/>
      <c r="O333" s="36" t="str">
        <f aca="false">IF($B333="","",INT((A333-1)/Parametros!$C$10)+1)</f>
        <v/>
      </c>
      <c r="P333" s="41" t="str">
        <f aca="false">IF($B333="","",IF(OR(C333="",D333=""),"",ROUND((D333-C333)*1440,0)))</f>
        <v/>
      </c>
      <c r="Q333" s="42" t="str">
        <f aca="false">IF($B333="","",I333*VLOOKUP(E333,Parametros!$B$18:$D$24,2,FALSE()))</f>
        <v/>
      </c>
      <c r="R333" s="42" t="str">
        <f aca="false">IF($B333="","",G333*VLOOKUP(E333,Parametros!$B$18:$D$24,3,FALSE()))</f>
        <v/>
      </c>
      <c r="S333" s="42" t="str">
        <f aca="false">IF($B333="","",Q333-R333)</f>
        <v/>
      </c>
      <c r="T333" s="43" t="str">
        <f aca="false">IF($B333="","",IF(S333&gt;0,"G","P"))</f>
        <v/>
      </c>
      <c r="U333" s="44" t="str">
        <f aca="false">IF($B333="","",S333/Parametros!$C$8)</f>
        <v/>
      </c>
      <c r="V333" s="42" t="str">
        <f aca="false">IF($B333="","",Parametros!$C$6+SUM($S$7:S333))</f>
        <v/>
      </c>
      <c r="W333" s="42" t="str">
        <f aca="false">IF($B333="","",MAX(V333,W332))</f>
        <v/>
      </c>
      <c r="X333" s="42" t="str">
        <f aca="false">IF($B333="","",V333-W333)</f>
        <v/>
      </c>
      <c r="Y333" s="45" t="str">
        <f aca="false">IF($B333="","",X333/W333)</f>
        <v/>
      </c>
      <c r="Z333" s="36" t="str">
        <f aca="false">IF($B333="","",IF(T333="G",IF(N(Z332)&gt;0,Z332+1,1),IF(N(Z332)&lt;0,Z332-1,-1)))</f>
        <v/>
      </c>
      <c r="AA333" s="46" t="str">
        <f aca="false">IF($B333="","",B333-WEEKDAY(B333,2)+1)</f>
        <v/>
      </c>
      <c r="AB333" s="47" t="str">
        <f aca="false">IF($B333="","",DATE(YEAR(B333),MONTH(B333),1))</f>
        <v/>
      </c>
      <c r="AC333" s="41" t="str">
        <f aca="false">IF($B333="","",CHOOSE(WEEKDAY(B333,2),"Lunes","Martes","Miércoles","Jueves","Viernes","Sábado","Domingo"))</f>
        <v/>
      </c>
      <c r="AD333" s="36" t="str">
        <f aca="false">IF($B333="","",HOUR(C333))</f>
        <v/>
      </c>
      <c r="AE333" s="42" t="str">
        <f aca="false">IF($B333="","",IF(O333&lt;&gt;O332,MAX(V333-S333,V333),MAX(V333,AE332)))</f>
        <v/>
      </c>
      <c r="AF333" s="42" t="str">
        <f aca="false">IF($B333="","",V333-AE333)</f>
        <v/>
      </c>
      <c r="AG333" s="36" t="str">
        <f aca="false">IF($B333="","",IF(O333&lt;&gt;O332,IF(T333="G",1,-1),IF(T333="G",IF(N(AG332)&gt;0,AG332+1,1),IF(N(AG332)&lt;0,AG332-1,-1))))</f>
        <v/>
      </c>
    </row>
    <row r="334" customFormat="false" ht="15" hidden="false" customHeight="false" outlineLevel="0" collapsed="false">
      <c r="A334" s="36" t="str">
        <f aca="false">IF(B334="","",ROW()-6)</f>
        <v/>
      </c>
      <c r="B334" s="37"/>
      <c r="C334" s="38"/>
      <c r="D334" s="38"/>
      <c r="E334" s="39"/>
      <c r="F334" s="39"/>
      <c r="G334" s="39"/>
      <c r="H334" s="40"/>
      <c r="I334" s="40"/>
      <c r="J334" s="40"/>
      <c r="K334" s="40"/>
      <c r="L334" s="39"/>
      <c r="M334" s="40"/>
      <c r="N334" s="40"/>
      <c r="O334" s="36" t="str">
        <f aca="false">IF($B334="","",INT((A334-1)/Parametros!$C$10)+1)</f>
        <v/>
      </c>
      <c r="P334" s="41" t="str">
        <f aca="false">IF($B334="","",IF(OR(C334="",D334=""),"",ROUND((D334-C334)*1440,0)))</f>
        <v/>
      </c>
      <c r="Q334" s="42" t="str">
        <f aca="false">IF($B334="","",I334*VLOOKUP(E334,Parametros!$B$18:$D$24,2,FALSE()))</f>
        <v/>
      </c>
      <c r="R334" s="42" t="str">
        <f aca="false">IF($B334="","",G334*VLOOKUP(E334,Parametros!$B$18:$D$24,3,FALSE()))</f>
        <v/>
      </c>
      <c r="S334" s="42" t="str">
        <f aca="false">IF($B334="","",Q334-R334)</f>
        <v/>
      </c>
      <c r="T334" s="43" t="str">
        <f aca="false">IF($B334="","",IF(S334&gt;0,"G","P"))</f>
        <v/>
      </c>
      <c r="U334" s="44" t="str">
        <f aca="false">IF($B334="","",S334/Parametros!$C$8)</f>
        <v/>
      </c>
      <c r="V334" s="42" t="str">
        <f aca="false">IF($B334="","",Parametros!$C$6+SUM($S$7:S334))</f>
        <v/>
      </c>
      <c r="W334" s="42" t="str">
        <f aca="false">IF($B334="","",MAX(V334,W333))</f>
        <v/>
      </c>
      <c r="X334" s="42" t="str">
        <f aca="false">IF($B334="","",V334-W334)</f>
        <v/>
      </c>
      <c r="Y334" s="45" t="str">
        <f aca="false">IF($B334="","",X334/W334)</f>
        <v/>
      </c>
      <c r="Z334" s="36" t="str">
        <f aca="false">IF($B334="","",IF(T334="G",IF(N(Z333)&gt;0,Z333+1,1),IF(N(Z333)&lt;0,Z333-1,-1)))</f>
        <v/>
      </c>
      <c r="AA334" s="46" t="str">
        <f aca="false">IF($B334="","",B334-WEEKDAY(B334,2)+1)</f>
        <v/>
      </c>
      <c r="AB334" s="47" t="str">
        <f aca="false">IF($B334="","",DATE(YEAR(B334),MONTH(B334),1))</f>
        <v/>
      </c>
      <c r="AC334" s="41" t="str">
        <f aca="false">IF($B334="","",CHOOSE(WEEKDAY(B334,2),"Lunes","Martes","Miércoles","Jueves","Viernes","Sábado","Domingo"))</f>
        <v/>
      </c>
      <c r="AD334" s="36" t="str">
        <f aca="false">IF($B334="","",HOUR(C334))</f>
        <v/>
      </c>
      <c r="AE334" s="42" t="str">
        <f aca="false">IF($B334="","",IF(O334&lt;&gt;O333,MAX(V334-S334,V334),MAX(V334,AE333)))</f>
        <v/>
      </c>
      <c r="AF334" s="42" t="str">
        <f aca="false">IF($B334="","",V334-AE334)</f>
        <v/>
      </c>
      <c r="AG334" s="36" t="str">
        <f aca="false">IF($B334="","",IF(O334&lt;&gt;O333,IF(T334="G",1,-1),IF(T334="G",IF(N(AG333)&gt;0,AG333+1,1),IF(N(AG333)&lt;0,AG333-1,-1))))</f>
        <v/>
      </c>
    </row>
    <row r="335" customFormat="false" ht="15" hidden="false" customHeight="false" outlineLevel="0" collapsed="false">
      <c r="A335" s="36" t="str">
        <f aca="false">IF(B335="","",ROW()-6)</f>
        <v/>
      </c>
      <c r="B335" s="37"/>
      <c r="C335" s="38"/>
      <c r="D335" s="38"/>
      <c r="E335" s="39"/>
      <c r="F335" s="39"/>
      <c r="G335" s="39"/>
      <c r="H335" s="40"/>
      <c r="I335" s="40"/>
      <c r="J335" s="40"/>
      <c r="K335" s="40"/>
      <c r="L335" s="39"/>
      <c r="M335" s="40"/>
      <c r="N335" s="40"/>
      <c r="O335" s="36" t="str">
        <f aca="false">IF($B335="","",INT((A335-1)/Parametros!$C$10)+1)</f>
        <v/>
      </c>
      <c r="P335" s="41" t="str">
        <f aca="false">IF($B335="","",IF(OR(C335="",D335=""),"",ROUND((D335-C335)*1440,0)))</f>
        <v/>
      </c>
      <c r="Q335" s="42" t="str">
        <f aca="false">IF($B335="","",I335*VLOOKUP(E335,Parametros!$B$18:$D$24,2,FALSE()))</f>
        <v/>
      </c>
      <c r="R335" s="42" t="str">
        <f aca="false">IF($B335="","",G335*VLOOKUP(E335,Parametros!$B$18:$D$24,3,FALSE()))</f>
        <v/>
      </c>
      <c r="S335" s="42" t="str">
        <f aca="false">IF($B335="","",Q335-R335)</f>
        <v/>
      </c>
      <c r="T335" s="43" t="str">
        <f aca="false">IF($B335="","",IF(S335&gt;0,"G","P"))</f>
        <v/>
      </c>
      <c r="U335" s="44" t="str">
        <f aca="false">IF($B335="","",S335/Parametros!$C$8)</f>
        <v/>
      </c>
      <c r="V335" s="42" t="str">
        <f aca="false">IF($B335="","",Parametros!$C$6+SUM($S$7:S335))</f>
        <v/>
      </c>
      <c r="W335" s="42" t="str">
        <f aca="false">IF($B335="","",MAX(V335,W334))</f>
        <v/>
      </c>
      <c r="X335" s="42" t="str">
        <f aca="false">IF($B335="","",V335-W335)</f>
        <v/>
      </c>
      <c r="Y335" s="45" t="str">
        <f aca="false">IF($B335="","",X335/W335)</f>
        <v/>
      </c>
      <c r="Z335" s="36" t="str">
        <f aca="false">IF($B335="","",IF(T335="G",IF(N(Z334)&gt;0,Z334+1,1),IF(N(Z334)&lt;0,Z334-1,-1)))</f>
        <v/>
      </c>
      <c r="AA335" s="46" t="str">
        <f aca="false">IF($B335="","",B335-WEEKDAY(B335,2)+1)</f>
        <v/>
      </c>
      <c r="AB335" s="47" t="str">
        <f aca="false">IF($B335="","",DATE(YEAR(B335),MONTH(B335),1))</f>
        <v/>
      </c>
      <c r="AC335" s="41" t="str">
        <f aca="false">IF($B335="","",CHOOSE(WEEKDAY(B335,2),"Lunes","Martes","Miércoles","Jueves","Viernes","Sábado","Domingo"))</f>
        <v/>
      </c>
      <c r="AD335" s="36" t="str">
        <f aca="false">IF($B335="","",HOUR(C335))</f>
        <v/>
      </c>
      <c r="AE335" s="42" t="str">
        <f aca="false">IF($B335="","",IF(O335&lt;&gt;O334,MAX(V335-S335,V335),MAX(V335,AE334)))</f>
        <v/>
      </c>
      <c r="AF335" s="42" t="str">
        <f aca="false">IF($B335="","",V335-AE335)</f>
        <v/>
      </c>
      <c r="AG335" s="36" t="str">
        <f aca="false">IF($B335="","",IF(O335&lt;&gt;O334,IF(T335="G",1,-1),IF(T335="G",IF(N(AG334)&gt;0,AG334+1,1),IF(N(AG334)&lt;0,AG334-1,-1))))</f>
        <v/>
      </c>
    </row>
    <row r="336" customFormat="false" ht="15" hidden="false" customHeight="false" outlineLevel="0" collapsed="false">
      <c r="A336" s="36" t="str">
        <f aca="false">IF(B336="","",ROW()-6)</f>
        <v/>
      </c>
      <c r="B336" s="37"/>
      <c r="C336" s="38"/>
      <c r="D336" s="38"/>
      <c r="E336" s="39"/>
      <c r="F336" s="39"/>
      <c r="G336" s="39"/>
      <c r="H336" s="40"/>
      <c r="I336" s="40"/>
      <c r="J336" s="40"/>
      <c r="K336" s="40"/>
      <c r="L336" s="39"/>
      <c r="M336" s="40"/>
      <c r="N336" s="40"/>
      <c r="O336" s="36" t="str">
        <f aca="false">IF($B336="","",INT((A336-1)/Parametros!$C$10)+1)</f>
        <v/>
      </c>
      <c r="P336" s="41" t="str">
        <f aca="false">IF($B336="","",IF(OR(C336="",D336=""),"",ROUND((D336-C336)*1440,0)))</f>
        <v/>
      </c>
      <c r="Q336" s="42" t="str">
        <f aca="false">IF($B336="","",I336*VLOOKUP(E336,Parametros!$B$18:$D$24,2,FALSE()))</f>
        <v/>
      </c>
      <c r="R336" s="42" t="str">
        <f aca="false">IF($B336="","",G336*VLOOKUP(E336,Parametros!$B$18:$D$24,3,FALSE()))</f>
        <v/>
      </c>
      <c r="S336" s="42" t="str">
        <f aca="false">IF($B336="","",Q336-R336)</f>
        <v/>
      </c>
      <c r="T336" s="43" t="str">
        <f aca="false">IF($B336="","",IF(S336&gt;0,"G","P"))</f>
        <v/>
      </c>
      <c r="U336" s="44" t="str">
        <f aca="false">IF($B336="","",S336/Parametros!$C$8)</f>
        <v/>
      </c>
      <c r="V336" s="42" t="str">
        <f aca="false">IF($B336="","",Parametros!$C$6+SUM($S$7:S336))</f>
        <v/>
      </c>
      <c r="W336" s="42" t="str">
        <f aca="false">IF($B336="","",MAX(V336,W335))</f>
        <v/>
      </c>
      <c r="X336" s="42" t="str">
        <f aca="false">IF($B336="","",V336-W336)</f>
        <v/>
      </c>
      <c r="Y336" s="45" t="str">
        <f aca="false">IF($B336="","",X336/W336)</f>
        <v/>
      </c>
      <c r="Z336" s="36" t="str">
        <f aca="false">IF($B336="","",IF(T336="G",IF(N(Z335)&gt;0,Z335+1,1),IF(N(Z335)&lt;0,Z335-1,-1)))</f>
        <v/>
      </c>
      <c r="AA336" s="46" t="str">
        <f aca="false">IF($B336="","",B336-WEEKDAY(B336,2)+1)</f>
        <v/>
      </c>
      <c r="AB336" s="47" t="str">
        <f aca="false">IF($B336="","",DATE(YEAR(B336),MONTH(B336),1))</f>
        <v/>
      </c>
      <c r="AC336" s="41" t="str">
        <f aca="false">IF($B336="","",CHOOSE(WEEKDAY(B336,2),"Lunes","Martes","Miércoles","Jueves","Viernes","Sábado","Domingo"))</f>
        <v/>
      </c>
      <c r="AD336" s="36" t="str">
        <f aca="false">IF($B336="","",HOUR(C336))</f>
        <v/>
      </c>
      <c r="AE336" s="42" t="str">
        <f aca="false">IF($B336="","",IF(O336&lt;&gt;O335,MAX(V336-S336,V336),MAX(V336,AE335)))</f>
        <v/>
      </c>
      <c r="AF336" s="42" t="str">
        <f aca="false">IF($B336="","",V336-AE336)</f>
        <v/>
      </c>
      <c r="AG336" s="36" t="str">
        <f aca="false">IF($B336="","",IF(O336&lt;&gt;O335,IF(T336="G",1,-1),IF(T336="G",IF(N(AG335)&gt;0,AG335+1,1),IF(N(AG335)&lt;0,AG335-1,-1))))</f>
        <v/>
      </c>
    </row>
    <row r="337" customFormat="false" ht="15" hidden="false" customHeight="false" outlineLevel="0" collapsed="false">
      <c r="A337" s="36" t="str">
        <f aca="false">IF(B337="","",ROW()-6)</f>
        <v/>
      </c>
      <c r="B337" s="37"/>
      <c r="C337" s="38"/>
      <c r="D337" s="38"/>
      <c r="E337" s="39"/>
      <c r="F337" s="39"/>
      <c r="G337" s="39"/>
      <c r="H337" s="40"/>
      <c r="I337" s="40"/>
      <c r="J337" s="40"/>
      <c r="K337" s="40"/>
      <c r="L337" s="39"/>
      <c r="M337" s="40"/>
      <c r="N337" s="40"/>
      <c r="O337" s="36" t="str">
        <f aca="false">IF($B337="","",INT((A337-1)/Parametros!$C$10)+1)</f>
        <v/>
      </c>
      <c r="P337" s="41" t="str">
        <f aca="false">IF($B337="","",IF(OR(C337="",D337=""),"",ROUND((D337-C337)*1440,0)))</f>
        <v/>
      </c>
      <c r="Q337" s="42" t="str">
        <f aca="false">IF($B337="","",I337*VLOOKUP(E337,Parametros!$B$18:$D$24,2,FALSE()))</f>
        <v/>
      </c>
      <c r="R337" s="42" t="str">
        <f aca="false">IF($B337="","",G337*VLOOKUP(E337,Parametros!$B$18:$D$24,3,FALSE()))</f>
        <v/>
      </c>
      <c r="S337" s="42" t="str">
        <f aca="false">IF($B337="","",Q337-R337)</f>
        <v/>
      </c>
      <c r="T337" s="43" t="str">
        <f aca="false">IF($B337="","",IF(S337&gt;0,"G","P"))</f>
        <v/>
      </c>
      <c r="U337" s="44" t="str">
        <f aca="false">IF($B337="","",S337/Parametros!$C$8)</f>
        <v/>
      </c>
      <c r="V337" s="42" t="str">
        <f aca="false">IF($B337="","",Parametros!$C$6+SUM($S$7:S337))</f>
        <v/>
      </c>
      <c r="W337" s="42" t="str">
        <f aca="false">IF($B337="","",MAX(V337,W336))</f>
        <v/>
      </c>
      <c r="X337" s="42" t="str">
        <f aca="false">IF($B337="","",V337-W337)</f>
        <v/>
      </c>
      <c r="Y337" s="45" t="str">
        <f aca="false">IF($B337="","",X337/W337)</f>
        <v/>
      </c>
      <c r="Z337" s="36" t="str">
        <f aca="false">IF($B337="","",IF(T337="G",IF(N(Z336)&gt;0,Z336+1,1),IF(N(Z336)&lt;0,Z336-1,-1)))</f>
        <v/>
      </c>
      <c r="AA337" s="46" t="str">
        <f aca="false">IF($B337="","",B337-WEEKDAY(B337,2)+1)</f>
        <v/>
      </c>
      <c r="AB337" s="47" t="str">
        <f aca="false">IF($B337="","",DATE(YEAR(B337),MONTH(B337),1))</f>
        <v/>
      </c>
      <c r="AC337" s="41" t="str">
        <f aca="false">IF($B337="","",CHOOSE(WEEKDAY(B337,2),"Lunes","Martes","Miércoles","Jueves","Viernes","Sábado","Domingo"))</f>
        <v/>
      </c>
      <c r="AD337" s="36" t="str">
        <f aca="false">IF($B337="","",HOUR(C337))</f>
        <v/>
      </c>
      <c r="AE337" s="42" t="str">
        <f aca="false">IF($B337="","",IF(O337&lt;&gt;O336,MAX(V337-S337,V337),MAX(V337,AE336)))</f>
        <v/>
      </c>
      <c r="AF337" s="42" t="str">
        <f aca="false">IF($B337="","",V337-AE337)</f>
        <v/>
      </c>
      <c r="AG337" s="36" t="str">
        <f aca="false">IF($B337="","",IF(O337&lt;&gt;O336,IF(T337="G",1,-1),IF(T337="G",IF(N(AG336)&gt;0,AG336+1,1),IF(N(AG336)&lt;0,AG336-1,-1))))</f>
        <v/>
      </c>
    </row>
    <row r="338" customFormat="false" ht="15" hidden="false" customHeight="false" outlineLevel="0" collapsed="false">
      <c r="A338" s="36" t="str">
        <f aca="false">IF(B338="","",ROW()-6)</f>
        <v/>
      </c>
      <c r="B338" s="37"/>
      <c r="C338" s="38"/>
      <c r="D338" s="38"/>
      <c r="E338" s="39"/>
      <c r="F338" s="39"/>
      <c r="G338" s="39"/>
      <c r="H338" s="40"/>
      <c r="I338" s="40"/>
      <c r="J338" s="40"/>
      <c r="K338" s="40"/>
      <c r="L338" s="39"/>
      <c r="M338" s="40"/>
      <c r="N338" s="40"/>
      <c r="O338" s="36" t="str">
        <f aca="false">IF($B338="","",INT((A338-1)/Parametros!$C$10)+1)</f>
        <v/>
      </c>
      <c r="P338" s="41" t="str">
        <f aca="false">IF($B338="","",IF(OR(C338="",D338=""),"",ROUND((D338-C338)*1440,0)))</f>
        <v/>
      </c>
      <c r="Q338" s="42" t="str">
        <f aca="false">IF($B338="","",I338*VLOOKUP(E338,Parametros!$B$18:$D$24,2,FALSE()))</f>
        <v/>
      </c>
      <c r="R338" s="42" t="str">
        <f aca="false">IF($B338="","",G338*VLOOKUP(E338,Parametros!$B$18:$D$24,3,FALSE()))</f>
        <v/>
      </c>
      <c r="S338" s="42" t="str">
        <f aca="false">IF($B338="","",Q338-R338)</f>
        <v/>
      </c>
      <c r="T338" s="43" t="str">
        <f aca="false">IF($B338="","",IF(S338&gt;0,"G","P"))</f>
        <v/>
      </c>
      <c r="U338" s="44" t="str">
        <f aca="false">IF($B338="","",S338/Parametros!$C$8)</f>
        <v/>
      </c>
      <c r="V338" s="42" t="str">
        <f aca="false">IF($B338="","",Parametros!$C$6+SUM($S$7:S338))</f>
        <v/>
      </c>
      <c r="W338" s="42" t="str">
        <f aca="false">IF($B338="","",MAX(V338,W337))</f>
        <v/>
      </c>
      <c r="X338" s="42" t="str">
        <f aca="false">IF($B338="","",V338-W338)</f>
        <v/>
      </c>
      <c r="Y338" s="45" t="str">
        <f aca="false">IF($B338="","",X338/W338)</f>
        <v/>
      </c>
      <c r="Z338" s="36" t="str">
        <f aca="false">IF($B338="","",IF(T338="G",IF(N(Z337)&gt;0,Z337+1,1),IF(N(Z337)&lt;0,Z337-1,-1)))</f>
        <v/>
      </c>
      <c r="AA338" s="46" t="str">
        <f aca="false">IF($B338="","",B338-WEEKDAY(B338,2)+1)</f>
        <v/>
      </c>
      <c r="AB338" s="47" t="str">
        <f aca="false">IF($B338="","",DATE(YEAR(B338),MONTH(B338),1))</f>
        <v/>
      </c>
      <c r="AC338" s="41" t="str">
        <f aca="false">IF($B338="","",CHOOSE(WEEKDAY(B338,2),"Lunes","Martes","Miércoles","Jueves","Viernes","Sábado","Domingo"))</f>
        <v/>
      </c>
      <c r="AD338" s="36" t="str">
        <f aca="false">IF($B338="","",HOUR(C338))</f>
        <v/>
      </c>
      <c r="AE338" s="42" t="str">
        <f aca="false">IF($B338="","",IF(O338&lt;&gt;O337,MAX(V338-S338,V338),MAX(V338,AE337)))</f>
        <v/>
      </c>
      <c r="AF338" s="42" t="str">
        <f aca="false">IF($B338="","",V338-AE338)</f>
        <v/>
      </c>
      <c r="AG338" s="36" t="str">
        <f aca="false">IF($B338="","",IF(O338&lt;&gt;O337,IF(T338="G",1,-1),IF(T338="G",IF(N(AG337)&gt;0,AG337+1,1),IF(N(AG337)&lt;0,AG337-1,-1))))</f>
        <v/>
      </c>
    </row>
    <row r="339" customFormat="false" ht="15" hidden="false" customHeight="false" outlineLevel="0" collapsed="false">
      <c r="A339" s="36" t="str">
        <f aca="false">IF(B339="","",ROW()-6)</f>
        <v/>
      </c>
      <c r="B339" s="37"/>
      <c r="C339" s="38"/>
      <c r="D339" s="38"/>
      <c r="E339" s="39"/>
      <c r="F339" s="39"/>
      <c r="G339" s="39"/>
      <c r="H339" s="40"/>
      <c r="I339" s="40"/>
      <c r="J339" s="40"/>
      <c r="K339" s="40"/>
      <c r="L339" s="39"/>
      <c r="M339" s="40"/>
      <c r="N339" s="40"/>
      <c r="O339" s="36" t="str">
        <f aca="false">IF($B339="","",INT((A339-1)/Parametros!$C$10)+1)</f>
        <v/>
      </c>
      <c r="P339" s="41" t="str">
        <f aca="false">IF($B339="","",IF(OR(C339="",D339=""),"",ROUND((D339-C339)*1440,0)))</f>
        <v/>
      </c>
      <c r="Q339" s="42" t="str">
        <f aca="false">IF($B339="","",I339*VLOOKUP(E339,Parametros!$B$18:$D$24,2,FALSE()))</f>
        <v/>
      </c>
      <c r="R339" s="42" t="str">
        <f aca="false">IF($B339="","",G339*VLOOKUP(E339,Parametros!$B$18:$D$24,3,FALSE()))</f>
        <v/>
      </c>
      <c r="S339" s="42" t="str">
        <f aca="false">IF($B339="","",Q339-R339)</f>
        <v/>
      </c>
      <c r="T339" s="43" t="str">
        <f aca="false">IF($B339="","",IF(S339&gt;0,"G","P"))</f>
        <v/>
      </c>
      <c r="U339" s="44" t="str">
        <f aca="false">IF($B339="","",S339/Parametros!$C$8)</f>
        <v/>
      </c>
      <c r="V339" s="42" t="str">
        <f aca="false">IF($B339="","",Parametros!$C$6+SUM($S$7:S339))</f>
        <v/>
      </c>
      <c r="W339" s="42" t="str">
        <f aca="false">IF($B339="","",MAX(V339,W338))</f>
        <v/>
      </c>
      <c r="X339" s="42" t="str">
        <f aca="false">IF($B339="","",V339-W339)</f>
        <v/>
      </c>
      <c r="Y339" s="45" t="str">
        <f aca="false">IF($B339="","",X339/W339)</f>
        <v/>
      </c>
      <c r="Z339" s="36" t="str">
        <f aca="false">IF($B339="","",IF(T339="G",IF(N(Z338)&gt;0,Z338+1,1),IF(N(Z338)&lt;0,Z338-1,-1)))</f>
        <v/>
      </c>
      <c r="AA339" s="46" t="str">
        <f aca="false">IF($B339="","",B339-WEEKDAY(B339,2)+1)</f>
        <v/>
      </c>
      <c r="AB339" s="47" t="str">
        <f aca="false">IF($B339="","",DATE(YEAR(B339),MONTH(B339),1))</f>
        <v/>
      </c>
      <c r="AC339" s="41" t="str">
        <f aca="false">IF($B339="","",CHOOSE(WEEKDAY(B339,2),"Lunes","Martes","Miércoles","Jueves","Viernes","Sábado","Domingo"))</f>
        <v/>
      </c>
      <c r="AD339" s="36" t="str">
        <f aca="false">IF($B339="","",HOUR(C339))</f>
        <v/>
      </c>
      <c r="AE339" s="42" t="str">
        <f aca="false">IF($B339="","",IF(O339&lt;&gt;O338,MAX(V339-S339,V339),MAX(V339,AE338)))</f>
        <v/>
      </c>
      <c r="AF339" s="42" t="str">
        <f aca="false">IF($B339="","",V339-AE339)</f>
        <v/>
      </c>
      <c r="AG339" s="36" t="str">
        <f aca="false">IF($B339="","",IF(O339&lt;&gt;O338,IF(T339="G",1,-1),IF(T339="G",IF(N(AG338)&gt;0,AG338+1,1),IF(N(AG338)&lt;0,AG338-1,-1))))</f>
        <v/>
      </c>
    </row>
    <row r="340" customFormat="false" ht="15" hidden="false" customHeight="false" outlineLevel="0" collapsed="false">
      <c r="A340" s="36" t="str">
        <f aca="false">IF(B340="","",ROW()-6)</f>
        <v/>
      </c>
      <c r="B340" s="37"/>
      <c r="C340" s="38"/>
      <c r="D340" s="38"/>
      <c r="E340" s="39"/>
      <c r="F340" s="39"/>
      <c r="G340" s="39"/>
      <c r="H340" s="40"/>
      <c r="I340" s="40"/>
      <c r="J340" s="40"/>
      <c r="K340" s="40"/>
      <c r="L340" s="39"/>
      <c r="M340" s="40"/>
      <c r="N340" s="40"/>
      <c r="O340" s="36" t="str">
        <f aca="false">IF($B340="","",INT((A340-1)/Parametros!$C$10)+1)</f>
        <v/>
      </c>
      <c r="P340" s="41" t="str">
        <f aca="false">IF($B340="","",IF(OR(C340="",D340=""),"",ROUND((D340-C340)*1440,0)))</f>
        <v/>
      </c>
      <c r="Q340" s="42" t="str">
        <f aca="false">IF($B340="","",I340*VLOOKUP(E340,Parametros!$B$18:$D$24,2,FALSE()))</f>
        <v/>
      </c>
      <c r="R340" s="42" t="str">
        <f aca="false">IF($B340="","",G340*VLOOKUP(E340,Parametros!$B$18:$D$24,3,FALSE()))</f>
        <v/>
      </c>
      <c r="S340" s="42" t="str">
        <f aca="false">IF($B340="","",Q340-R340)</f>
        <v/>
      </c>
      <c r="T340" s="43" t="str">
        <f aca="false">IF($B340="","",IF(S340&gt;0,"G","P"))</f>
        <v/>
      </c>
      <c r="U340" s="44" t="str">
        <f aca="false">IF($B340="","",S340/Parametros!$C$8)</f>
        <v/>
      </c>
      <c r="V340" s="42" t="str">
        <f aca="false">IF($B340="","",Parametros!$C$6+SUM($S$7:S340))</f>
        <v/>
      </c>
      <c r="W340" s="42" t="str">
        <f aca="false">IF($B340="","",MAX(V340,W339))</f>
        <v/>
      </c>
      <c r="X340" s="42" t="str">
        <f aca="false">IF($B340="","",V340-W340)</f>
        <v/>
      </c>
      <c r="Y340" s="45" t="str">
        <f aca="false">IF($B340="","",X340/W340)</f>
        <v/>
      </c>
      <c r="Z340" s="36" t="str">
        <f aca="false">IF($B340="","",IF(T340="G",IF(N(Z339)&gt;0,Z339+1,1),IF(N(Z339)&lt;0,Z339-1,-1)))</f>
        <v/>
      </c>
      <c r="AA340" s="46" t="str">
        <f aca="false">IF($B340="","",B340-WEEKDAY(B340,2)+1)</f>
        <v/>
      </c>
      <c r="AB340" s="47" t="str">
        <f aca="false">IF($B340="","",DATE(YEAR(B340),MONTH(B340),1))</f>
        <v/>
      </c>
      <c r="AC340" s="41" t="str">
        <f aca="false">IF($B340="","",CHOOSE(WEEKDAY(B340,2),"Lunes","Martes","Miércoles","Jueves","Viernes","Sábado","Domingo"))</f>
        <v/>
      </c>
      <c r="AD340" s="36" t="str">
        <f aca="false">IF($B340="","",HOUR(C340))</f>
        <v/>
      </c>
      <c r="AE340" s="42" t="str">
        <f aca="false">IF($B340="","",IF(O340&lt;&gt;O339,MAX(V340-S340,V340),MAX(V340,AE339)))</f>
        <v/>
      </c>
      <c r="AF340" s="42" t="str">
        <f aca="false">IF($B340="","",V340-AE340)</f>
        <v/>
      </c>
      <c r="AG340" s="36" t="str">
        <f aca="false">IF($B340="","",IF(O340&lt;&gt;O339,IF(T340="G",1,-1),IF(T340="G",IF(N(AG339)&gt;0,AG339+1,1),IF(N(AG339)&lt;0,AG339-1,-1))))</f>
        <v/>
      </c>
    </row>
    <row r="341" customFormat="false" ht="15" hidden="false" customHeight="false" outlineLevel="0" collapsed="false">
      <c r="A341" s="36" t="str">
        <f aca="false">IF(B341="","",ROW()-6)</f>
        <v/>
      </c>
      <c r="B341" s="37"/>
      <c r="C341" s="38"/>
      <c r="D341" s="38"/>
      <c r="E341" s="39"/>
      <c r="F341" s="39"/>
      <c r="G341" s="39"/>
      <c r="H341" s="40"/>
      <c r="I341" s="40"/>
      <c r="J341" s="40"/>
      <c r="K341" s="40"/>
      <c r="L341" s="39"/>
      <c r="M341" s="40"/>
      <c r="N341" s="40"/>
      <c r="O341" s="36" t="str">
        <f aca="false">IF($B341="","",INT((A341-1)/Parametros!$C$10)+1)</f>
        <v/>
      </c>
      <c r="P341" s="41" t="str">
        <f aca="false">IF($B341="","",IF(OR(C341="",D341=""),"",ROUND((D341-C341)*1440,0)))</f>
        <v/>
      </c>
      <c r="Q341" s="42" t="str">
        <f aca="false">IF($B341="","",I341*VLOOKUP(E341,Parametros!$B$18:$D$24,2,FALSE()))</f>
        <v/>
      </c>
      <c r="R341" s="42" t="str">
        <f aca="false">IF($B341="","",G341*VLOOKUP(E341,Parametros!$B$18:$D$24,3,FALSE()))</f>
        <v/>
      </c>
      <c r="S341" s="42" t="str">
        <f aca="false">IF($B341="","",Q341-R341)</f>
        <v/>
      </c>
      <c r="T341" s="43" t="str">
        <f aca="false">IF($B341="","",IF(S341&gt;0,"G","P"))</f>
        <v/>
      </c>
      <c r="U341" s="44" t="str">
        <f aca="false">IF($B341="","",S341/Parametros!$C$8)</f>
        <v/>
      </c>
      <c r="V341" s="42" t="str">
        <f aca="false">IF($B341="","",Parametros!$C$6+SUM($S$7:S341))</f>
        <v/>
      </c>
      <c r="W341" s="42" t="str">
        <f aca="false">IF($B341="","",MAX(V341,W340))</f>
        <v/>
      </c>
      <c r="X341" s="42" t="str">
        <f aca="false">IF($B341="","",V341-W341)</f>
        <v/>
      </c>
      <c r="Y341" s="45" t="str">
        <f aca="false">IF($B341="","",X341/W341)</f>
        <v/>
      </c>
      <c r="Z341" s="36" t="str">
        <f aca="false">IF($B341="","",IF(T341="G",IF(N(Z340)&gt;0,Z340+1,1),IF(N(Z340)&lt;0,Z340-1,-1)))</f>
        <v/>
      </c>
      <c r="AA341" s="46" t="str">
        <f aca="false">IF($B341="","",B341-WEEKDAY(B341,2)+1)</f>
        <v/>
      </c>
      <c r="AB341" s="47" t="str">
        <f aca="false">IF($B341="","",DATE(YEAR(B341),MONTH(B341),1))</f>
        <v/>
      </c>
      <c r="AC341" s="41" t="str">
        <f aca="false">IF($B341="","",CHOOSE(WEEKDAY(B341,2),"Lunes","Martes","Miércoles","Jueves","Viernes","Sábado","Domingo"))</f>
        <v/>
      </c>
      <c r="AD341" s="36" t="str">
        <f aca="false">IF($B341="","",HOUR(C341))</f>
        <v/>
      </c>
      <c r="AE341" s="42" t="str">
        <f aca="false">IF($B341="","",IF(O341&lt;&gt;O340,MAX(V341-S341,V341),MAX(V341,AE340)))</f>
        <v/>
      </c>
      <c r="AF341" s="42" t="str">
        <f aca="false">IF($B341="","",V341-AE341)</f>
        <v/>
      </c>
      <c r="AG341" s="36" t="str">
        <f aca="false">IF($B341="","",IF(O341&lt;&gt;O340,IF(T341="G",1,-1),IF(T341="G",IF(N(AG340)&gt;0,AG340+1,1),IF(N(AG340)&lt;0,AG340-1,-1))))</f>
        <v/>
      </c>
    </row>
    <row r="342" customFormat="false" ht="15" hidden="false" customHeight="false" outlineLevel="0" collapsed="false">
      <c r="A342" s="36" t="str">
        <f aca="false">IF(B342="","",ROW()-6)</f>
        <v/>
      </c>
      <c r="B342" s="37"/>
      <c r="C342" s="38"/>
      <c r="D342" s="38"/>
      <c r="E342" s="39"/>
      <c r="F342" s="39"/>
      <c r="G342" s="39"/>
      <c r="H342" s="40"/>
      <c r="I342" s="40"/>
      <c r="J342" s="40"/>
      <c r="K342" s="40"/>
      <c r="L342" s="39"/>
      <c r="M342" s="40"/>
      <c r="N342" s="40"/>
      <c r="O342" s="36" t="str">
        <f aca="false">IF($B342="","",INT((A342-1)/Parametros!$C$10)+1)</f>
        <v/>
      </c>
      <c r="P342" s="41" t="str">
        <f aca="false">IF($B342="","",IF(OR(C342="",D342=""),"",ROUND((D342-C342)*1440,0)))</f>
        <v/>
      </c>
      <c r="Q342" s="42" t="str">
        <f aca="false">IF($B342="","",I342*VLOOKUP(E342,Parametros!$B$18:$D$24,2,FALSE()))</f>
        <v/>
      </c>
      <c r="R342" s="42" t="str">
        <f aca="false">IF($B342="","",G342*VLOOKUP(E342,Parametros!$B$18:$D$24,3,FALSE()))</f>
        <v/>
      </c>
      <c r="S342" s="42" t="str">
        <f aca="false">IF($B342="","",Q342-R342)</f>
        <v/>
      </c>
      <c r="T342" s="43" t="str">
        <f aca="false">IF($B342="","",IF(S342&gt;0,"G","P"))</f>
        <v/>
      </c>
      <c r="U342" s="44" t="str">
        <f aca="false">IF($B342="","",S342/Parametros!$C$8)</f>
        <v/>
      </c>
      <c r="V342" s="42" t="str">
        <f aca="false">IF($B342="","",Parametros!$C$6+SUM($S$7:S342))</f>
        <v/>
      </c>
      <c r="W342" s="42" t="str">
        <f aca="false">IF($B342="","",MAX(V342,W341))</f>
        <v/>
      </c>
      <c r="X342" s="42" t="str">
        <f aca="false">IF($B342="","",V342-W342)</f>
        <v/>
      </c>
      <c r="Y342" s="45" t="str">
        <f aca="false">IF($B342="","",X342/W342)</f>
        <v/>
      </c>
      <c r="Z342" s="36" t="str">
        <f aca="false">IF($B342="","",IF(T342="G",IF(N(Z341)&gt;0,Z341+1,1),IF(N(Z341)&lt;0,Z341-1,-1)))</f>
        <v/>
      </c>
      <c r="AA342" s="46" t="str">
        <f aca="false">IF($B342="","",B342-WEEKDAY(B342,2)+1)</f>
        <v/>
      </c>
      <c r="AB342" s="47" t="str">
        <f aca="false">IF($B342="","",DATE(YEAR(B342),MONTH(B342),1))</f>
        <v/>
      </c>
      <c r="AC342" s="41" t="str">
        <f aca="false">IF($B342="","",CHOOSE(WEEKDAY(B342,2),"Lunes","Martes","Miércoles","Jueves","Viernes","Sábado","Domingo"))</f>
        <v/>
      </c>
      <c r="AD342" s="36" t="str">
        <f aca="false">IF($B342="","",HOUR(C342))</f>
        <v/>
      </c>
      <c r="AE342" s="42" t="str">
        <f aca="false">IF($B342="","",IF(O342&lt;&gt;O341,MAX(V342-S342,V342),MAX(V342,AE341)))</f>
        <v/>
      </c>
      <c r="AF342" s="42" t="str">
        <f aca="false">IF($B342="","",V342-AE342)</f>
        <v/>
      </c>
      <c r="AG342" s="36" t="str">
        <f aca="false">IF($B342="","",IF(O342&lt;&gt;O341,IF(T342="G",1,-1),IF(T342="G",IF(N(AG341)&gt;0,AG341+1,1),IF(N(AG341)&lt;0,AG341-1,-1))))</f>
        <v/>
      </c>
    </row>
    <row r="343" customFormat="false" ht="15" hidden="false" customHeight="false" outlineLevel="0" collapsed="false">
      <c r="A343" s="36" t="str">
        <f aca="false">IF(B343="","",ROW()-6)</f>
        <v/>
      </c>
      <c r="B343" s="37"/>
      <c r="C343" s="38"/>
      <c r="D343" s="38"/>
      <c r="E343" s="39"/>
      <c r="F343" s="39"/>
      <c r="G343" s="39"/>
      <c r="H343" s="40"/>
      <c r="I343" s="40"/>
      <c r="J343" s="40"/>
      <c r="K343" s="40"/>
      <c r="L343" s="39"/>
      <c r="M343" s="40"/>
      <c r="N343" s="40"/>
      <c r="O343" s="36" t="str">
        <f aca="false">IF($B343="","",INT((A343-1)/Parametros!$C$10)+1)</f>
        <v/>
      </c>
      <c r="P343" s="41" t="str">
        <f aca="false">IF($B343="","",IF(OR(C343="",D343=""),"",ROUND((D343-C343)*1440,0)))</f>
        <v/>
      </c>
      <c r="Q343" s="42" t="str">
        <f aca="false">IF($B343="","",I343*VLOOKUP(E343,Parametros!$B$18:$D$24,2,FALSE()))</f>
        <v/>
      </c>
      <c r="R343" s="42" t="str">
        <f aca="false">IF($B343="","",G343*VLOOKUP(E343,Parametros!$B$18:$D$24,3,FALSE()))</f>
        <v/>
      </c>
      <c r="S343" s="42" t="str">
        <f aca="false">IF($B343="","",Q343-R343)</f>
        <v/>
      </c>
      <c r="T343" s="43" t="str">
        <f aca="false">IF($B343="","",IF(S343&gt;0,"G","P"))</f>
        <v/>
      </c>
      <c r="U343" s="44" t="str">
        <f aca="false">IF($B343="","",S343/Parametros!$C$8)</f>
        <v/>
      </c>
      <c r="V343" s="42" t="str">
        <f aca="false">IF($B343="","",Parametros!$C$6+SUM($S$7:S343))</f>
        <v/>
      </c>
      <c r="W343" s="42" t="str">
        <f aca="false">IF($B343="","",MAX(V343,W342))</f>
        <v/>
      </c>
      <c r="X343" s="42" t="str">
        <f aca="false">IF($B343="","",V343-W343)</f>
        <v/>
      </c>
      <c r="Y343" s="45" t="str">
        <f aca="false">IF($B343="","",X343/W343)</f>
        <v/>
      </c>
      <c r="Z343" s="36" t="str">
        <f aca="false">IF($B343="","",IF(T343="G",IF(N(Z342)&gt;0,Z342+1,1),IF(N(Z342)&lt;0,Z342-1,-1)))</f>
        <v/>
      </c>
      <c r="AA343" s="46" t="str">
        <f aca="false">IF($B343="","",B343-WEEKDAY(B343,2)+1)</f>
        <v/>
      </c>
      <c r="AB343" s="47" t="str">
        <f aca="false">IF($B343="","",DATE(YEAR(B343),MONTH(B343),1))</f>
        <v/>
      </c>
      <c r="AC343" s="41" t="str">
        <f aca="false">IF($B343="","",CHOOSE(WEEKDAY(B343,2),"Lunes","Martes","Miércoles","Jueves","Viernes","Sábado","Domingo"))</f>
        <v/>
      </c>
      <c r="AD343" s="36" t="str">
        <f aca="false">IF($B343="","",HOUR(C343))</f>
        <v/>
      </c>
      <c r="AE343" s="42" t="str">
        <f aca="false">IF($B343="","",IF(O343&lt;&gt;O342,MAX(V343-S343,V343),MAX(V343,AE342)))</f>
        <v/>
      </c>
      <c r="AF343" s="42" t="str">
        <f aca="false">IF($B343="","",V343-AE343)</f>
        <v/>
      </c>
      <c r="AG343" s="36" t="str">
        <f aca="false">IF($B343="","",IF(O343&lt;&gt;O342,IF(T343="G",1,-1),IF(T343="G",IF(N(AG342)&gt;0,AG342+1,1),IF(N(AG342)&lt;0,AG342-1,-1))))</f>
        <v/>
      </c>
    </row>
    <row r="344" customFormat="false" ht="15" hidden="false" customHeight="false" outlineLevel="0" collapsed="false">
      <c r="A344" s="36" t="str">
        <f aca="false">IF(B344="","",ROW()-6)</f>
        <v/>
      </c>
      <c r="B344" s="37"/>
      <c r="C344" s="38"/>
      <c r="D344" s="38"/>
      <c r="E344" s="39"/>
      <c r="F344" s="39"/>
      <c r="G344" s="39"/>
      <c r="H344" s="40"/>
      <c r="I344" s="40"/>
      <c r="J344" s="40"/>
      <c r="K344" s="40"/>
      <c r="L344" s="39"/>
      <c r="M344" s="40"/>
      <c r="N344" s="40"/>
      <c r="O344" s="36" t="str">
        <f aca="false">IF($B344="","",INT((A344-1)/Parametros!$C$10)+1)</f>
        <v/>
      </c>
      <c r="P344" s="41" t="str">
        <f aca="false">IF($B344="","",IF(OR(C344="",D344=""),"",ROUND((D344-C344)*1440,0)))</f>
        <v/>
      </c>
      <c r="Q344" s="42" t="str">
        <f aca="false">IF($B344="","",I344*VLOOKUP(E344,Parametros!$B$18:$D$24,2,FALSE()))</f>
        <v/>
      </c>
      <c r="R344" s="42" t="str">
        <f aca="false">IF($B344="","",G344*VLOOKUP(E344,Parametros!$B$18:$D$24,3,FALSE()))</f>
        <v/>
      </c>
      <c r="S344" s="42" t="str">
        <f aca="false">IF($B344="","",Q344-R344)</f>
        <v/>
      </c>
      <c r="T344" s="43" t="str">
        <f aca="false">IF($B344="","",IF(S344&gt;0,"G","P"))</f>
        <v/>
      </c>
      <c r="U344" s="44" t="str">
        <f aca="false">IF($B344="","",S344/Parametros!$C$8)</f>
        <v/>
      </c>
      <c r="V344" s="42" t="str">
        <f aca="false">IF($B344="","",Parametros!$C$6+SUM($S$7:S344))</f>
        <v/>
      </c>
      <c r="W344" s="42" t="str">
        <f aca="false">IF($B344="","",MAX(V344,W343))</f>
        <v/>
      </c>
      <c r="X344" s="42" t="str">
        <f aca="false">IF($B344="","",V344-W344)</f>
        <v/>
      </c>
      <c r="Y344" s="45" t="str">
        <f aca="false">IF($B344="","",X344/W344)</f>
        <v/>
      </c>
      <c r="Z344" s="36" t="str">
        <f aca="false">IF($B344="","",IF(T344="G",IF(N(Z343)&gt;0,Z343+1,1),IF(N(Z343)&lt;0,Z343-1,-1)))</f>
        <v/>
      </c>
      <c r="AA344" s="46" t="str">
        <f aca="false">IF($B344="","",B344-WEEKDAY(B344,2)+1)</f>
        <v/>
      </c>
      <c r="AB344" s="47" t="str">
        <f aca="false">IF($B344="","",DATE(YEAR(B344),MONTH(B344),1))</f>
        <v/>
      </c>
      <c r="AC344" s="41" t="str">
        <f aca="false">IF($B344="","",CHOOSE(WEEKDAY(B344,2),"Lunes","Martes","Miércoles","Jueves","Viernes","Sábado","Domingo"))</f>
        <v/>
      </c>
      <c r="AD344" s="36" t="str">
        <f aca="false">IF($B344="","",HOUR(C344))</f>
        <v/>
      </c>
      <c r="AE344" s="42" t="str">
        <f aca="false">IF($B344="","",IF(O344&lt;&gt;O343,MAX(V344-S344,V344),MAX(V344,AE343)))</f>
        <v/>
      </c>
      <c r="AF344" s="42" t="str">
        <f aca="false">IF($B344="","",V344-AE344)</f>
        <v/>
      </c>
      <c r="AG344" s="36" t="str">
        <f aca="false">IF($B344="","",IF(O344&lt;&gt;O343,IF(T344="G",1,-1),IF(T344="G",IF(N(AG343)&gt;0,AG343+1,1),IF(N(AG343)&lt;0,AG343-1,-1))))</f>
        <v/>
      </c>
    </row>
    <row r="345" customFormat="false" ht="15" hidden="false" customHeight="false" outlineLevel="0" collapsed="false">
      <c r="A345" s="36" t="str">
        <f aca="false">IF(B345="","",ROW()-6)</f>
        <v/>
      </c>
      <c r="B345" s="37"/>
      <c r="C345" s="38"/>
      <c r="D345" s="38"/>
      <c r="E345" s="39"/>
      <c r="F345" s="39"/>
      <c r="G345" s="39"/>
      <c r="H345" s="40"/>
      <c r="I345" s="40"/>
      <c r="J345" s="40"/>
      <c r="K345" s="40"/>
      <c r="L345" s="39"/>
      <c r="M345" s="40"/>
      <c r="N345" s="40"/>
      <c r="O345" s="36" t="str">
        <f aca="false">IF($B345="","",INT((A345-1)/Parametros!$C$10)+1)</f>
        <v/>
      </c>
      <c r="P345" s="41" t="str">
        <f aca="false">IF($B345="","",IF(OR(C345="",D345=""),"",ROUND((D345-C345)*1440,0)))</f>
        <v/>
      </c>
      <c r="Q345" s="42" t="str">
        <f aca="false">IF($B345="","",I345*VLOOKUP(E345,Parametros!$B$18:$D$24,2,FALSE()))</f>
        <v/>
      </c>
      <c r="R345" s="42" t="str">
        <f aca="false">IF($B345="","",G345*VLOOKUP(E345,Parametros!$B$18:$D$24,3,FALSE()))</f>
        <v/>
      </c>
      <c r="S345" s="42" t="str">
        <f aca="false">IF($B345="","",Q345-R345)</f>
        <v/>
      </c>
      <c r="T345" s="43" t="str">
        <f aca="false">IF($B345="","",IF(S345&gt;0,"G","P"))</f>
        <v/>
      </c>
      <c r="U345" s="44" t="str">
        <f aca="false">IF($B345="","",S345/Parametros!$C$8)</f>
        <v/>
      </c>
      <c r="V345" s="42" t="str">
        <f aca="false">IF($B345="","",Parametros!$C$6+SUM($S$7:S345))</f>
        <v/>
      </c>
      <c r="W345" s="42" t="str">
        <f aca="false">IF($B345="","",MAX(V345,W344))</f>
        <v/>
      </c>
      <c r="X345" s="42" t="str">
        <f aca="false">IF($B345="","",V345-W345)</f>
        <v/>
      </c>
      <c r="Y345" s="45" t="str">
        <f aca="false">IF($B345="","",X345/W345)</f>
        <v/>
      </c>
      <c r="Z345" s="36" t="str">
        <f aca="false">IF($B345="","",IF(T345="G",IF(N(Z344)&gt;0,Z344+1,1),IF(N(Z344)&lt;0,Z344-1,-1)))</f>
        <v/>
      </c>
      <c r="AA345" s="46" t="str">
        <f aca="false">IF($B345="","",B345-WEEKDAY(B345,2)+1)</f>
        <v/>
      </c>
      <c r="AB345" s="47" t="str">
        <f aca="false">IF($B345="","",DATE(YEAR(B345),MONTH(B345),1))</f>
        <v/>
      </c>
      <c r="AC345" s="41" t="str">
        <f aca="false">IF($B345="","",CHOOSE(WEEKDAY(B345,2),"Lunes","Martes","Miércoles","Jueves","Viernes","Sábado","Domingo"))</f>
        <v/>
      </c>
      <c r="AD345" s="36" t="str">
        <f aca="false">IF($B345="","",HOUR(C345))</f>
        <v/>
      </c>
      <c r="AE345" s="42" t="str">
        <f aca="false">IF($B345="","",IF(O345&lt;&gt;O344,MAX(V345-S345,V345),MAX(V345,AE344)))</f>
        <v/>
      </c>
      <c r="AF345" s="42" t="str">
        <f aca="false">IF($B345="","",V345-AE345)</f>
        <v/>
      </c>
      <c r="AG345" s="36" t="str">
        <f aca="false">IF($B345="","",IF(O345&lt;&gt;O344,IF(T345="G",1,-1),IF(T345="G",IF(N(AG344)&gt;0,AG344+1,1),IF(N(AG344)&lt;0,AG344-1,-1))))</f>
        <v/>
      </c>
    </row>
    <row r="346" customFormat="false" ht="15" hidden="false" customHeight="false" outlineLevel="0" collapsed="false">
      <c r="A346" s="36" t="str">
        <f aca="false">IF(B346="","",ROW()-6)</f>
        <v/>
      </c>
      <c r="B346" s="37"/>
      <c r="C346" s="38"/>
      <c r="D346" s="38"/>
      <c r="E346" s="39"/>
      <c r="F346" s="39"/>
      <c r="G346" s="39"/>
      <c r="H346" s="40"/>
      <c r="I346" s="40"/>
      <c r="J346" s="40"/>
      <c r="K346" s="40"/>
      <c r="L346" s="39"/>
      <c r="M346" s="40"/>
      <c r="N346" s="40"/>
      <c r="O346" s="36" t="str">
        <f aca="false">IF($B346="","",INT((A346-1)/Parametros!$C$10)+1)</f>
        <v/>
      </c>
      <c r="P346" s="41" t="str">
        <f aca="false">IF($B346="","",IF(OR(C346="",D346=""),"",ROUND((D346-C346)*1440,0)))</f>
        <v/>
      </c>
      <c r="Q346" s="42" t="str">
        <f aca="false">IF($B346="","",I346*VLOOKUP(E346,Parametros!$B$18:$D$24,2,FALSE()))</f>
        <v/>
      </c>
      <c r="R346" s="42" t="str">
        <f aca="false">IF($B346="","",G346*VLOOKUP(E346,Parametros!$B$18:$D$24,3,FALSE()))</f>
        <v/>
      </c>
      <c r="S346" s="42" t="str">
        <f aca="false">IF($B346="","",Q346-R346)</f>
        <v/>
      </c>
      <c r="T346" s="43" t="str">
        <f aca="false">IF($B346="","",IF(S346&gt;0,"G","P"))</f>
        <v/>
      </c>
      <c r="U346" s="44" t="str">
        <f aca="false">IF($B346="","",S346/Parametros!$C$8)</f>
        <v/>
      </c>
      <c r="V346" s="42" t="str">
        <f aca="false">IF($B346="","",Parametros!$C$6+SUM($S$7:S346))</f>
        <v/>
      </c>
      <c r="W346" s="42" t="str">
        <f aca="false">IF($B346="","",MAX(V346,W345))</f>
        <v/>
      </c>
      <c r="X346" s="42" t="str">
        <f aca="false">IF($B346="","",V346-W346)</f>
        <v/>
      </c>
      <c r="Y346" s="45" t="str">
        <f aca="false">IF($B346="","",X346/W346)</f>
        <v/>
      </c>
      <c r="Z346" s="36" t="str">
        <f aca="false">IF($B346="","",IF(T346="G",IF(N(Z345)&gt;0,Z345+1,1),IF(N(Z345)&lt;0,Z345-1,-1)))</f>
        <v/>
      </c>
      <c r="AA346" s="46" t="str">
        <f aca="false">IF($B346="","",B346-WEEKDAY(B346,2)+1)</f>
        <v/>
      </c>
      <c r="AB346" s="47" t="str">
        <f aca="false">IF($B346="","",DATE(YEAR(B346),MONTH(B346),1))</f>
        <v/>
      </c>
      <c r="AC346" s="41" t="str">
        <f aca="false">IF($B346="","",CHOOSE(WEEKDAY(B346,2),"Lunes","Martes","Miércoles","Jueves","Viernes","Sábado","Domingo"))</f>
        <v/>
      </c>
      <c r="AD346" s="36" t="str">
        <f aca="false">IF($B346="","",HOUR(C346))</f>
        <v/>
      </c>
      <c r="AE346" s="42" t="str">
        <f aca="false">IF($B346="","",IF(O346&lt;&gt;O345,MAX(V346-S346,V346),MAX(V346,AE345)))</f>
        <v/>
      </c>
      <c r="AF346" s="42" t="str">
        <f aca="false">IF($B346="","",V346-AE346)</f>
        <v/>
      </c>
      <c r="AG346" s="36" t="str">
        <f aca="false">IF($B346="","",IF(O346&lt;&gt;O345,IF(T346="G",1,-1),IF(T346="G",IF(N(AG345)&gt;0,AG345+1,1),IF(N(AG345)&lt;0,AG345-1,-1))))</f>
        <v/>
      </c>
    </row>
    <row r="347" customFormat="false" ht="15" hidden="false" customHeight="false" outlineLevel="0" collapsed="false">
      <c r="A347" s="36" t="str">
        <f aca="false">IF(B347="","",ROW()-6)</f>
        <v/>
      </c>
      <c r="B347" s="37"/>
      <c r="C347" s="38"/>
      <c r="D347" s="38"/>
      <c r="E347" s="39"/>
      <c r="F347" s="39"/>
      <c r="G347" s="39"/>
      <c r="H347" s="40"/>
      <c r="I347" s="40"/>
      <c r="J347" s="40"/>
      <c r="K347" s="40"/>
      <c r="L347" s="39"/>
      <c r="M347" s="40"/>
      <c r="N347" s="40"/>
      <c r="O347" s="36" t="str">
        <f aca="false">IF($B347="","",INT((A347-1)/Parametros!$C$10)+1)</f>
        <v/>
      </c>
      <c r="P347" s="41" t="str">
        <f aca="false">IF($B347="","",IF(OR(C347="",D347=""),"",ROUND((D347-C347)*1440,0)))</f>
        <v/>
      </c>
      <c r="Q347" s="42" t="str">
        <f aca="false">IF($B347="","",I347*VLOOKUP(E347,Parametros!$B$18:$D$24,2,FALSE()))</f>
        <v/>
      </c>
      <c r="R347" s="42" t="str">
        <f aca="false">IF($B347="","",G347*VLOOKUP(E347,Parametros!$B$18:$D$24,3,FALSE()))</f>
        <v/>
      </c>
      <c r="S347" s="42" t="str">
        <f aca="false">IF($B347="","",Q347-R347)</f>
        <v/>
      </c>
      <c r="T347" s="43" t="str">
        <f aca="false">IF($B347="","",IF(S347&gt;0,"G","P"))</f>
        <v/>
      </c>
      <c r="U347" s="44" t="str">
        <f aca="false">IF($B347="","",S347/Parametros!$C$8)</f>
        <v/>
      </c>
      <c r="V347" s="42" t="str">
        <f aca="false">IF($B347="","",Parametros!$C$6+SUM($S$7:S347))</f>
        <v/>
      </c>
      <c r="W347" s="42" t="str">
        <f aca="false">IF($B347="","",MAX(V347,W346))</f>
        <v/>
      </c>
      <c r="X347" s="42" t="str">
        <f aca="false">IF($B347="","",V347-W347)</f>
        <v/>
      </c>
      <c r="Y347" s="45" t="str">
        <f aca="false">IF($B347="","",X347/W347)</f>
        <v/>
      </c>
      <c r="Z347" s="36" t="str">
        <f aca="false">IF($B347="","",IF(T347="G",IF(N(Z346)&gt;0,Z346+1,1),IF(N(Z346)&lt;0,Z346-1,-1)))</f>
        <v/>
      </c>
      <c r="AA347" s="46" t="str">
        <f aca="false">IF($B347="","",B347-WEEKDAY(B347,2)+1)</f>
        <v/>
      </c>
      <c r="AB347" s="47" t="str">
        <f aca="false">IF($B347="","",DATE(YEAR(B347),MONTH(B347),1))</f>
        <v/>
      </c>
      <c r="AC347" s="41" t="str">
        <f aca="false">IF($B347="","",CHOOSE(WEEKDAY(B347,2),"Lunes","Martes","Miércoles","Jueves","Viernes","Sábado","Domingo"))</f>
        <v/>
      </c>
      <c r="AD347" s="36" t="str">
        <f aca="false">IF($B347="","",HOUR(C347))</f>
        <v/>
      </c>
      <c r="AE347" s="42" t="str">
        <f aca="false">IF($B347="","",IF(O347&lt;&gt;O346,MAX(V347-S347,V347),MAX(V347,AE346)))</f>
        <v/>
      </c>
      <c r="AF347" s="42" t="str">
        <f aca="false">IF($B347="","",V347-AE347)</f>
        <v/>
      </c>
      <c r="AG347" s="36" t="str">
        <f aca="false">IF($B347="","",IF(O347&lt;&gt;O346,IF(T347="G",1,-1),IF(T347="G",IF(N(AG346)&gt;0,AG346+1,1),IF(N(AG346)&lt;0,AG346-1,-1))))</f>
        <v/>
      </c>
    </row>
    <row r="348" customFormat="false" ht="15" hidden="false" customHeight="false" outlineLevel="0" collapsed="false">
      <c r="A348" s="36" t="str">
        <f aca="false">IF(B348="","",ROW()-6)</f>
        <v/>
      </c>
      <c r="B348" s="37"/>
      <c r="C348" s="38"/>
      <c r="D348" s="38"/>
      <c r="E348" s="39"/>
      <c r="F348" s="39"/>
      <c r="G348" s="39"/>
      <c r="H348" s="40"/>
      <c r="I348" s="40"/>
      <c r="J348" s="40"/>
      <c r="K348" s="40"/>
      <c r="L348" s="39"/>
      <c r="M348" s="40"/>
      <c r="N348" s="40"/>
      <c r="O348" s="36" t="str">
        <f aca="false">IF($B348="","",INT((A348-1)/Parametros!$C$10)+1)</f>
        <v/>
      </c>
      <c r="P348" s="41" t="str">
        <f aca="false">IF($B348="","",IF(OR(C348="",D348=""),"",ROUND((D348-C348)*1440,0)))</f>
        <v/>
      </c>
      <c r="Q348" s="42" t="str">
        <f aca="false">IF($B348="","",I348*VLOOKUP(E348,Parametros!$B$18:$D$24,2,FALSE()))</f>
        <v/>
      </c>
      <c r="R348" s="42" t="str">
        <f aca="false">IF($B348="","",G348*VLOOKUP(E348,Parametros!$B$18:$D$24,3,FALSE()))</f>
        <v/>
      </c>
      <c r="S348" s="42" t="str">
        <f aca="false">IF($B348="","",Q348-R348)</f>
        <v/>
      </c>
      <c r="T348" s="43" t="str">
        <f aca="false">IF($B348="","",IF(S348&gt;0,"G","P"))</f>
        <v/>
      </c>
      <c r="U348" s="44" t="str">
        <f aca="false">IF($B348="","",S348/Parametros!$C$8)</f>
        <v/>
      </c>
      <c r="V348" s="42" t="str">
        <f aca="false">IF($B348="","",Parametros!$C$6+SUM($S$7:S348))</f>
        <v/>
      </c>
      <c r="W348" s="42" t="str">
        <f aca="false">IF($B348="","",MAX(V348,W347))</f>
        <v/>
      </c>
      <c r="X348" s="42" t="str">
        <f aca="false">IF($B348="","",V348-W348)</f>
        <v/>
      </c>
      <c r="Y348" s="45" t="str">
        <f aca="false">IF($B348="","",X348/W348)</f>
        <v/>
      </c>
      <c r="Z348" s="36" t="str">
        <f aca="false">IF($B348="","",IF(T348="G",IF(N(Z347)&gt;0,Z347+1,1),IF(N(Z347)&lt;0,Z347-1,-1)))</f>
        <v/>
      </c>
      <c r="AA348" s="46" t="str">
        <f aca="false">IF($B348="","",B348-WEEKDAY(B348,2)+1)</f>
        <v/>
      </c>
      <c r="AB348" s="47" t="str">
        <f aca="false">IF($B348="","",DATE(YEAR(B348),MONTH(B348),1))</f>
        <v/>
      </c>
      <c r="AC348" s="41" t="str">
        <f aca="false">IF($B348="","",CHOOSE(WEEKDAY(B348,2),"Lunes","Martes","Miércoles","Jueves","Viernes","Sábado","Domingo"))</f>
        <v/>
      </c>
      <c r="AD348" s="36" t="str">
        <f aca="false">IF($B348="","",HOUR(C348))</f>
        <v/>
      </c>
      <c r="AE348" s="42" t="str">
        <f aca="false">IF($B348="","",IF(O348&lt;&gt;O347,MAX(V348-S348,V348),MAX(V348,AE347)))</f>
        <v/>
      </c>
      <c r="AF348" s="42" t="str">
        <f aca="false">IF($B348="","",V348-AE348)</f>
        <v/>
      </c>
      <c r="AG348" s="36" t="str">
        <f aca="false">IF($B348="","",IF(O348&lt;&gt;O347,IF(T348="G",1,-1),IF(T348="G",IF(N(AG347)&gt;0,AG347+1,1),IF(N(AG347)&lt;0,AG347-1,-1))))</f>
        <v/>
      </c>
    </row>
    <row r="349" customFormat="false" ht="15" hidden="false" customHeight="false" outlineLevel="0" collapsed="false">
      <c r="A349" s="36" t="str">
        <f aca="false">IF(B349="","",ROW()-6)</f>
        <v/>
      </c>
      <c r="B349" s="37"/>
      <c r="C349" s="38"/>
      <c r="D349" s="38"/>
      <c r="E349" s="39"/>
      <c r="F349" s="39"/>
      <c r="G349" s="39"/>
      <c r="H349" s="40"/>
      <c r="I349" s="40"/>
      <c r="J349" s="40"/>
      <c r="K349" s="40"/>
      <c r="L349" s="39"/>
      <c r="M349" s="40"/>
      <c r="N349" s="40"/>
      <c r="O349" s="36" t="str">
        <f aca="false">IF($B349="","",INT((A349-1)/Parametros!$C$10)+1)</f>
        <v/>
      </c>
      <c r="P349" s="41" t="str">
        <f aca="false">IF($B349="","",IF(OR(C349="",D349=""),"",ROUND((D349-C349)*1440,0)))</f>
        <v/>
      </c>
      <c r="Q349" s="42" t="str">
        <f aca="false">IF($B349="","",I349*VLOOKUP(E349,Parametros!$B$18:$D$24,2,FALSE()))</f>
        <v/>
      </c>
      <c r="R349" s="42" t="str">
        <f aca="false">IF($B349="","",G349*VLOOKUP(E349,Parametros!$B$18:$D$24,3,FALSE()))</f>
        <v/>
      </c>
      <c r="S349" s="42" t="str">
        <f aca="false">IF($B349="","",Q349-R349)</f>
        <v/>
      </c>
      <c r="T349" s="43" t="str">
        <f aca="false">IF($B349="","",IF(S349&gt;0,"G","P"))</f>
        <v/>
      </c>
      <c r="U349" s="44" t="str">
        <f aca="false">IF($B349="","",S349/Parametros!$C$8)</f>
        <v/>
      </c>
      <c r="V349" s="42" t="str">
        <f aca="false">IF($B349="","",Parametros!$C$6+SUM($S$7:S349))</f>
        <v/>
      </c>
      <c r="W349" s="42" t="str">
        <f aca="false">IF($B349="","",MAX(V349,W348))</f>
        <v/>
      </c>
      <c r="X349" s="42" t="str">
        <f aca="false">IF($B349="","",V349-W349)</f>
        <v/>
      </c>
      <c r="Y349" s="45" t="str">
        <f aca="false">IF($B349="","",X349/W349)</f>
        <v/>
      </c>
      <c r="Z349" s="36" t="str">
        <f aca="false">IF($B349="","",IF(T349="G",IF(N(Z348)&gt;0,Z348+1,1),IF(N(Z348)&lt;0,Z348-1,-1)))</f>
        <v/>
      </c>
      <c r="AA349" s="46" t="str">
        <f aca="false">IF($B349="","",B349-WEEKDAY(B349,2)+1)</f>
        <v/>
      </c>
      <c r="AB349" s="47" t="str">
        <f aca="false">IF($B349="","",DATE(YEAR(B349),MONTH(B349),1))</f>
        <v/>
      </c>
      <c r="AC349" s="41" t="str">
        <f aca="false">IF($B349="","",CHOOSE(WEEKDAY(B349,2),"Lunes","Martes","Miércoles","Jueves","Viernes","Sábado","Domingo"))</f>
        <v/>
      </c>
      <c r="AD349" s="36" t="str">
        <f aca="false">IF($B349="","",HOUR(C349))</f>
        <v/>
      </c>
      <c r="AE349" s="42" t="str">
        <f aca="false">IF($B349="","",IF(O349&lt;&gt;O348,MAX(V349-S349,V349),MAX(V349,AE348)))</f>
        <v/>
      </c>
      <c r="AF349" s="42" t="str">
        <f aca="false">IF($B349="","",V349-AE349)</f>
        <v/>
      </c>
      <c r="AG349" s="36" t="str">
        <f aca="false">IF($B349="","",IF(O349&lt;&gt;O348,IF(T349="G",1,-1),IF(T349="G",IF(N(AG348)&gt;0,AG348+1,1),IF(N(AG348)&lt;0,AG348-1,-1))))</f>
        <v/>
      </c>
    </row>
    <row r="350" customFormat="false" ht="15" hidden="false" customHeight="false" outlineLevel="0" collapsed="false">
      <c r="A350" s="36" t="str">
        <f aca="false">IF(B350="","",ROW()-6)</f>
        <v/>
      </c>
      <c r="B350" s="37"/>
      <c r="C350" s="38"/>
      <c r="D350" s="38"/>
      <c r="E350" s="39"/>
      <c r="F350" s="39"/>
      <c r="G350" s="39"/>
      <c r="H350" s="40"/>
      <c r="I350" s="40"/>
      <c r="J350" s="40"/>
      <c r="K350" s="40"/>
      <c r="L350" s="39"/>
      <c r="M350" s="40"/>
      <c r="N350" s="40"/>
      <c r="O350" s="36" t="str">
        <f aca="false">IF($B350="","",INT((A350-1)/Parametros!$C$10)+1)</f>
        <v/>
      </c>
      <c r="P350" s="41" t="str">
        <f aca="false">IF($B350="","",IF(OR(C350="",D350=""),"",ROUND((D350-C350)*1440,0)))</f>
        <v/>
      </c>
      <c r="Q350" s="42" t="str">
        <f aca="false">IF($B350="","",I350*VLOOKUP(E350,Parametros!$B$18:$D$24,2,FALSE()))</f>
        <v/>
      </c>
      <c r="R350" s="42" t="str">
        <f aca="false">IF($B350="","",G350*VLOOKUP(E350,Parametros!$B$18:$D$24,3,FALSE()))</f>
        <v/>
      </c>
      <c r="S350" s="42" t="str">
        <f aca="false">IF($B350="","",Q350-R350)</f>
        <v/>
      </c>
      <c r="T350" s="43" t="str">
        <f aca="false">IF($B350="","",IF(S350&gt;0,"G","P"))</f>
        <v/>
      </c>
      <c r="U350" s="44" t="str">
        <f aca="false">IF($B350="","",S350/Parametros!$C$8)</f>
        <v/>
      </c>
      <c r="V350" s="42" t="str">
        <f aca="false">IF($B350="","",Parametros!$C$6+SUM($S$7:S350))</f>
        <v/>
      </c>
      <c r="W350" s="42" t="str">
        <f aca="false">IF($B350="","",MAX(V350,W349))</f>
        <v/>
      </c>
      <c r="X350" s="42" t="str">
        <f aca="false">IF($B350="","",V350-W350)</f>
        <v/>
      </c>
      <c r="Y350" s="45" t="str">
        <f aca="false">IF($B350="","",X350/W350)</f>
        <v/>
      </c>
      <c r="Z350" s="36" t="str">
        <f aca="false">IF($B350="","",IF(T350="G",IF(N(Z349)&gt;0,Z349+1,1),IF(N(Z349)&lt;0,Z349-1,-1)))</f>
        <v/>
      </c>
      <c r="AA350" s="46" t="str">
        <f aca="false">IF($B350="","",B350-WEEKDAY(B350,2)+1)</f>
        <v/>
      </c>
      <c r="AB350" s="47" t="str">
        <f aca="false">IF($B350="","",DATE(YEAR(B350),MONTH(B350),1))</f>
        <v/>
      </c>
      <c r="AC350" s="41" t="str">
        <f aca="false">IF($B350="","",CHOOSE(WEEKDAY(B350,2),"Lunes","Martes","Miércoles","Jueves","Viernes","Sábado","Domingo"))</f>
        <v/>
      </c>
      <c r="AD350" s="36" t="str">
        <f aca="false">IF($B350="","",HOUR(C350))</f>
        <v/>
      </c>
      <c r="AE350" s="42" t="str">
        <f aca="false">IF($B350="","",IF(O350&lt;&gt;O349,MAX(V350-S350,V350),MAX(V350,AE349)))</f>
        <v/>
      </c>
      <c r="AF350" s="42" t="str">
        <f aca="false">IF($B350="","",V350-AE350)</f>
        <v/>
      </c>
      <c r="AG350" s="36" t="str">
        <f aca="false">IF($B350="","",IF(O350&lt;&gt;O349,IF(T350="G",1,-1),IF(T350="G",IF(N(AG349)&gt;0,AG349+1,1),IF(N(AG349)&lt;0,AG349-1,-1))))</f>
        <v/>
      </c>
    </row>
    <row r="351" customFormat="false" ht="15" hidden="false" customHeight="false" outlineLevel="0" collapsed="false">
      <c r="A351" s="36" t="str">
        <f aca="false">IF(B351="","",ROW()-6)</f>
        <v/>
      </c>
      <c r="B351" s="37"/>
      <c r="C351" s="38"/>
      <c r="D351" s="38"/>
      <c r="E351" s="39"/>
      <c r="F351" s="39"/>
      <c r="G351" s="39"/>
      <c r="H351" s="40"/>
      <c r="I351" s="40"/>
      <c r="J351" s="40"/>
      <c r="K351" s="40"/>
      <c r="L351" s="39"/>
      <c r="M351" s="40"/>
      <c r="N351" s="40"/>
      <c r="O351" s="36" t="str">
        <f aca="false">IF($B351="","",INT((A351-1)/Parametros!$C$10)+1)</f>
        <v/>
      </c>
      <c r="P351" s="41" t="str">
        <f aca="false">IF($B351="","",IF(OR(C351="",D351=""),"",ROUND((D351-C351)*1440,0)))</f>
        <v/>
      </c>
      <c r="Q351" s="42" t="str">
        <f aca="false">IF($B351="","",I351*VLOOKUP(E351,Parametros!$B$18:$D$24,2,FALSE()))</f>
        <v/>
      </c>
      <c r="R351" s="42" t="str">
        <f aca="false">IF($B351="","",G351*VLOOKUP(E351,Parametros!$B$18:$D$24,3,FALSE()))</f>
        <v/>
      </c>
      <c r="S351" s="42" t="str">
        <f aca="false">IF($B351="","",Q351-R351)</f>
        <v/>
      </c>
      <c r="T351" s="43" t="str">
        <f aca="false">IF($B351="","",IF(S351&gt;0,"G","P"))</f>
        <v/>
      </c>
      <c r="U351" s="44" t="str">
        <f aca="false">IF($B351="","",S351/Parametros!$C$8)</f>
        <v/>
      </c>
      <c r="V351" s="42" t="str">
        <f aca="false">IF($B351="","",Parametros!$C$6+SUM($S$7:S351))</f>
        <v/>
      </c>
      <c r="W351" s="42" t="str">
        <f aca="false">IF($B351="","",MAX(V351,W350))</f>
        <v/>
      </c>
      <c r="X351" s="42" t="str">
        <f aca="false">IF($B351="","",V351-W351)</f>
        <v/>
      </c>
      <c r="Y351" s="45" t="str">
        <f aca="false">IF($B351="","",X351/W351)</f>
        <v/>
      </c>
      <c r="Z351" s="36" t="str">
        <f aca="false">IF($B351="","",IF(T351="G",IF(N(Z350)&gt;0,Z350+1,1),IF(N(Z350)&lt;0,Z350-1,-1)))</f>
        <v/>
      </c>
      <c r="AA351" s="46" t="str">
        <f aca="false">IF($B351="","",B351-WEEKDAY(B351,2)+1)</f>
        <v/>
      </c>
      <c r="AB351" s="47" t="str">
        <f aca="false">IF($B351="","",DATE(YEAR(B351),MONTH(B351),1))</f>
        <v/>
      </c>
      <c r="AC351" s="41" t="str">
        <f aca="false">IF($B351="","",CHOOSE(WEEKDAY(B351,2),"Lunes","Martes","Miércoles","Jueves","Viernes","Sábado","Domingo"))</f>
        <v/>
      </c>
      <c r="AD351" s="36" t="str">
        <f aca="false">IF($B351="","",HOUR(C351))</f>
        <v/>
      </c>
      <c r="AE351" s="42" t="str">
        <f aca="false">IF($B351="","",IF(O351&lt;&gt;O350,MAX(V351-S351,V351),MAX(V351,AE350)))</f>
        <v/>
      </c>
      <c r="AF351" s="42" t="str">
        <f aca="false">IF($B351="","",V351-AE351)</f>
        <v/>
      </c>
      <c r="AG351" s="36" t="str">
        <f aca="false">IF($B351="","",IF(O351&lt;&gt;O350,IF(T351="G",1,-1),IF(T351="G",IF(N(AG350)&gt;0,AG350+1,1),IF(N(AG350)&lt;0,AG350-1,-1))))</f>
        <v/>
      </c>
    </row>
    <row r="352" customFormat="false" ht="15" hidden="false" customHeight="false" outlineLevel="0" collapsed="false">
      <c r="A352" s="36" t="str">
        <f aca="false">IF(B352="","",ROW()-6)</f>
        <v/>
      </c>
      <c r="B352" s="37"/>
      <c r="C352" s="38"/>
      <c r="D352" s="38"/>
      <c r="E352" s="39"/>
      <c r="F352" s="39"/>
      <c r="G352" s="39"/>
      <c r="H352" s="40"/>
      <c r="I352" s="40"/>
      <c r="J352" s="40"/>
      <c r="K352" s="40"/>
      <c r="L352" s="39"/>
      <c r="M352" s="40"/>
      <c r="N352" s="40"/>
      <c r="O352" s="36" t="str">
        <f aca="false">IF($B352="","",INT((A352-1)/Parametros!$C$10)+1)</f>
        <v/>
      </c>
      <c r="P352" s="41" t="str">
        <f aca="false">IF($B352="","",IF(OR(C352="",D352=""),"",ROUND((D352-C352)*1440,0)))</f>
        <v/>
      </c>
      <c r="Q352" s="42" t="str">
        <f aca="false">IF($B352="","",I352*VLOOKUP(E352,Parametros!$B$18:$D$24,2,FALSE()))</f>
        <v/>
      </c>
      <c r="R352" s="42" t="str">
        <f aca="false">IF($B352="","",G352*VLOOKUP(E352,Parametros!$B$18:$D$24,3,FALSE()))</f>
        <v/>
      </c>
      <c r="S352" s="42" t="str">
        <f aca="false">IF($B352="","",Q352-R352)</f>
        <v/>
      </c>
      <c r="T352" s="43" t="str">
        <f aca="false">IF($B352="","",IF(S352&gt;0,"G","P"))</f>
        <v/>
      </c>
      <c r="U352" s="44" t="str">
        <f aca="false">IF($B352="","",S352/Parametros!$C$8)</f>
        <v/>
      </c>
      <c r="V352" s="42" t="str">
        <f aca="false">IF($B352="","",Parametros!$C$6+SUM($S$7:S352))</f>
        <v/>
      </c>
      <c r="W352" s="42" t="str">
        <f aca="false">IF($B352="","",MAX(V352,W351))</f>
        <v/>
      </c>
      <c r="X352" s="42" t="str">
        <f aca="false">IF($B352="","",V352-W352)</f>
        <v/>
      </c>
      <c r="Y352" s="45" t="str">
        <f aca="false">IF($B352="","",X352/W352)</f>
        <v/>
      </c>
      <c r="Z352" s="36" t="str">
        <f aca="false">IF($B352="","",IF(T352="G",IF(N(Z351)&gt;0,Z351+1,1),IF(N(Z351)&lt;0,Z351-1,-1)))</f>
        <v/>
      </c>
      <c r="AA352" s="46" t="str">
        <f aca="false">IF($B352="","",B352-WEEKDAY(B352,2)+1)</f>
        <v/>
      </c>
      <c r="AB352" s="47" t="str">
        <f aca="false">IF($B352="","",DATE(YEAR(B352),MONTH(B352),1))</f>
        <v/>
      </c>
      <c r="AC352" s="41" t="str">
        <f aca="false">IF($B352="","",CHOOSE(WEEKDAY(B352,2),"Lunes","Martes","Miércoles","Jueves","Viernes","Sábado","Domingo"))</f>
        <v/>
      </c>
      <c r="AD352" s="36" t="str">
        <f aca="false">IF($B352="","",HOUR(C352))</f>
        <v/>
      </c>
      <c r="AE352" s="42" t="str">
        <f aca="false">IF($B352="","",IF(O352&lt;&gt;O351,MAX(V352-S352,V352),MAX(V352,AE351)))</f>
        <v/>
      </c>
      <c r="AF352" s="42" t="str">
        <f aca="false">IF($B352="","",V352-AE352)</f>
        <v/>
      </c>
      <c r="AG352" s="36" t="str">
        <f aca="false">IF($B352="","",IF(O352&lt;&gt;O351,IF(T352="G",1,-1),IF(T352="G",IF(N(AG351)&gt;0,AG351+1,1),IF(N(AG351)&lt;0,AG351-1,-1))))</f>
        <v/>
      </c>
    </row>
    <row r="353" customFormat="false" ht="15" hidden="false" customHeight="false" outlineLevel="0" collapsed="false">
      <c r="A353" s="36" t="str">
        <f aca="false">IF(B353="","",ROW()-6)</f>
        <v/>
      </c>
      <c r="B353" s="37"/>
      <c r="C353" s="38"/>
      <c r="D353" s="38"/>
      <c r="E353" s="39"/>
      <c r="F353" s="39"/>
      <c r="G353" s="39"/>
      <c r="H353" s="40"/>
      <c r="I353" s="40"/>
      <c r="J353" s="40"/>
      <c r="K353" s="40"/>
      <c r="L353" s="39"/>
      <c r="M353" s="40"/>
      <c r="N353" s="40"/>
      <c r="O353" s="36" t="str">
        <f aca="false">IF($B353="","",INT((A353-1)/Parametros!$C$10)+1)</f>
        <v/>
      </c>
      <c r="P353" s="41" t="str">
        <f aca="false">IF($B353="","",IF(OR(C353="",D353=""),"",ROUND((D353-C353)*1440,0)))</f>
        <v/>
      </c>
      <c r="Q353" s="42" t="str">
        <f aca="false">IF($B353="","",I353*VLOOKUP(E353,Parametros!$B$18:$D$24,2,FALSE()))</f>
        <v/>
      </c>
      <c r="R353" s="42" t="str">
        <f aca="false">IF($B353="","",G353*VLOOKUP(E353,Parametros!$B$18:$D$24,3,FALSE()))</f>
        <v/>
      </c>
      <c r="S353" s="42" t="str">
        <f aca="false">IF($B353="","",Q353-R353)</f>
        <v/>
      </c>
      <c r="T353" s="43" t="str">
        <f aca="false">IF($B353="","",IF(S353&gt;0,"G","P"))</f>
        <v/>
      </c>
      <c r="U353" s="44" t="str">
        <f aca="false">IF($B353="","",S353/Parametros!$C$8)</f>
        <v/>
      </c>
      <c r="V353" s="42" t="str">
        <f aca="false">IF($B353="","",Parametros!$C$6+SUM($S$7:S353))</f>
        <v/>
      </c>
      <c r="W353" s="42" t="str">
        <f aca="false">IF($B353="","",MAX(V353,W352))</f>
        <v/>
      </c>
      <c r="X353" s="42" t="str">
        <f aca="false">IF($B353="","",V353-W353)</f>
        <v/>
      </c>
      <c r="Y353" s="45" t="str">
        <f aca="false">IF($B353="","",X353/W353)</f>
        <v/>
      </c>
      <c r="Z353" s="36" t="str">
        <f aca="false">IF($B353="","",IF(T353="G",IF(N(Z352)&gt;0,Z352+1,1),IF(N(Z352)&lt;0,Z352-1,-1)))</f>
        <v/>
      </c>
      <c r="AA353" s="46" t="str">
        <f aca="false">IF($B353="","",B353-WEEKDAY(B353,2)+1)</f>
        <v/>
      </c>
      <c r="AB353" s="47" t="str">
        <f aca="false">IF($B353="","",DATE(YEAR(B353),MONTH(B353),1))</f>
        <v/>
      </c>
      <c r="AC353" s="41" t="str">
        <f aca="false">IF($B353="","",CHOOSE(WEEKDAY(B353,2),"Lunes","Martes","Miércoles","Jueves","Viernes","Sábado","Domingo"))</f>
        <v/>
      </c>
      <c r="AD353" s="36" t="str">
        <f aca="false">IF($B353="","",HOUR(C353))</f>
        <v/>
      </c>
      <c r="AE353" s="42" t="str">
        <f aca="false">IF($B353="","",IF(O353&lt;&gt;O352,MAX(V353-S353,V353),MAX(V353,AE352)))</f>
        <v/>
      </c>
      <c r="AF353" s="42" t="str">
        <f aca="false">IF($B353="","",V353-AE353)</f>
        <v/>
      </c>
      <c r="AG353" s="36" t="str">
        <f aca="false">IF($B353="","",IF(O353&lt;&gt;O352,IF(T353="G",1,-1),IF(T353="G",IF(N(AG352)&gt;0,AG352+1,1),IF(N(AG352)&lt;0,AG352-1,-1))))</f>
        <v/>
      </c>
    </row>
    <row r="354" customFormat="false" ht="15" hidden="false" customHeight="false" outlineLevel="0" collapsed="false">
      <c r="A354" s="36" t="str">
        <f aca="false">IF(B354="","",ROW()-6)</f>
        <v/>
      </c>
      <c r="B354" s="37"/>
      <c r="C354" s="38"/>
      <c r="D354" s="38"/>
      <c r="E354" s="39"/>
      <c r="F354" s="39"/>
      <c r="G354" s="39"/>
      <c r="H354" s="40"/>
      <c r="I354" s="40"/>
      <c r="J354" s="40"/>
      <c r="K354" s="40"/>
      <c r="L354" s="39"/>
      <c r="M354" s="40"/>
      <c r="N354" s="40"/>
      <c r="O354" s="36" t="str">
        <f aca="false">IF($B354="","",INT((A354-1)/Parametros!$C$10)+1)</f>
        <v/>
      </c>
      <c r="P354" s="41" t="str">
        <f aca="false">IF($B354="","",IF(OR(C354="",D354=""),"",ROUND((D354-C354)*1440,0)))</f>
        <v/>
      </c>
      <c r="Q354" s="42" t="str">
        <f aca="false">IF($B354="","",I354*VLOOKUP(E354,Parametros!$B$18:$D$24,2,FALSE()))</f>
        <v/>
      </c>
      <c r="R354" s="42" t="str">
        <f aca="false">IF($B354="","",G354*VLOOKUP(E354,Parametros!$B$18:$D$24,3,FALSE()))</f>
        <v/>
      </c>
      <c r="S354" s="42" t="str">
        <f aca="false">IF($B354="","",Q354-R354)</f>
        <v/>
      </c>
      <c r="T354" s="43" t="str">
        <f aca="false">IF($B354="","",IF(S354&gt;0,"G","P"))</f>
        <v/>
      </c>
      <c r="U354" s="44" t="str">
        <f aca="false">IF($B354="","",S354/Parametros!$C$8)</f>
        <v/>
      </c>
      <c r="V354" s="42" t="str">
        <f aca="false">IF($B354="","",Parametros!$C$6+SUM($S$7:S354))</f>
        <v/>
      </c>
      <c r="W354" s="42" t="str">
        <f aca="false">IF($B354="","",MAX(V354,W353))</f>
        <v/>
      </c>
      <c r="X354" s="42" t="str">
        <f aca="false">IF($B354="","",V354-W354)</f>
        <v/>
      </c>
      <c r="Y354" s="45" t="str">
        <f aca="false">IF($B354="","",X354/W354)</f>
        <v/>
      </c>
      <c r="Z354" s="36" t="str">
        <f aca="false">IF($B354="","",IF(T354="G",IF(N(Z353)&gt;0,Z353+1,1),IF(N(Z353)&lt;0,Z353-1,-1)))</f>
        <v/>
      </c>
      <c r="AA354" s="46" t="str">
        <f aca="false">IF($B354="","",B354-WEEKDAY(B354,2)+1)</f>
        <v/>
      </c>
      <c r="AB354" s="47" t="str">
        <f aca="false">IF($B354="","",DATE(YEAR(B354),MONTH(B354),1))</f>
        <v/>
      </c>
      <c r="AC354" s="41" t="str">
        <f aca="false">IF($B354="","",CHOOSE(WEEKDAY(B354,2),"Lunes","Martes","Miércoles","Jueves","Viernes","Sábado","Domingo"))</f>
        <v/>
      </c>
      <c r="AD354" s="36" t="str">
        <f aca="false">IF($B354="","",HOUR(C354))</f>
        <v/>
      </c>
      <c r="AE354" s="42" t="str">
        <f aca="false">IF($B354="","",IF(O354&lt;&gt;O353,MAX(V354-S354,V354),MAX(V354,AE353)))</f>
        <v/>
      </c>
      <c r="AF354" s="42" t="str">
        <f aca="false">IF($B354="","",V354-AE354)</f>
        <v/>
      </c>
      <c r="AG354" s="36" t="str">
        <f aca="false">IF($B354="","",IF(O354&lt;&gt;O353,IF(T354="G",1,-1),IF(T354="G",IF(N(AG353)&gt;0,AG353+1,1),IF(N(AG353)&lt;0,AG353-1,-1))))</f>
        <v/>
      </c>
    </row>
    <row r="355" customFormat="false" ht="15" hidden="false" customHeight="false" outlineLevel="0" collapsed="false">
      <c r="A355" s="36" t="str">
        <f aca="false">IF(B355="","",ROW()-6)</f>
        <v/>
      </c>
      <c r="B355" s="37"/>
      <c r="C355" s="38"/>
      <c r="D355" s="38"/>
      <c r="E355" s="39"/>
      <c r="F355" s="39"/>
      <c r="G355" s="39"/>
      <c r="H355" s="40"/>
      <c r="I355" s="40"/>
      <c r="J355" s="40"/>
      <c r="K355" s="40"/>
      <c r="L355" s="39"/>
      <c r="M355" s="40"/>
      <c r="N355" s="40"/>
      <c r="O355" s="36" t="str">
        <f aca="false">IF($B355="","",INT((A355-1)/Parametros!$C$10)+1)</f>
        <v/>
      </c>
      <c r="P355" s="41" t="str">
        <f aca="false">IF($B355="","",IF(OR(C355="",D355=""),"",ROUND((D355-C355)*1440,0)))</f>
        <v/>
      </c>
      <c r="Q355" s="42" t="str">
        <f aca="false">IF($B355="","",I355*VLOOKUP(E355,Parametros!$B$18:$D$24,2,FALSE()))</f>
        <v/>
      </c>
      <c r="R355" s="42" t="str">
        <f aca="false">IF($B355="","",G355*VLOOKUP(E355,Parametros!$B$18:$D$24,3,FALSE()))</f>
        <v/>
      </c>
      <c r="S355" s="42" t="str">
        <f aca="false">IF($B355="","",Q355-R355)</f>
        <v/>
      </c>
      <c r="T355" s="43" t="str">
        <f aca="false">IF($B355="","",IF(S355&gt;0,"G","P"))</f>
        <v/>
      </c>
      <c r="U355" s="44" t="str">
        <f aca="false">IF($B355="","",S355/Parametros!$C$8)</f>
        <v/>
      </c>
      <c r="V355" s="42" t="str">
        <f aca="false">IF($B355="","",Parametros!$C$6+SUM($S$7:S355))</f>
        <v/>
      </c>
      <c r="W355" s="42" t="str">
        <f aca="false">IF($B355="","",MAX(V355,W354))</f>
        <v/>
      </c>
      <c r="X355" s="42" t="str">
        <f aca="false">IF($B355="","",V355-W355)</f>
        <v/>
      </c>
      <c r="Y355" s="45" t="str">
        <f aca="false">IF($B355="","",X355/W355)</f>
        <v/>
      </c>
      <c r="Z355" s="36" t="str">
        <f aca="false">IF($B355="","",IF(T355="G",IF(N(Z354)&gt;0,Z354+1,1),IF(N(Z354)&lt;0,Z354-1,-1)))</f>
        <v/>
      </c>
      <c r="AA355" s="46" t="str">
        <f aca="false">IF($B355="","",B355-WEEKDAY(B355,2)+1)</f>
        <v/>
      </c>
      <c r="AB355" s="47" t="str">
        <f aca="false">IF($B355="","",DATE(YEAR(B355),MONTH(B355),1))</f>
        <v/>
      </c>
      <c r="AC355" s="41" t="str">
        <f aca="false">IF($B355="","",CHOOSE(WEEKDAY(B355,2),"Lunes","Martes","Miércoles","Jueves","Viernes","Sábado","Domingo"))</f>
        <v/>
      </c>
      <c r="AD355" s="36" t="str">
        <f aca="false">IF($B355="","",HOUR(C355))</f>
        <v/>
      </c>
      <c r="AE355" s="42" t="str">
        <f aca="false">IF($B355="","",IF(O355&lt;&gt;O354,MAX(V355-S355,V355),MAX(V355,AE354)))</f>
        <v/>
      </c>
      <c r="AF355" s="42" t="str">
        <f aca="false">IF($B355="","",V355-AE355)</f>
        <v/>
      </c>
      <c r="AG355" s="36" t="str">
        <f aca="false">IF($B355="","",IF(O355&lt;&gt;O354,IF(T355="G",1,-1),IF(T355="G",IF(N(AG354)&gt;0,AG354+1,1),IF(N(AG354)&lt;0,AG354-1,-1))))</f>
        <v/>
      </c>
    </row>
    <row r="356" customFormat="false" ht="15" hidden="false" customHeight="false" outlineLevel="0" collapsed="false">
      <c r="A356" s="36" t="str">
        <f aca="false">IF(B356="","",ROW()-6)</f>
        <v/>
      </c>
      <c r="B356" s="37"/>
      <c r="C356" s="38"/>
      <c r="D356" s="38"/>
      <c r="E356" s="39"/>
      <c r="F356" s="39"/>
      <c r="G356" s="39"/>
      <c r="H356" s="40"/>
      <c r="I356" s="40"/>
      <c r="J356" s="40"/>
      <c r="K356" s="40"/>
      <c r="L356" s="39"/>
      <c r="M356" s="40"/>
      <c r="N356" s="40"/>
      <c r="O356" s="36" t="str">
        <f aca="false">IF($B356="","",INT((A356-1)/Parametros!$C$10)+1)</f>
        <v/>
      </c>
      <c r="P356" s="41" t="str">
        <f aca="false">IF($B356="","",IF(OR(C356="",D356=""),"",ROUND((D356-C356)*1440,0)))</f>
        <v/>
      </c>
      <c r="Q356" s="42" t="str">
        <f aca="false">IF($B356="","",I356*VLOOKUP(E356,Parametros!$B$18:$D$24,2,FALSE()))</f>
        <v/>
      </c>
      <c r="R356" s="42" t="str">
        <f aca="false">IF($B356="","",G356*VLOOKUP(E356,Parametros!$B$18:$D$24,3,FALSE()))</f>
        <v/>
      </c>
      <c r="S356" s="42" t="str">
        <f aca="false">IF($B356="","",Q356-R356)</f>
        <v/>
      </c>
      <c r="T356" s="43" t="str">
        <f aca="false">IF($B356="","",IF(S356&gt;0,"G","P"))</f>
        <v/>
      </c>
      <c r="U356" s="44" t="str">
        <f aca="false">IF($B356="","",S356/Parametros!$C$8)</f>
        <v/>
      </c>
      <c r="V356" s="42" t="str">
        <f aca="false">IF($B356="","",Parametros!$C$6+SUM($S$7:S356))</f>
        <v/>
      </c>
      <c r="W356" s="42" t="str">
        <f aca="false">IF($B356="","",MAX(V356,W355))</f>
        <v/>
      </c>
      <c r="X356" s="42" t="str">
        <f aca="false">IF($B356="","",V356-W356)</f>
        <v/>
      </c>
      <c r="Y356" s="45" t="str">
        <f aca="false">IF($B356="","",X356/W356)</f>
        <v/>
      </c>
      <c r="Z356" s="36" t="str">
        <f aca="false">IF($B356="","",IF(T356="G",IF(N(Z355)&gt;0,Z355+1,1),IF(N(Z355)&lt;0,Z355-1,-1)))</f>
        <v/>
      </c>
      <c r="AA356" s="46" t="str">
        <f aca="false">IF($B356="","",B356-WEEKDAY(B356,2)+1)</f>
        <v/>
      </c>
      <c r="AB356" s="47" t="str">
        <f aca="false">IF($B356="","",DATE(YEAR(B356),MONTH(B356),1))</f>
        <v/>
      </c>
      <c r="AC356" s="41" t="str">
        <f aca="false">IF($B356="","",CHOOSE(WEEKDAY(B356,2),"Lunes","Martes","Miércoles","Jueves","Viernes","Sábado","Domingo"))</f>
        <v/>
      </c>
      <c r="AD356" s="36" t="str">
        <f aca="false">IF($B356="","",HOUR(C356))</f>
        <v/>
      </c>
      <c r="AE356" s="42" t="str">
        <f aca="false">IF($B356="","",IF(O356&lt;&gt;O355,MAX(V356-S356,V356),MAX(V356,AE355)))</f>
        <v/>
      </c>
      <c r="AF356" s="42" t="str">
        <f aca="false">IF($B356="","",V356-AE356)</f>
        <v/>
      </c>
      <c r="AG356" s="36" t="str">
        <f aca="false">IF($B356="","",IF(O356&lt;&gt;O355,IF(T356="G",1,-1),IF(T356="G",IF(N(AG355)&gt;0,AG355+1,1),IF(N(AG355)&lt;0,AG355-1,-1))))</f>
        <v/>
      </c>
    </row>
    <row r="357" customFormat="false" ht="15" hidden="false" customHeight="false" outlineLevel="0" collapsed="false">
      <c r="A357" s="36" t="str">
        <f aca="false">IF(B357="","",ROW()-6)</f>
        <v/>
      </c>
      <c r="B357" s="37"/>
      <c r="C357" s="38"/>
      <c r="D357" s="38"/>
      <c r="E357" s="39"/>
      <c r="F357" s="39"/>
      <c r="G357" s="39"/>
      <c r="H357" s="40"/>
      <c r="I357" s="40"/>
      <c r="J357" s="40"/>
      <c r="K357" s="40"/>
      <c r="L357" s="39"/>
      <c r="M357" s="40"/>
      <c r="N357" s="40"/>
      <c r="O357" s="36" t="str">
        <f aca="false">IF($B357="","",INT((A357-1)/Parametros!$C$10)+1)</f>
        <v/>
      </c>
      <c r="P357" s="41" t="str">
        <f aca="false">IF($B357="","",IF(OR(C357="",D357=""),"",ROUND((D357-C357)*1440,0)))</f>
        <v/>
      </c>
      <c r="Q357" s="42" t="str">
        <f aca="false">IF($B357="","",I357*VLOOKUP(E357,Parametros!$B$18:$D$24,2,FALSE()))</f>
        <v/>
      </c>
      <c r="R357" s="42" t="str">
        <f aca="false">IF($B357="","",G357*VLOOKUP(E357,Parametros!$B$18:$D$24,3,FALSE()))</f>
        <v/>
      </c>
      <c r="S357" s="42" t="str">
        <f aca="false">IF($B357="","",Q357-R357)</f>
        <v/>
      </c>
      <c r="T357" s="43" t="str">
        <f aca="false">IF($B357="","",IF(S357&gt;0,"G","P"))</f>
        <v/>
      </c>
      <c r="U357" s="44" t="str">
        <f aca="false">IF($B357="","",S357/Parametros!$C$8)</f>
        <v/>
      </c>
      <c r="V357" s="42" t="str">
        <f aca="false">IF($B357="","",Parametros!$C$6+SUM($S$7:S357))</f>
        <v/>
      </c>
      <c r="W357" s="42" t="str">
        <f aca="false">IF($B357="","",MAX(V357,W356))</f>
        <v/>
      </c>
      <c r="X357" s="42" t="str">
        <f aca="false">IF($B357="","",V357-W357)</f>
        <v/>
      </c>
      <c r="Y357" s="45" t="str">
        <f aca="false">IF($B357="","",X357/W357)</f>
        <v/>
      </c>
      <c r="Z357" s="36" t="str">
        <f aca="false">IF($B357="","",IF(T357="G",IF(N(Z356)&gt;0,Z356+1,1),IF(N(Z356)&lt;0,Z356-1,-1)))</f>
        <v/>
      </c>
      <c r="AA357" s="46" t="str">
        <f aca="false">IF($B357="","",B357-WEEKDAY(B357,2)+1)</f>
        <v/>
      </c>
      <c r="AB357" s="47" t="str">
        <f aca="false">IF($B357="","",DATE(YEAR(B357),MONTH(B357),1))</f>
        <v/>
      </c>
      <c r="AC357" s="41" t="str">
        <f aca="false">IF($B357="","",CHOOSE(WEEKDAY(B357,2),"Lunes","Martes","Miércoles","Jueves","Viernes","Sábado","Domingo"))</f>
        <v/>
      </c>
      <c r="AD357" s="36" t="str">
        <f aca="false">IF($B357="","",HOUR(C357))</f>
        <v/>
      </c>
      <c r="AE357" s="42" t="str">
        <f aca="false">IF($B357="","",IF(O357&lt;&gt;O356,MAX(V357-S357,V357),MAX(V357,AE356)))</f>
        <v/>
      </c>
      <c r="AF357" s="42" t="str">
        <f aca="false">IF($B357="","",V357-AE357)</f>
        <v/>
      </c>
      <c r="AG357" s="36" t="str">
        <f aca="false">IF($B357="","",IF(O357&lt;&gt;O356,IF(T357="G",1,-1),IF(T357="G",IF(N(AG356)&gt;0,AG356+1,1),IF(N(AG356)&lt;0,AG356-1,-1))))</f>
        <v/>
      </c>
    </row>
    <row r="358" customFormat="false" ht="15" hidden="false" customHeight="false" outlineLevel="0" collapsed="false">
      <c r="A358" s="36" t="str">
        <f aca="false">IF(B358="","",ROW()-6)</f>
        <v/>
      </c>
      <c r="B358" s="37"/>
      <c r="C358" s="38"/>
      <c r="D358" s="38"/>
      <c r="E358" s="39"/>
      <c r="F358" s="39"/>
      <c r="G358" s="39"/>
      <c r="H358" s="40"/>
      <c r="I358" s="40"/>
      <c r="J358" s="40"/>
      <c r="K358" s="40"/>
      <c r="L358" s="39"/>
      <c r="M358" s="40"/>
      <c r="N358" s="40"/>
      <c r="O358" s="36" t="str">
        <f aca="false">IF($B358="","",INT((A358-1)/Parametros!$C$10)+1)</f>
        <v/>
      </c>
      <c r="P358" s="41" t="str">
        <f aca="false">IF($B358="","",IF(OR(C358="",D358=""),"",ROUND((D358-C358)*1440,0)))</f>
        <v/>
      </c>
      <c r="Q358" s="42" t="str">
        <f aca="false">IF($B358="","",I358*VLOOKUP(E358,Parametros!$B$18:$D$24,2,FALSE()))</f>
        <v/>
      </c>
      <c r="R358" s="42" t="str">
        <f aca="false">IF($B358="","",G358*VLOOKUP(E358,Parametros!$B$18:$D$24,3,FALSE()))</f>
        <v/>
      </c>
      <c r="S358" s="42" t="str">
        <f aca="false">IF($B358="","",Q358-R358)</f>
        <v/>
      </c>
      <c r="T358" s="43" t="str">
        <f aca="false">IF($B358="","",IF(S358&gt;0,"G","P"))</f>
        <v/>
      </c>
      <c r="U358" s="44" t="str">
        <f aca="false">IF($B358="","",S358/Parametros!$C$8)</f>
        <v/>
      </c>
      <c r="V358" s="42" t="str">
        <f aca="false">IF($B358="","",Parametros!$C$6+SUM($S$7:S358))</f>
        <v/>
      </c>
      <c r="W358" s="42" t="str">
        <f aca="false">IF($B358="","",MAX(V358,W357))</f>
        <v/>
      </c>
      <c r="X358" s="42" t="str">
        <f aca="false">IF($B358="","",V358-W358)</f>
        <v/>
      </c>
      <c r="Y358" s="45" t="str">
        <f aca="false">IF($B358="","",X358/W358)</f>
        <v/>
      </c>
      <c r="Z358" s="36" t="str">
        <f aca="false">IF($B358="","",IF(T358="G",IF(N(Z357)&gt;0,Z357+1,1),IF(N(Z357)&lt;0,Z357-1,-1)))</f>
        <v/>
      </c>
      <c r="AA358" s="46" t="str">
        <f aca="false">IF($B358="","",B358-WEEKDAY(B358,2)+1)</f>
        <v/>
      </c>
      <c r="AB358" s="47" t="str">
        <f aca="false">IF($B358="","",DATE(YEAR(B358),MONTH(B358),1))</f>
        <v/>
      </c>
      <c r="AC358" s="41" t="str">
        <f aca="false">IF($B358="","",CHOOSE(WEEKDAY(B358,2),"Lunes","Martes","Miércoles","Jueves","Viernes","Sábado","Domingo"))</f>
        <v/>
      </c>
      <c r="AD358" s="36" t="str">
        <f aca="false">IF($B358="","",HOUR(C358))</f>
        <v/>
      </c>
      <c r="AE358" s="42" t="str">
        <f aca="false">IF($B358="","",IF(O358&lt;&gt;O357,MAX(V358-S358,V358),MAX(V358,AE357)))</f>
        <v/>
      </c>
      <c r="AF358" s="42" t="str">
        <f aca="false">IF($B358="","",V358-AE358)</f>
        <v/>
      </c>
      <c r="AG358" s="36" t="str">
        <f aca="false">IF($B358="","",IF(O358&lt;&gt;O357,IF(T358="G",1,-1),IF(T358="G",IF(N(AG357)&gt;0,AG357+1,1),IF(N(AG357)&lt;0,AG357-1,-1))))</f>
        <v/>
      </c>
    </row>
    <row r="359" customFormat="false" ht="15" hidden="false" customHeight="false" outlineLevel="0" collapsed="false">
      <c r="A359" s="36" t="str">
        <f aca="false">IF(B359="","",ROW()-6)</f>
        <v/>
      </c>
      <c r="B359" s="37"/>
      <c r="C359" s="38"/>
      <c r="D359" s="38"/>
      <c r="E359" s="39"/>
      <c r="F359" s="39"/>
      <c r="G359" s="39"/>
      <c r="H359" s="40"/>
      <c r="I359" s="40"/>
      <c r="J359" s="40"/>
      <c r="K359" s="40"/>
      <c r="L359" s="39"/>
      <c r="M359" s="40"/>
      <c r="N359" s="40"/>
      <c r="O359" s="36" t="str">
        <f aca="false">IF($B359="","",INT((A359-1)/Parametros!$C$10)+1)</f>
        <v/>
      </c>
      <c r="P359" s="41" t="str">
        <f aca="false">IF($B359="","",IF(OR(C359="",D359=""),"",ROUND((D359-C359)*1440,0)))</f>
        <v/>
      </c>
      <c r="Q359" s="42" t="str">
        <f aca="false">IF($B359="","",I359*VLOOKUP(E359,Parametros!$B$18:$D$24,2,FALSE()))</f>
        <v/>
      </c>
      <c r="R359" s="42" t="str">
        <f aca="false">IF($B359="","",G359*VLOOKUP(E359,Parametros!$B$18:$D$24,3,FALSE()))</f>
        <v/>
      </c>
      <c r="S359" s="42" t="str">
        <f aca="false">IF($B359="","",Q359-R359)</f>
        <v/>
      </c>
      <c r="T359" s="43" t="str">
        <f aca="false">IF($B359="","",IF(S359&gt;0,"G","P"))</f>
        <v/>
      </c>
      <c r="U359" s="44" t="str">
        <f aca="false">IF($B359="","",S359/Parametros!$C$8)</f>
        <v/>
      </c>
      <c r="V359" s="42" t="str">
        <f aca="false">IF($B359="","",Parametros!$C$6+SUM($S$7:S359))</f>
        <v/>
      </c>
      <c r="W359" s="42" t="str">
        <f aca="false">IF($B359="","",MAX(V359,W358))</f>
        <v/>
      </c>
      <c r="X359" s="42" t="str">
        <f aca="false">IF($B359="","",V359-W359)</f>
        <v/>
      </c>
      <c r="Y359" s="45" t="str">
        <f aca="false">IF($B359="","",X359/W359)</f>
        <v/>
      </c>
      <c r="Z359" s="36" t="str">
        <f aca="false">IF($B359="","",IF(T359="G",IF(N(Z358)&gt;0,Z358+1,1),IF(N(Z358)&lt;0,Z358-1,-1)))</f>
        <v/>
      </c>
      <c r="AA359" s="46" t="str">
        <f aca="false">IF($B359="","",B359-WEEKDAY(B359,2)+1)</f>
        <v/>
      </c>
      <c r="AB359" s="47" t="str">
        <f aca="false">IF($B359="","",DATE(YEAR(B359),MONTH(B359),1))</f>
        <v/>
      </c>
      <c r="AC359" s="41" t="str">
        <f aca="false">IF($B359="","",CHOOSE(WEEKDAY(B359,2),"Lunes","Martes","Miércoles","Jueves","Viernes","Sábado","Domingo"))</f>
        <v/>
      </c>
      <c r="AD359" s="36" t="str">
        <f aca="false">IF($B359="","",HOUR(C359))</f>
        <v/>
      </c>
      <c r="AE359" s="42" t="str">
        <f aca="false">IF($B359="","",IF(O359&lt;&gt;O358,MAX(V359-S359,V359),MAX(V359,AE358)))</f>
        <v/>
      </c>
      <c r="AF359" s="42" t="str">
        <f aca="false">IF($B359="","",V359-AE359)</f>
        <v/>
      </c>
      <c r="AG359" s="36" t="str">
        <f aca="false">IF($B359="","",IF(O359&lt;&gt;O358,IF(T359="G",1,-1),IF(T359="G",IF(N(AG358)&gt;0,AG358+1,1),IF(N(AG358)&lt;0,AG358-1,-1))))</f>
        <v/>
      </c>
    </row>
    <row r="360" customFormat="false" ht="15" hidden="false" customHeight="false" outlineLevel="0" collapsed="false">
      <c r="A360" s="36" t="str">
        <f aca="false">IF(B360="","",ROW()-6)</f>
        <v/>
      </c>
      <c r="B360" s="37"/>
      <c r="C360" s="38"/>
      <c r="D360" s="38"/>
      <c r="E360" s="39"/>
      <c r="F360" s="39"/>
      <c r="G360" s="39"/>
      <c r="H360" s="40"/>
      <c r="I360" s="40"/>
      <c r="J360" s="40"/>
      <c r="K360" s="40"/>
      <c r="L360" s="39"/>
      <c r="M360" s="40"/>
      <c r="N360" s="40"/>
      <c r="O360" s="36" t="str">
        <f aca="false">IF($B360="","",INT((A360-1)/Parametros!$C$10)+1)</f>
        <v/>
      </c>
      <c r="P360" s="41" t="str">
        <f aca="false">IF($B360="","",IF(OR(C360="",D360=""),"",ROUND((D360-C360)*1440,0)))</f>
        <v/>
      </c>
      <c r="Q360" s="42" t="str">
        <f aca="false">IF($B360="","",I360*VLOOKUP(E360,Parametros!$B$18:$D$24,2,FALSE()))</f>
        <v/>
      </c>
      <c r="R360" s="42" t="str">
        <f aca="false">IF($B360="","",G360*VLOOKUP(E360,Parametros!$B$18:$D$24,3,FALSE()))</f>
        <v/>
      </c>
      <c r="S360" s="42" t="str">
        <f aca="false">IF($B360="","",Q360-R360)</f>
        <v/>
      </c>
      <c r="T360" s="43" t="str">
        <f aca="false">IF($B360="","",IF(S360&gt;0,"G","P"))</f>
        <v/>
      </c>
      <c r="U360" s="44" t="str">
        <f aca="false">IF($B360="","",S360/Parametros!$C$8)</f>
        <v/>
      </c>
      <c r="V360" s="42" t="str">
        <f aca="false">IF($B360="","",Parametros!$C$6+SUM($S$7:S360))</f>
        <v/>
      </c>
      <c r="W360" s="42" t="str">
        <f aca="false">IF($B360="","",MAX(V360,W359))</f>
        <v/>
      </c>
      <c r="X360" s="42" t="str">
        <f aca="false">IF($B360="","",V360-W360)</f>
        <v/>
      </c>
      <c r="Y360" s="45" t="str">
        <f aca="false">IF($B360="","",X360/W360)</f>
        <v/>
      </c>
      <c r="Z360" s="36" t="str">
        <f aca="false">IF($B360="","",IF(T360="G",IF(N(Z359)&gt;0,Z359+1,1),IF(N(Z359)&lt;0,Z359-1,-1)))</f>
        <v/>
      </c>
      <c r="AA360" s="46" t="str">
        <f aca="false">IF($B360="","",B360-WEEKDAY(B360,2)+1)</f>
        <v/>
      </c>
      <c r="AB360" s="47" t="str">
        <f aca="false">IF($B360="","",DATE(YEAR(B360),MONTH(B360),1))</f>
        <v/>
      </c>
      <c r="AC360" s="41" t="str">
        <f aca="false">IF($B360="","",CHOOSE(WEEKDAY(B360,2),"Lunes","Martes","Miércoles","Jueves","Viernes","Sábado","Domingo"))</f>
        <v/>
      </c>
      <c r="AD360" s="36" t="str">
        <f aca="false">IF($B360="","",HOUR(C360))</f>
        <v/>
      </c>
      <c r="AE360" s="42" t="str">
        <f aca="false">IF($B360="","",IF(O360&lt;&gt;O359,MAX(V360-S360,V360),MAX(V360,AE359)))</f>
        <v/>
      </c>
      <c r="AF360" s="42" t="str">
        <f aca="false">IF($B360="","",V360-AE360)</f>
        <v/>
      </c>
      <c r="AG360" s="36" t="str">
        <f aca="false">IF($B360="","",IF(O360&lt;&gt;O359,IF(T360="G",1,-1),IF(T360="G",IF(N(AG359)&gt;0,AG359+1,1),IF(N(AG359)&lt;0,AG359-1,-1))))</f>
        <v/>
      </c>
    </row>
    <row r="361" customFormat="false" ht="15" hidden="false" customHeight="false" outlineLevel="0" collapsed="false">
      <c r="A361" s="36" t="str">
        <f aca="false">IF(B361="","",ROW()-6)</f>
        <v/>
      </c>
      <c r="B361" s="37"/>
      <c r="C361" s="38"/>
      <c r="D361" s="38"/>
      <c r="E361" s="39"/>
      <c r="F361" s="39"/>
      <c r="G361" s="39"/>
      <c r="H361" s="40"/>
      <c r="I361" s="40"/>
      <c r="J361" s="40"/>
      <c r="K361" s="40"/>
      <c r="L361" s="39"/>
      <c r="M361" s="40"/>
      <c r="N361" s="40"/>
      <c r="O361" s="36" t="str">
        <f aca="false">IF($B361="","",INT((A361-1)/Parametros!$C$10)+1)</f>
        <v/>
      </c>
      <c r="P361" s="41" t="str">
        <f aca="false">IF($B361="","",IF(OR(C361="",D361=""),"",ROUND((D361-C361)*1440,0)))</f>
        <v/>
      </c>
      <c r="Q361" s="42" t="str">
        <f aca="false">IF($B361="","",I361*VLOOKUP(E361,Parametros!$B$18:$D$24,2,FALSE()))</f>
        <v/>
      </c>
      <c r="R361" s="42" t="str">
        <f aca="false">IF($B361="","",G361*VLOOKUP(E361,Parametros!$B$18:$D$24,3,FALSE()))</f>
        <v/>
      </c>
      <c r="S361" s="42" t="str">
        <f aca="false">IF($B361="","",Q361-R361)</f>
        <v/>
      </c>
      <c r="T361" s="43" t="str">
        <f aca="false">IF($B361="","",IF(S361&gt;0,"G","P"))</f>
        <v/>
      </c>
      <c r="U361" s="44" t="str">
        <f aca="false">IF($B361="","",S361/Parametros!$C$8)</f>
        <v/>
      </c>
      <c r="V361" s="42" t="str">
        <f aca="false">IF($B361="","",Parametros!$C$6+SUM($S$7:S361))</f>
        <v/>
      </c>
      <c r="W361" s="42" t="str">
        <f aca="false">IF($B361="","",MAX(V361,W360))</f>
        <v/>
      </c>
      <c r="X361" s="42" t="str">
        <f aca="false">IF($B361="","",V361-W361)</f>
        <v/>
      </c>
      <c r="Y361" s="45" t="str">
        <f aca="false">IF($B361="","",X361/W361)</f>
        <v/>
      </c>
      <c r="Z361" s="36" t="str">
        <f aca="false">IF($B361="","",IF(T361="G",IF(N(Z360)&gt;0,Z360+1,1),IF(N(Z360)&lt;0,Z360-1,-1)))</f>
        <v/>
      </c>
      <c r="AA361" s="46" t="str">
        <f aca="false">IF($B361="","",B361-WEEKDAY(B361,2)+1)</f>
        <v/>
      </c>
      <c r="AB361" s="47" t="str">
        <f aca="false">IF($B361="","",DATE(YEAR(B361),MONTH(B361),1))</f>
        <v/>
      </c>
      <c r="AC361" s="41" t="str">
        <f aca="false">IF($B361="","",CHOOSE(WEEKDAY(B361,2),"Lunes","Martes","Miércoles","Jueves","Viernes","Sábado","Domingo"))</f>
        <v/>
      </c>
      <c r="AD361" s="36" t="str">
        <f aca="false">IF($B361="","",HOUR(C361))</f>
        <v/>
      </c>
      <c r="AE361" s="42" t="str">
        <f aca="false">IF($B361="","",IF(O361&lt;&gt;O360,MAX(V361-S361,V361),MAX(V361,AE360)))</f>
        <v/>
      </c>
      <c r="AF361" s="42" t="str">
        <f aca="false">IF($B361="","",V361-AE361)</f>
        <v/>
      </c>
      <c r="AG361" s="36" t="str">
        <f aca="false">IF($B361="","",IF(O361&lt;&gt;O360,IF(T361="G",1,-1),IF(T361="G",IF(N(AG360)&gt;0,AG360+1,1),IF(N(AG360)&lt;0,AG360-1,-1))))</f>
        <v/>
      </c>
    </row>
    <row r="362" customFormat="false" ht="15" hidden="false" customHeight="false" outlineLevel="0" collapsed="false">
      <c r="A362" s="36" t="str">
        <f aca="false">IF(B362="","",ROW()-6)</f>
        <v/>
      </c>
      <c r="B362" s="37"/>
      <c r="C362" s="38"/>
      <c r="D362" s="38"/>
      <c r="E362" s="39"/>
      <c r="F362" s="39"/>
      <c r="G362" s="39"/>
      <c r="H362" s="40"/>
      <c r="I362" s="40"/>
      <c r="J362" s="40"/>
      <c r="K362" s="40"/>
      <c r="L362" s="39"/>
      <c r="M362" s="40"/>
      <c r="N362" s="40"/>
      <c r="O362" s="36" t="str">
        <f aca="false">IF($B362="","",INT((A362-1)/Parametros!$C$10)+1)</f>
        <v/>
      </c>
      <c r="P362" s="41" t="str">
        <f aca="false">IF($B362="","",IF(OR(C362="",D362=""),"",ROUND((D362-C362)*1440,0)))</f>
        <v/>
      </c>
      <c r="Q362" s="42" t="str">
        <f aca="false">IF($B362="","",I362*VLOOKUP(E362,Parametros!$B$18:$D$24,2,FALSE()))</f>
        <v/>
      </c>
      <c r="R362" s="42" t="str">
        <f aca="false">IF($B362="","",G362*VLOOKUP(E362,Parametros!$B$18:$D$24,3,FALSE()))</f>
        <v/>
      </c>
      <c r="S362" s="42" t="str">
        <f aca="false">IF($B362="","",Q362-R362)</f>
        <v/>
      </c>
      <c r="T362" s="43" t="str">
        <f aca="false">IF($B362="","",IF(S362&gt;0,"G","P"))</f>
        <v/>
      </c>
      <c r="U362" s="44" t="str">
        <f aca="false">IF($B362="","",S362/Parametros!$C$8)</f>
        <v/>
      </c>
      <c r="V362" s="42" t="str">
        <f aca="false">IF($B362="","",Parametros!$C$6+SUM($S$7:S362))</f>
        <v/>
      </c>
      <c r="W362" s="42" t="str">
        <f aca="false">IF($B362="","",MAX(V362,W361))</f>
        <v/>
      </c>
      <c r="X362" s="42" t="str">
        <f aca="false">IF($B362="","",V362-W362)</f>
        <v/>
      </c>
      <c r="Y362" s="45" t="str">
        <f aca="false">IF($B362="","",X362/W362)</f>
        <v/>
      </c>
      <c r="Z362" s="36" t="str">
        <f aca="false">IF($B362="","",IF(T362="G",IF(N(Z361)&gt;0,Z361+1,1),IF(N(Z361)&lt;0,Z361-1,-1)))</f>
        <v/>
      </c>
      <c r="AA362" s="46" t="str">
        <f aca="false">IF($B362="","",B362-WEEKDAY(B362,2)+1)</f>
        <v/>
      </c>
      <c r="AB362" s="47" t="str">
        <f aca="false">IF($B362="","",DATE(YEAR(B362),MONTH(B362),1))</f>
        <v/>
      </c>
      <c r="AC362" s="41" t="str">
        <f aca="false">IF($B362="","",CHOOSE(WEEKDAY(B362,2),"Lunes","Martes","Miércoles","Jueves","Viernes","Sábado","Domingo"))</f>
        <v/>
      </c>
      <c r="AD362" s="36" t="str">
        <f aca="false">IF($B362="","",HOUR(C362))</f>
        <v/>
      </c>
      <c r="AE362" s="42" t="str">
        <f aca="false">IF($B362="","",IF(O362&lt;&gt;O361,MAX(V362-S362,V362),MAX(V362,AE361)))</f>
        <v/>
      </c>
      <c r="AF362" s="42" t="str">
        <f aca="false">IF($B362="","",V362-AE362)</f>
        <v/>
      </c>
      <c r="AG362" s="36" t="str">
        <f aca="false">IF($B362="","",IF(O362&lt;&gt;O361,IF(T362="G",1,-1),IF(T362="G",IF(N(AG361)&gt;0,AG361+1,1),IF(N(AG361)&lt;0,AG361-1,-1))))</f>
        <v/>
      </c>
    </row>
    <row r="363" customFormat="false" ht="15" hidden="false" customHeight="false" outlineLevel="0" collapsed="false">
      <c r="A363" s="36" t="str">
        <f aca="false">IF(B363="","",ROW()-6)</f>
        <v/>
      </c>
      <c r="B363" s="37"/>
      <c r="C363" s="38"/>
      <c r="D363" s="38"/>
      <c r="E363" s="39"/>
      <c r="F363" s="39"/>
      <c r="G363" s="39"/>
      <c r="H363" s="40"/>
      <c r="I363" s="40"/>
      <c r="J363" s="40"/>
      <c r="K363" s="40"/>
      <c r="L363" s="39"/>
      <c r="M363" s="40"/>
      <c r="N363" s="40"/>
      <c r="O363" s="36" t="str">
        <f aca="false">IF($B363="","",INT((A363-1)/Parametros!$C$10)+1)</f>
        <v/>
      </c>
      <c r="P363" s="41" t="str">
        <f aca="false">IF($B363="","",IF(OR(C363="",D363=""),"",ROUND((D363-C363)*1440,0)))</f>
        <v/>
      </c>
      <c r="Q363" s="42" t="str">
        <f aca="false">IF($B363="","",I363*VLOOKUP(E363,Parametros!$B$18:$D$24,2,FALSE()))</f>
        <v/>
      </c>
      <c r="R363" s="42" t="str">
        <f aca="false">IF($B363="","",G363*VLOOKUP(E363,Parametros!$B$18:$D$24,3,FALSE()))</f>
        <v/>
      </c>
      <c r="S363" s="42" t="str">
        <f aca="false">IF($B363="","",Q363-R363)</f>
        <v/>
      </c>
      <c r="T363" s="43" t="str">
        <f aca="false">IF($B363="","",IF(S363&gt;0,"G","P"))</f>
        <v/>
      </c>
      <c r="U363" s="44" t="str">
        <f aca="false">IF($B363="","",S363/Parametros!$C$8)</f>
        <v/>
      </c>
      <c r="V363" s="42" t="str">
        <f aca="false">IF($B363="","",Parametros!$C$6+SUM($S$7:S363))</f>
        <v/>
      </c>
      <c r="W363" s="42" t="str">
        <f aca="false">IF($B363="","",MAX(V363,W362))</f>
        <v/>
      </c>
      <c r="X363" s="42" t="str">
        <f aca="false">IF($B363="","",V363-W363)</f>
        <v/>
      </c>
      <c r="Y363" s="45" t="str">
        <f aca="false">IF($B363="","",X363/W363)</f>
        <v/>
      </c>
      <c r="Z363" s="36" t="str">
        <f aca="false">IF($B363="","",IF(T363="G",IF(N(Z362)&gt;0,Z362+1,1),IF(N(Z362)&lt;0,Z362-1,-1)))</f>
        <v/>
      </c>
      <c r="AA363" s="46" t="str">
        <f aca="false">IF($B363="","",B363-WEEKDAY(B363,2)+1)</f>
        <v/>
      </c>
      <c r="AB363" s="47" t="str">
        <f aca="false">IF($B363="","",DATE(YEAR(B363),MONTH(B363),1))</f>
        <v/>
      </c>
      <c r="AC363" s="41" t="str">
        <f aca="false">IF($B363="","",CHOOSE(WEEKDAY(B363,2),"Lunes","Martes","Miércoles","Jueves","Viernes","Sábado","Domingo"))</f>
        <v/>
      </c>
      <c r="AD363" s="36" t="str">
        <f aca="false">IF($B363="","",HOUR(C363))</f>
        <v/>
      </c>
      <c r="AE363" s="42" t="str">
        <f aca="false">IF($B363="","",IF(O363&lt;&gt;O362,MAX(V363-S363,V363),MAX(V363,AE362)))</f>
        <v/>
      </c>
      <c r="AF363" s="42" t="str">
        <f aca="false">IF($B363="","",V363-AE363)</f>
        <v/>
      </c>
      <c r="AG363" s="36" t="str">
        <f aca="false">IF($B363="","",IF(O363&lt;&gt;O362,IF(T363="G",1,-1),IF(T363="G",IF(N(AG362)&gt;0,AG362+1,1),IF(N(AG362)&lt;0,AG362-1,-1))))</f>
        <v/>
      </c>
    </row>
    <row r="364" customFormat="false" ht="15" hidden="false" customHeight="false" outlineLevel="0" collapsed="false">
      <c r="A364" s="36" t="str">
        <f aca="false">IF(B364="","",ROW()-6)</f>
        <v/>
      </c>
      <c r="B364" s="37"/>
      <c r="C364" s="38"/>
      <c r="D364" s="38"/>
      <c r="E364" s="39"/>
      <c r="F364" s="39"/>
      <c r="G364" s="39"/>
      <c r="H364" s="40"/>
      <c r="I364" s="40"/>
      <c r="J364" s="40"/>
      <c r="K364" s="40"/>
      <c r="L364" s="39"/>
      <c r="M364" s="40"/>
      <c r="N364" s="40"/>
      <c r="O364" s="36" t="str">
        <f aca="false">IF($B364="","",INT((A364-1)/Parametros!$C$10)+1)</f>
        <v/>
      </c>
      <c r="P364" s="41" t="str">
        <f aca="false">IF($B364="","",IF(OR(C364="",D364=""),"",ROUND((D364-C364)*1440,0)))</f>
        <v/>
      </c>
      <c r="Q364" s="42" t="str">
        <f aca="false">IF($B364="","",I364*VLOOKUP(E364,Parametros!$B$18:$D$24,2,FALSE()))</f>
        <v/>
      </c>
      <c r="R364" s="42" t="str">
        <f aca="false">IF($B364="","",G364*VLOOKUP(E364,Parametros!$B$18:$D$24,3,FALSE()))</f>
        <v/>
      </c>
      <c r="S364" s="42" t="str">
        <f aca="false">IF($B364="","",Q364-R364)</f>
        <v/>
      </c>
      <c r="T364" s="43" t="str">
        <f aca="false">IF($B364="","",IF(S364&gt;0,"G","P"))</f>
        <v/>
      </c>
      <c r="U364" s="44" t="str">
        <f aca="false">IF($B364="","",S364/Parametros!$C$8)</f>
        <v/>
      </c>
      <c r="V364" s="42" t="str">
        <f aca="false">IF($B364="","",Parametros!$C$6+SUM($S$7:S364))</f>
        <v/>
      </c>
      <c r="W364" s="42" t="str">
        <f aca="false">IF($B364="","",MAX(V364,W363))</f>
        <v/>
      </c>
      <c r="X364" s="42" t="str">
        <f aca="false">IF($B364="","",V364-W364)</f>
        <v/>
      </c>
      <c r="Y364" s="45" t="str">
        <f aca="false">IF($B364="","",X364/W364)</f>
        <v/>
      </c>
      <c r="Z364" s="36" t="str">
        <f aca="false">IF($B364="","",IF(T364="G",IF(N(Z363)&gt;0,Z363+1,1),IF(N(Z363)&lt;0,Z363-1,-1)))</f>
        <v/>
      </c>
      <c r="AA364" s="46" t="str">
        <f aca="false">IF($B364="","",B364-WEEKDAY(B364,2)+1)</f>
        <v/>
      </c>
      <c r="AB364" s="47" t="str">
        <f aca="false">IF($B364="","",DATE(YEAR(B364),MONTH(B364),1))</f>
        <v/>
      </c>
      <c r="AC364" s="41" t="str">
        <f aca="false">IF($B364="","",CHOOSE(WEEKDAY(B364,2),"Lunes","Martes","Miércoles","Jueves","Viernes","Sábado","Domingo"))</f>
        <v/>
      </c>
      <c r="AD364" s="36" t="str">
        <f aca="false">IF($B364="","",HOUR(C364))</f>
        <v/>
      </c>
      <c r="AE364" s="42" t="str">
        <f aca="false">IF($B364="","",IF(O364&lt;&gt;O363,MAX(V364-S364,V364),MAX(V364,AE363)))</f>
        <v/>
      </c>
      <c r="AF364" s="42" t="str">
        <f aca="false">IF($B364="","",V364-AE364)</f>
        <v/>
      </c>
      <c r="AG364" s="36" t="str">
        <f aca="false">IF($B364="","",IF(O364&lt;&gt;O363,IF(T364="G",1,-1),IF(T364="G",IF(N(AG363)&gt;0,AG363+1,1),IF(N(AG363)&lt;0,AG363-1,-1))))</f>
        <v/>
      </c>
    </row>
    <row r="365" customFormat="false" ht="15" hidden="false" customHeight="false" outlineLevel="0" collapsed="false">
      <c r="A365" s="36" t="str">
        <f aca="false">IF(B365="","",ROW()-6)</f>
        <v/>
      </c>
      <c r="B365" s="37"/>
      <c r="C365" s="38"/>
      <c r="D365" s="38"/>
      <c r="E365" s="39"/>
      <c r="F365" s="39"/>
      <c r="G365" s="39"/>
      <c r="H365" s="40"/>
      <c r="I365" s="40"/>
      <c r="J365" s="40"/>
      <c r="K365" s="40"/>
      <c r="L365" s="39"/>
      <c r="M365" s="40"/>
      <c r="N365" s="40"/>
      <c r="O365" s="36" t="str">
        <f aca="false">IF($B365="","",INT((A365-1)/Parametros!$C$10)+1)</f>
        <v/>
      </c>
      <c r="P365" s="41" t="str">
        <f aca="false">IF($B365="","",IF(OR(C365="",D365=""),"",ROUND((D365-C365)*1440,0)))</f>
        <v/>
      </c>
      <c r="Q365" s="42" t="str">
        <f aca="false">IF($B365="","",I365*VLOOKUP(E365,Parametros!$B$18:$D$24,2,FALSE()))</f>
        <v/>
      </c>
      <c r="R365" s="42" t="str">
        <f aca="false">IF($B365="","",G365*VLOOKUP(E365,Parametros!$B$18:$D$24,3,FALSE()))</f>
        <v/>
      </c>
      <c r="S365" s="42" t="str">
        <f aca="false">IF($B365="","",Q365-R365)</f>
        <v/>
      </c>
      <c r="T365" s="43" t="str">
        <f aca="false">IF($B365="","",IF(S365&gt;0,"G","P"))</f>
        <v/>
      </c>
      <c r="U365" s="44" t="str">
        <f aca="false">IF($B365="","",S365/Parametros!$C$8)</f>
        <v/>
      </c>
      <c r="V365" s="42" t="str">
        <f aca="false">IF($B365="","",Parametros!$C$6+SUM($S$7:S365))</f>
        <v/>
      </c>
      <c r="W365" s="42" t="str">
        <f aca="false">IF($B365="","",MAX(V365,W364))</f>
        <v/>
      </c>
      <c r="X365" s="42" t="str">
        <f aca="false">IF($B365="","",V365-W365)</f>
        <v/>
      </c>
      <c r="Y365" s="45" t="str">
        <f aca="false">IF($B365="","",X365/W365)</f>
        <v/>
      </c>
      <c r="Z365" s="36" t="str">
        <f aca="false">IF($B365="","",IF(T365="G",IF(N(Z364)&gt;0,Z364+1,1),IF(N(Z364)&lt;0,Z364-1,-1)))</f>
        <v/>
      </c>
      <c r="AA365" s="46" t="str">
        <f aca="false">IF($B365="","",B365-WEEKDAY(B365,2)+1)</f>
        <v/>
      </c>
      <c r="AB365" s="47" t="str">
        <f aca="false">IF($B365="","",DATE(YEAR(B365),MONTH(B365),1))</f>
        <v/>
      </c>
      <c r="AC365" s="41" t="str">
        <f aca="false">IF($B365="","",CHOOSE(WEEKDAY(B365,2),"Lunes","Martes","Miércoles","Jueves","Viernes","Sábado","Domingo"))</f>
        <v/>
      </c>
      <c r="AD365" s="36" t="str">
        <f aca="false">IF($B365="","",HOUR(C365))</f>
        <v/>
      </c>
      <c r="AE365" s="42" t="str">
        <f aca="false">IF($B365="","",IF(O365&lt;&gt;O364,MAX(V365-S365,V365),MAX(V365,AE364)))</f>
        <v/>
      </c>
      <c r="AF365" s="42" t="str">
        <f aca="false">IF($B365="","",V365-AE365)</f>
        <v/>
      </c>
      <c r="AG365" s="36" t="str">
        <f aca="false">IF($B365="","",IF(O365&lt;&gt;O364,IF(T365="G",1,-1),IF(T365="G",IF(N(AG364)&gt;0,AG364+1,1),IF(N(AG364)&lt;0,AG364-1,-1))))</f>
        <v/>
      </c>
    </row>
    <row r="366" customFormat="false" ht="15" hidden="false" customHeight="false" outlineLevel="0" collapsed="false">
      <c r="A366" s="36" t="str">
        <f aca="false">IF(B366="","",ROW()-6)</f>
        <v/>
      </c>
      <c r="B366" s="37"/>
      <c r="C366" s="38"/>
      <c r="D366" s="38"/>
      <c r="E366" s="39"/>
      <c r="F366" s="39"/>
      <c r="G366" s="39"/>
      <c r="H366" s="40"/>
      <c r="I366" s="40"/>
      <c r="J366" s="40"/>
      <c r="K366" s="40"/>
      <c r="L366" s="39"/>
      <c r="M366" s="40"/>
      <c r="N366" s="40"/>
      <c r="O366" s="36" t="str">
        <f aca="false">IF($B366="","",INT((A366-1)/Parametros!$C$10)+1)</f>
        <v/>
      </c>
      <c r="P366" s="41" t="str">
        <f aca="false">IF($B366="","",IF(OR(C366="",D366=""),"",ROUND((D366-C366)*1440,0)))</f>
        <v/>
      </c>
      <c r="Q366" s="42" t="str">
        <f aca="false">IF($B366="","",I366*VLOOKUP(E366,Parametros!$B$18:$D$24,2,FALSE()))</f>
        <v/>
      </c>
      <c r="R366" s="42" t="str">
        <f aca="false">IF($B366="","",G366*VLOOKUP(E366,Parametros!$B$18:$D$24,3,FALSE()))</f>
        <v/>
      </c>
      <c r="S366" s="42" t="str">
        <f aca="false">IF($B366="","",Q366-R366)</f>
        <v/>
      </c>
      <c r="T366" s="43" t="str">
        <f aca="false">IF($B366="","",IF(S366&gt;0,"G","P"))</f>
        <v/>
      </c>
      <c r="U366" s="44" t="str">
        <f aca="false">IF($B366="","",S366/Parametros!$C$8)</f>
        <v/>
      </c>
      <c r="V366" s="42" t="str">
        <f aca="false">IF($B366="","",Parametros!$C$6+SUM($S$7:S366))</f>
        <v/>
      </c>
      <c r="W366" s="42" t="str">
        <f aca="false">IF($B366="","",MAX(V366,W365))</f>
        <v/>
      </c>
      <c r="X366" s="42" t="str">
        <f aca="false">IF($B366="","",V366-W366)</f>
        <v/>
      </c>
      <c r="Y366" s="45" t="str">
        <f aca="false">IF($B366="","",X366/W366)</f>
        <v/>
      </c>
      <c r="Z366" s="36" t="str">
        <f aca="false">IF($B366="","",IF(T366="G",IF(N(Z365)&gt;0,Z365+1,1),IF(N(Z365)&lt;0,Z365-1,-1)))</f>
        <v/>
      </c>
      <c r="AA366" s="46" t="str">
        <f aca="false">IF($B366="","",B366-WEEKDAY(B366,2)+1)</f>
        <v/>
      </c>
      <c r="AB366" s="47" t="str">
        <f aca="false">IF($B366="","",DATE(YEAR(B366),MONTH(B366),1))</f>
        <v/>
      </c>
      <c r="AC366" s="41" t="str">
        <f aca="false">IF($B366="","",CHOOSE(WEEKDAY(B366,2),"Lunes","Martes","Miércoles","Jueves","Viernes","Sábado","Domingo"))</f>
        <v/>
      </c>
      <c r="AD366" s="36" t="str">
        <f aca="false">IF($B366="","",HOUR(C366))</f>
        <v/>
      </c>
      <c r="AE366" s="42" t="str">
        <f aca="false">IF($B366="","",IF(O366&lt;&gt;O365,MAX(V366-S366,V366),MAX(V366,AE365)))</f>
        <v/>
      </c>
      <c r="AF366" s="42" t="str">
        <f aca="false">IF($B366="","",V366-AE366)</f>
        <v/>
      </c>
      <c r="AG366" s="36" t="str">
        <f aca="false">IF($B366="","",IF(O366&lt;&gt;O365,IF(T366="G",1,-1),IF(T366="G",IF(N(AG365)&gt;0,AG365+1,1),IF(N(AG365)&lt;0,AG365-1,-1))))</f>
        <v/>
      </c>
    </row>
    <row r="367" customFormat="false" ht="15" hidden="false" customHeight="false" outlineLevel="0" collapsed="false">
      <c r="A367" s="36" t="str">
        <f aca="false">IF(B367="","",ROW()-6)</f>
        <v/>
      </c>
      <c r="B367" s="37"/>
      <c r="C367" s="38"/>
      <c r="D367" s="38"/>
      <c r="E367" s="39"/>
      <c r="F367" s="39"/>
      <c r="G367" s="39"/>
      <c r="H367" s="40"/>
      <c r="I367" s="40"/>
      <c r="J367" s="40"/>
      <c r="K367" s="40"/>
      <c r="L367" s="39"/>
      <c r="M367" s="40"/>
      <c r="N367" s="40"/>
      <c r="O367" s="36" t="str">
        <f aca="false">IF($B367="","",INT((A367-1)/Parametros!$C$10)+1)</f>
        <v/>
      </c>
      <c r="P367" s="41" t="str">
        <f aca="false">IF($B367="","",IF(OR(C367="",D367=""),"",ROUND((D367-C367)*1440,0)))</f>
        <v/>
      </c>
      <c r="Q367" s="42" t="str">
        <f aca="false">IF($B367="","",I367*VLOOKUP(E367,Parametros!$B$18:$D$24,2,FALSE()))</f>
        <v/>
      </c>
      <c r="R367" s="42" t="str">
        <f aca="false">IF($B367="","",G367*VLOOKUP(E367,Parametros!$B$18:$D$24,3,FALSE()))</f>
        <v/>
      </c>
      <c r="S367" s="42" t="str">
        <f aca="false">IF($B367="","",Q367-R367)</f>
        <v/>
      </c>
      <c r="T367" s="43" t="str">
        <f aca="false">IF($B367="","",IF(S367&gt;0,"G","P"))</f>
        <v/>
      </c>
      <c r="U367" s="44" t="str">
        <f aca="false">IF($B367="","",S367/Parametros!$C$8)</f>
        <v/>
      </c>
      <c r="V367" s="42" t="str">
        <f aca="false">IF($B367="","",Parametros!$C$6+SUM($S$7:S367))</f>
        <v/>
      </c>
      <c r="W367" s="42" t="str">
        <f aca="false">IF($B367="","",MAX(V367,W366))</f>
        <v/>
      </c>
      <c r="X367" s="42" t="str">
        <f aca="false">IF($B367="","",V367-W367)</f>
        <v/>
      </c>
      <c r="Y367" s="45" t="str">
        <f aca="false">IF($B367="","",X367/W367)</f>
        <v/>
      </c>
      <c r="Z367" s="36" t="str">
        <f aca="false">IF($B367="","",IF(T367="G",IF(N(Z366)&gt;0,Z366+1,1),IF(N(Z366)&lt;0,Z366-1,-1)))</f>
        <v/>
      </c>
      <c r="AA367" s="46" t="str">
        <f aca="false">IF($B367="","",B367-WEEKDAY(B367,2)+1)</f>
        <v/>
      </c>
      <c r="AB367" s="47" t="str">
        <f aca="false">IF($B367="","",DATE(YEAR(B367),MONTH(B367),1))</f>
        <v/>
      </c>
      <c r="AC367" s="41" t="str">
        <f aca="false">IF($B367="","",CHOOSE(WEEKDAY(B367,2),"Lunes","Martes","Miércoles","Jueves","Viernes","Sábado","Domingo"))</f>
        <v/>
      </c>
      <c r="AD367" s="36" t="str">
        <f aca="false">IF($B367="","",HOUR(C367))</f>
        <v/>
      </c>
      <c r="AE367" s="42" t="str">
        <f aca="false">IF($B367="","",IF(O367&lt;&gt;O366,MAX(V367-S367,V367),MAX(V367,AE366)))</f>
        <v/>
      </c>
      <c r="AF367" s="42" t="str">
        <f aca="false">IF($B367="","",V367-AE367)</f>
        <v/>
      </c>
      <c r="AG367" s="36" t="str">
        <f aca="false">IF($B367="","",IF(O367&lt;&gt;O366,IF(T367="G",1,-1),IF(T367="G",IF(N(AG366)&gt;0,AG366+1,1),IF(N(AG366)&lt;0,AG366-1,-1))))</f>
        <v/>
      </c>
    </row>
    <row r="368" customFormat="false" ht="15" hidden="false" customHeight="false" outlineLevel="0" collapsed="false">
      <c r="A368" s="36" t="str">
        <f aca="false">IF(B368="","",ROW()-6)</f>
        <v/>
      </c>
      <c r="B368" s="37"/>
      <c r="C368" s="38"/>
      <c r="D368" s="38"/>
      <c r="E368" s="39"/>
      <c r="F368" s="39"/>
      <c r="G368" s="39"/>
      <c r="H368" s="40"/>
      <c r="I368" s="40"/>
      <c r="J368" s="40"/>
      <c r="K368" s="40"/>
      <c r="L368" s="39"/>
      <c r="M368" s="40"/>
      <c r="N368" s="40"/>
      <c r="O368" s="36" t="str">
        <f aca="false">IF($B368="","",INT((A368-1)/Parametros!$C$10)+1)</f>
        <v/>
      </c>
      <c r="P368" s="41" t="str">
        <f aca="false">IF($B368="","",IF(OR(C368="",D368=""),"",ROUND((D368-C368)*1440,0)))</f>
        <v/>
      </c>
      <c r="Q368" s="42" t="str">
        <f aca="false">IF($B368="","",I368*VLOOKUP(E368,Parametros!$B$18:$D$24,2,FALSE()))</f>
        <v/>
      </c>
      <c r="R368" s="42" t="str">
        <f aca="false">IF($B368="","",G368*VLOOKUP(E368,Parametros!$B$18:$D$24,3,FALSE()))</f>
        <v/>
      </c>
      <c r="S368" s="42" t="str">
        <f aca="false">IF($B368="","",Q368-R368)</f>
        <v/>
      </c>
      <c r="T368" s="43" t="str">
        <f aca="false">IF($B368="","",IF(S368&gt;0,"G","P"))</f>
        <v/>
      </c>
      <c r="U368" s="44" t="str">
        <f aca="false">IF($B368="","",S368/Parametros!$C$8)</f>
        <v/>
      </c>
      <c r="V368" s="42" t="str">
        <f aca="false">IF($B368="","",Parametros!$C$6+SUM($S$7:S368))</f>
        <v/>
      </c>
      <c r="W368" s="42" t="str">
        <f aca="false">IF($B368="","",MAX(V368,W367))</f>
        <v/>
      </c>
      <c r="X368" s="42" t="str">
        <f aca="false">IF($B368="","",V368-W368)</f>
        <v/>
      </c>
      <c r="Y368" s="45" t="str">
        <f aca="false">IF($B368="","",X368/W368)</f>
        <v/>
      </c>
      <c r="Z368" s="36" t="str">
        <f aca="false">IF($B368="","",IF(T368="G",IF(N(Z367)&gt;0,Z367+1,1),IF(N(Z367)&lt;0,Z367-1,-1)))</f>
        <v/>
      </c>
      <c r="AA368" s="46" t="str">
        <f aca="false">IF($B368="","",B368-WEEKDAY(B368,2)+1)</f>
        <v/>
      </c>
      <c r="AB368" s="47" t="str">
        <f aca="false">IF($B368="","",DATE(YEAR(B368),MONTH(B368),1))</f>
        <v/>
      </c>
      <c r="AC368" s="41" t="str">
        <f aca="false">IF($B368="","",CHOOSE(WEEKDAY(B368,2),"Lunes","Martes","Miércoles","Jueves","Viernes","Sábado","Domingo"))</f>
        <v/>
      </c>
      <c r="AD368" s="36" t="str">
        <f aca="false">IF($B368="","",HOUR(C368))</f>
        <v/>
      </c>
      <c r="AE368" s="42" t="str">
        <f aca="false">IF($B368="","",IF(O368&lt;&gt;O367,MAX(V368-S368,V368),MAX(V368,AE367)))</f>
        <v/>
      </c>
      <c r="AF368" s="42" t="str">
        <f aca="false">IF($B368="","",V368-AE368)</f>
        <v/>
      </c>
      <c r="AG368" s="36" t="str">
        <f aca="false">IF($B368="","",IF(O368&lt;&gt;O367,IF(T368="G",1,-1),IF(T368="G",IF(N(AG367)&gt;0,AG367+1,1),IF(N(AG367)&lt;0,AG367-1,-1))))</f>
        <v/>
      </c>
    </row>
    <row r="369" customFormat="false" ht="15" hidden="false" customHeight="false" outlineLevel="0" collapsed="false">
      <c r="A369" s="36" t="str">
        <f aca="false">IF(B369="","",ROW()-6)</f>
        <v/>
      </c>
      <c r="B369" s="37"/>
      <c r="C369" s="38"/>
      <c r="D369" s="38"/>
      <c r="E369" s="39"/>
      <c r="F369" s="39"/>
      <c r="G369" s="39"/>
      <c r="H369" s="40"/>
      <c r="I369" s="40"/>
      <c r="J369" s="40"/>
      <c r="K369" s="40"/>
      <c r="L369" s="39"/>
      <c r="M369" s="40"/>
      <c r="N369" s="40"/>
      <c r="O369" s="36" t="str">
        <f aca="false">IF($B369="","",INT((A369-1)/Parametros!$C$10)+1)</f>
        <v/>
      </c>
      <c r="P369" s="41" t="str">
        <f aca="false">IF($B369="","",IF(OR(C369="",D369=""),"",ROUND((D369-C369)*1440,0)))</f>
        <v/>
      </c>
      <c r="Q369" s="42" t="str">
        <f aca="false">IF($B369="","",I369*VLOOKUP(E369,Parametros!$B$18:$D$24,2,FALSE()))</f>
        <v/>
      </c>
      <c r="R369" s="42" t="str">
        <f aca="false">IF($B369="","",G369*VLOOKUP(E369,Parametros!$B$18:$D$24,3,FALSE()))</f>
        <v/>
      </c>
      <c r="S369" s="42" t="str">
        <f aca="false">IF($B369="","",Q369-R369)</f>
        <v/>
      </c>
      <c r="T369" s="43" t="str">
        <f aca="false">IF($B369="","",IF(S369&gt;0,"G","P"))</f>
        <v/>
      </c>
      <c r="U369" s="44" t="str">
        <f aca="false">IF($B369="","",S369/Parametros!$C$8)</f>
        <v/>
      </c>
      <c r="V369" s="42" t="str">
        <f aca="false">IF($B369="","",Parametros!$C$6+SUM($S$7:S369))</f>
        <v/>
      </c>
      <c r="W369" s="42" t="str">
        <f aca="false">IF($B369="","",MAX(V369,W368))</f>
        <v/>
      </c>
      <c r="X369" s="42" t="str">
        <f aca="false">IF($B369="","",V369-W369)</f>
        <v/>
      </c>
      <c r="Y369" s="45" t="str">
        <f aca="false">IF($B369="","",X369/W369)</f>
        <v/>
      </c>
      <c r="Z369" s="36" t="str">
        <f aca="false">IF($B369="","",IF(T369="G",IF(N(Z368)&gt;0,Z368+1,1),IF(N(Z368)&lt;0,Z368-1,-1)))</f>
        <v/>
      </c>
      <c r="AA369" s="46" t="str">
        <f aca="false">IF($B369="","",B369-WEEKDAY(B369,2)+1)</f>
        <v/>
      </c>
      <c r="AB369" s="47" t="str">
        <f aca="false">IF($B369="","",DATE(YEAR(B369),MONTH(B369),1))</f>
        <v/>
      </c>
      <c r="AC369" s="41" t="str">
        <f aca="false">IF($B369="","",CHOOSE(WEEKDAY(B369,2),"Lunes","Martes","Miércoles","Jueves","Viernes","Sábado","Domingo"))</f>
        <v/>
      </c>
      <c r="AD369" s="36" t="str">
        <f aca="false">IF($B369="","",HOUR(C369))</f>
        <v/>
      </c>
      <c r="AE369" s="42" t="str">
        <f aca="false">IF($B369="","",IF(O369&lt;&gt;O368,MAX(V369-S369,V369),MAX(V369,AE368)))</f>
        <v/>
      </c>
      <c r="AF369" s="42" t="str">
        <f aca="false">IF($B369="","",V369-AE369)</f>
        <v/>
      </c>
      <c r="AG369" s="36" t="str">
        <f aca="false">IF($B369="","",IF(O369&lt;&gt;O368,IF(T369="G",1,-1),IF(T369="G",IF(N(AG368)&gt;0,AG368+1,1),IF(N(AG368)&lt;0,AG368-1,-1))))</f>
        <v/>
      </c>
    </row>
    <row r="370" customFormat="false" ht="15" hidden="false" customHeight="false" outlineLevel="0" collapsed="false">
      <c r="A370" s="36" t="str">
        <f aca="false">IF(B370="","",ROW()-6)</f>
        <v/>
      </c>
      <c r="B370" s="37"/>
      <c r="C370" s="38"/>
      <c r="D370" s="38"/>
      <c r="E370" s="39"/>
      <c r="F370" s="39"/>
      <c r="G370" s="39"/>
      <c r="H370" s="40"/>
      <c r="I370" s="40"/>
      <c r="J370" s="40"/>
      <c r="K370" s="40"/>
      <c r="L370" s="39"/>
      <c r="M370" s="40"/>
      <c r="N370" s="40"/>
      <c r="O370" s="36" t="str">
        <f aca="false">IF($B370="","",INT((A370-1)/Parametros!$C$10)+1)</f>
        <v/>
      </c>
      <c r="P370" s="41" t="str">
        <f aca="false">IF($B370="","",IF(OR(C370="",D370=""),"",ROUND((D370-C370)*1440,0)))</f>
        <v/>
      </c>
      <c r="Q370" s="42" t="str">
        <f aca="false">IF($B370="","",I370*VLOOKUP(E370,Parametros!$B$18:$D$24,2,FALSE()))</f>
        <v/>
      </c>
      <c r="R370" s="42" t="str">
        <f aca="false">IF($B370="","",G370*VLOOKUP(E370,Parametros!$B$18:$D$24,3,FALSE()))</f>
        <v/>
      </c>
      <c r="S370" s="42" t="str">
        <f aca="false">IF($B370="","",Q370-R370)</f>
        <v/>
      </c>
      <c r="T370" s="43" t="str">
        <f aca="false">IF($B370="","",IF(S370&gt;0,"G","P"))</f>
        <v/>
      </c>
      <c r="U370" s="44" t="str">
        <f aca="false">IF($B370="","",S370/Parametros!$C$8)</f>
        <v/>
      </c>
      <c r="V370" s="42" t="str">
        <f aca="false">IF($B370="","",Parametros!$C$6+SUM($S$7:S370))</f>
        <v/>
      </c>
      <c r="W370" s="42" t="str">
        <f aca="false">IF($B370="","",MAX(V370,W369))</f>
        <v/>
      </c>
      <c r="X370" s="42" t="str">
        <f aca="false">IF($B370="","",V370-W370)</f>
        <v/>
      </c>
      <c r="Y370" s="45" t="str">
        <f aca="false">IF($B370="","",X370/W370)</f>
        <v/>
      </c>
      <c r="Z370" s="36" t="str">
        <f aca="false">IF($B370="","",IF(T370="G",IF(N(Z369)&gt;0,Z369+1,1),IF(N(Z369)&lt;0,Z369-1,-1)))</f>
        <v/>
      </c>
      <c r="AA370" s="46" t="str">
        <f aca="false">IF($B370="","",B370-WEEKDAY(B370,2)+1)</f>
        <v/>
      </c>
      <c r="AB370" s="47" t="str">
        <f aca="false">IF($B370="","",DATE(YEAR(B370),MONTH(B370),1))</f>
        <v/>
      </c>
      <c r="AC370" s="41" t="str">
        <f aca="false">IF($B370="","",CHOOSE(WEEKDAY(B370,2),"Lunes","Martes","Miércoles","Jueves","Viernes","Sábado","Domingo"))</f>
        <v/>
      </c>
      <c r="AD370" s="36" t="str">
        <f aca="false">IF($B370="","",HOUR(C370))</f>
        <v/>
      </c>
      <c r="AE370" s="42" t="str">
        <f aca="false">IF($B370="","",IF(O370&lt;&gt;O369,MAX(V370-S370,V370),MAX(V370,AE369)))</f>
        <v/>
      </c>
      <c r="AF370" s="42" t="str">
        <f aca="false">IF($B370="","",V370-AE370)</f>
        <v/>
      </c>
      <c r="AG370" s="36" t="str">
        <f aca="false">IF($B370="","",IF(O370&lt;&gt;O369,IF(T370="G",1,-1),IF(T370="G",IF(N(AG369)&gt;0,AG369+1,1),IF(N(AG369)&lt;0,AG369-1,-1))))</f>
        <v/>
      </c>
    </row>
    <row r="371" customFormat="false" ht="15" hidden="false" customHeight="false" outlineLevel="0" collapsed="false">
      <c r="A371" s="36" t="str">
        <f aca="false">IF(B371="","",ROW()-6)</f>
        <v/>
      </c>
      <c r="B371" s="37"/>
      <c r="C371" s="38"/>
      <c r="D371" s="38"/>
      <c r="E371" s="39"/>
      <c r="F371" s="39"/>
      <c r="G371" s="39"/>
      <c r="H371" s="40"/>
      <c r="I371" s="40"/>
      <c r="J371" s="40"/>
      <c r="K371" s="40"/>
      <c r="L371" s="39"/>
      <c r="M371" s="40"/>
      <c r="N371" s="40"/>
      <c r="O371" s="36" t="str">
        <f aca="false">IF($B371="","",INT((A371-1)/Parametros!$C$10)+1)</f>
        <v/>
      </c>
      <c r="P371" s="41" t="str">
        <f aca="false">IF($B371="","",IF(OR(C371="",D371=""),"",ROUND((D371-C371)*1440,0)))</f>
        <v/>
      </c>
      <c r="Q371" s="42" t="str">
        <f aca="false">IF($B371="","",I371*VLOOKUP(E371,Parametros!$B$18:$D$24,2,FALSE()))</f>
        <v/>
      </c>
      <c r="R371" s="42" t="str">
        <f aca="false">IF($B371="","",G371*VLOOKUP(E371,Parametros!$B$18:$D$24,3,FALSE()))</f>
        <v/>
      </c>
      <c r="S371" s="42" t="str">
        <f aca="false">IF($B371="","",Q371-R371)</f>
        <v/>
      </c>
      <c r="T371" s="43" t="str">
        <f aca="false">IF($B371="","",IF(S371&gt;0,"G","P"))</f>
        <v/>
      </c>
      <c r="U371" s="44" t="str">
        <f aca="false">IF($B371="","",S371/Parametros!$C$8)</f>
        <v/>
      </c>
      <c r="V371" s="42" t="str">
        <f aca="false">IF($B371="","",Parametros!$C$6+SUM($S$7:S371))</f>
        <v/>
      </c>
      <c r="W371" s="42" t="str">
        <f aca="false">IF($B371="","",MAX(V371,W370))</f>
        <v/>
      </c>
      <c r="X371" s="42" t="str">
        <f aca="false">IF($B371="","",V371-W371)</f>
        <v/>
      </c>
      <c r="Y371" s="45" t="str">
        <f aca="false">IF($B371="","",X371/W371)</f>
        <v/>
      </c>
      <c r="Z371" s="36" t="str">
        <f aca="false">IF($B371="","",IF(T371="G",IF(N(Z370)&gt;0,Z370+1,1),IF(N(Z370)&lt;0,Z370-1,-1)))</f>
        <v/>
      </c>
      <c r="AA371" s="46" t="str">
        <f aca="false">IF($B371="","",B371-WEEKDAY(B371,2)+1)</f>
        <v/>
      </c>
      <c r="AB371" s="47" t="str">
        <f aca="false">IF($B371="","",DATE(YEAR(B371),MONTH(B371),1))</f>
        <v/>
      </c>
      <c r="AC371" s="41" t="str">
        <f aca="false">IF($B371="","",CHOOSE(WEEKDAY(B371,2),"Lunes","Martes","Miércoles","Jueves","Viernes","Sábado","Domingo"))</f>
        <v/>
      </c>
      <c r="AD371" s="36" t="str">
        <f aca="false">IF($B371="","",HOUR(C371))</f>
        <v/>
      </c>
      <c r="AE371" s="42" t="str">
        <f aca="false">IF($B371="","",IF(O371&lt;&gt;O370,MAX(V371-S371,V371),MAX(V371,AE370)))</f>
        <v/>
      </c>
      <c r="AF371" s="42" t="str">
        <f aca="false">IF($B371="","",V371-AE371)</f>
        <v/>
      </c>
      <c r="AG371" s="36" t="str">
        <f aca="false">IF($B371="","",IF(O371&lt;&gt;O370,IF(T371="G",1,-1),IF(T371="G",IF(N(AG370)&gt;0,AG370+1,1),IF(N(AG370)&lt;0,AG370-1,-1))))</f>
        <v/>
      </c>
    </row>
    <row r="372" customFormat="false" ht="15" hidden="false" customHeight="false" outlineLevel="0" collapsed="false">
      <c r="A372" s="36" t="str">
        <f aca="false">IF(B372="","",ROW()-6)</f>
        <v/>
      </c>
      <c r="B372" s="37"/>
      <c r="C372" s="38"/>
      <c r="D372" s="38"/>
      <c r="E372" s="39"/>
      <c r="F372" s="39"/>
      <c r="G372" s="39"/>
      <c r="H372" s="40"/>
      <c r="I372" s="40"/>
      <c r="J372" s="40"/>
      <c r="K372" s="40"/>
      <c r="L372" s="39"/>
      <c r="M372" s="40"/>
      <c r="N372" s="40"/>
      <c r="O372" s="36" t="str">
        <f aca="false">IF($B372="","",INT((A372-1)/Parametros!$C$10)+1)</f>
        <v/>
      </c>
      <c r="P372" s="41" t="str">
        <f aca="false">IF($B372="","",IF(OR(C372="",D372=""),"",ROUND((D372-C372)*1440,0)))</f>
        <v/>
      </c>
      <c r="Q372" s="42" t="str">
        <f aca="false">IF($B372="","",I372*VLOOKUP(E372,Parametros!$B$18:$D$24,2,FALSE()))</f>
        <v/>
      </c>
      <c r="R372" s="42" t="str">
        <f aca="false">IF($B372="","",G372*VLOOKUP(E372,Parametros!$B$18:$D$24,3,FALSE()))</f>
        <v/>
      </c>
      <c r="S372" s="42" t="str">
        <f aca="false">IF($B372="","",Q372-R372)</f>
        <v/>
      </c>
      <c r="T372" s="43" t="str">
        <f aca="false">IF($B372="","",IF(S372&gt;0,"G","P"))</f>
        <v/>
      </c>
      <c r="U372" s="44" t="str">
        <f aca="false">IF($B372="","",S372/Parametros!$C$8)</f>
        <v/>
      </c>
      <c r="V372" s="42" t="str">
        <f aca="false">IF($B372="","",Parametros!$C$6+SUM($S$7:S372))</f>
        <v/>
      </c>
      <c r="W372" s="42" t="str">
        <f aca="false">IF($B372="","",MAX(V372,W371))</f>
        <v/>
      </c>
      <c r="X372" s="42" t="str">
        <f aca="false">IF($B372="","",V372-W372)</f>
        <v/>
      </c>
      <c r="Y372" s="45" t="str">
        <f aca="false">IF($B372="","",X372/W372)</f>
        <v/>
      </c>
      <c r="Z372" s="36" t="str">
        <f aca="false">IF($B372="","",IF(T372="G",IF(N(Z371)&gt;0,Z371+1,1),IF(N(Z371)&lt;0,Z371-1,-1)))</f>
        <v/>
      </c>
      <c r="AA372" s="46" t="str">
        <f aca="false">IF($B372="","",B372-WEEKDAY(B372,2)+1)</f>
        <v/>
      </c>
      <c r="AB372" s="47" t="str">
        <f aca="false">IF($B372="","",DATE(YEAR(B372),MONTH(B372),1))</f>
        <v/>
      </c>
      <c r="AC372" s="41" t="str">
        <f aca="false">IF($B372="","",CHOOSE(WEEKDAY(B372,2),"Lunes","Martes","Miércoles","Jueves","Viernes","Sábado","Domingo"))</f>
        <v/>
      </c>
      <c r="AD372" s="36" t="str">
        <f aca="false">IF($B372="","",HOUR(C372))</f>
        <v/>
      </c>
      <c r="AE372" s="42" t="str">
        <f aca="false">IF($B372="","",IF(O372&lt;&gt;O371,MAX(V372-S372,V372),MAX(V372,AE371)))</f>
        <v/>
      </c>
      <c r="AF372" s="42" t="str">
        <f aca="false">IF($B372="","",V372-AE372)</f>
        <v/>
      </c>
      <c r="AG372" s="36" t="str">
        <f aca="false">IF($B372="","",IF(O372&lt;&gt;O371,IF(T372="G",1,-1),IF(T372="G",IF(N(AG371)&gt;0,AG371+1,1),IF(N(AG371)&lt;0,AG371-1,-1))))</f>
        <v/>
      </c>
    </row>
    <row r="373" customFormat="false" ht="15" hidden="false" customHeight="false" outlineLevel="0" collapsed="false">
      <c r="A373" s="36" t="str">
        <f aca="false">IF(B373="","",ROW()-6)</f>
        <v/>
      </c>
      <c r="B373" s="37"/>
      <c r="C373" s="38"/>
      <c r="D373" s="38"/>
      <c r="E373" s="39"/>
      <c r="F373" s="39"/>
      <c r="G373" s="39"/>
      <c r="H373" s="40"/>
      <c r="I373" s="40"/>
      <c r="J373" s="40"/>
      <c r="K373" s="40"/>
      <c r="L373" s="39"/>
      <c r="M373" s="40"/>
      <c r="N373" s="40"/>
      <c r="O373" s="36" t="str">
        <f aca="false">IF($B373="","",INT((A373-1)/Parametros!$C$10)+1)</f>
        <v/>
      </c>
      <c r="P373" s="41" t="str">
        <f aca="false">IF($B373="","",IF(OR(C373="",D373=""),"",ROUND((D373-C373)*1440,0)))</f>
        <v/>
      </c>
      <c r="Q373" s="42" t="str">
        <f aca="false">IF($B373="","",I373*VLOOKUP(E373,Parametros!$B$18:$D$24,2,FALSE()))</f>
        <v/>
      </c>
      <c r="R373" s="42" t="str">
        <f aca="false">IF($B373="","",G373*VLOOKUP(E373,Parametros!$B$18:$D$24,3,FALSE()))</f>
        <v/>
      </c>
      <c r="S373" s="42" t="str">
        <f aca="false">IF($B373="","",Q373-R373)</f>
        <v/>
      </c>
      <c r="T373" s="43" t="str">
        <f aca="false">IF($B373="","",IF(S373&gt;0,"G","P"))</f>
        <v/>
      </c>
      <c r="U373" s="44" t="str">
        <f aca="false">IF($B373="","",S373/Parametros!$C$8)</f>
        <v/>
      </c>
      <c r="V373" s="42" t="str">
        <f aca="false">IF($B373="","",Parametros!$C$6+SUM($S$7:S373))</f>
        <v/>
      </c>
      <c r="W373" s="42" t="str">
        <f aca="false">IF($B373="","",MAX(V373,W372))</f>
        <v/>
      </c>
      <c r="X373" s="42" t="str">
        <f aca="false">IF($B373="","",V373-W373)</f>
        <v/>
      </c>
      <c r="Y373" s="45" t="str">
        <f aca="false">IF($B373="","",X373/W373)</f>
        <v/>
      </c>
      <c r="Z373" s="36" t="str">
        <f aca="false">IF($B373="","",IF(T373="G",IF(N(Z372)&gt;0,Z372+1,1),IF(N(Z372)&lt;0,Z372-1,-1)))</f>
        <v/>
      </c>
      <c r="AA373" s="46" t="str">
        <f aca="false">IF($B373="","",B373-WEEKDAY(B373,2)+1)</f>
        <v/>
      </c>
      <c r="AB373" s="47" t="str">
        <f aca="false">IF($B373="","",DATE(YEAR(B373),MONTH(B373),1))</f>
        <v/>
      </c>
      <c r="AC373" s="41" t="str">
        <f aca="false">IF($B373="","",CHOOSE(WEEKDAY(B373,2),"Lunes","Martes","Miércoles","Jueves","Viernes","Sábado","Domingo"))</f>
        <v/>
      </c>
      <c r="AD373" s="36" t="str">
        <f aca="false">IF($B373="","",HOUR(C373))</f>
        <v/>
      </c>
      <c r="AE373" s="42" t="str">
        <f aca="false">IF($B373="","",IF(O373&lt;&gt;O372,MAX(V373-S373,V373),MAX(V373,AE372)))</f>
        <v/>
      </c>
      <c r="AF373" s="42" t="str">
        <f aca="false">IF($B373="","",V373-AE373)</f>
        <v/>
      </c>
      <c r="AG373" s="36" t="str">
        <f aca="false">IF($B373="","",IF(O373&lt;&gt;O372,IF(T373="G",1,-1),IF(T373="G",IF(N(AG372)&gt;0,AG372+1,1),IF(N(AG372)&lt;0,AG372-1,-1))))</f>
        <v/>
      </c>
    </row>
    <row r="374" customFormat="false" ht="15" hidden="false" customHeight="false" outlineLevel="0" collapsed="false">
      <c r="A374" s="36" t="str">
        <f aca="false">IF(B374="","",ROW()-6)</f>
        <v/>
      </c>
      <c r="B374" s="37"/>
      <c r="C374" s="38"/>
      <c r="D374" s="38"/>
      <c r="E374" s="39"/>
      <c r="F374" s="39"/>
      <c r="G374" s="39"/>
      <c r="H374" s="40"/>
      <c r="I374" s="40"/>
      <c r="J374" s="40"/>
      <c r="K374" s="40"/>
      <c r="L374" s="39"/>
      <c r="M374" s="40"/>
      <c r="N374" s="40"/>
      <c r="O374" s="36" t="str">
        <f aca="false">IF($B374="","",INT((A374-1)/Parametros!$C$10)+1)</f>
        <v/>
      </c>
      <c r="P374" s="41" t="str">
        <f aca="false">IF($B374="","",IF(OR(C374="",D374=""),"",ROUND((D374-C374)*1440,0)))</f>
        <v/>
      </c>
      <c r="Q374" s="42" t="str">
        <f aca="false">IF($B374="","",I374*VLOOKUP(E374,Parametros!$B$18:$D$24,2,FALSE()))</f>
        <v/>
      </c>
      <c r="R374" s="42" t="str">
        <f aca="false">IF($B374="","",G374*VLOOKUP(E374,Parametros!$B$18:$D$24,3,FALSE()))</f>
        <v/>
      </c>
      <c r="S374" s="42" t="str">
        <f aca="false">IF($B374="","",Q374-R374)</f>
        <v/>
      </c>
      <c r="T374" s="43" t="str">
        <f aca="false">IF($B374="","",IF(S374&gt;0,"G","P"))</f>
        <v/>
      </c>
      <c r="U374" s="44" t="str">
        <f aca="false">IF($B374="","",S374/Parametros!$C$8)</f>
        <v/>
      </c>
      <c r="V374" s="42" t="str">
        <f aca="false">IF($B374="","",Parametros!$C$6+SUM($S$7:S374))</f>
        <v/>
      </c>
      <c r="W374" s="42" t="str">
        <f aca="false">IF($B374="","",MAX(V374,W373))</f>
        <v/>
      </c>
      <c r="X374" s="42" t="str">
        <f aca="false">IF($B374="","",V374-W374)</f>
        <v/>
      </c>
      <c r="Y374" s="45" t="str">
        <f aca="false">IF($B374="","",X374/W374)</f>
        <v/>
      </c>
      <c r="Z374" s="36" t="str">
        <f aca="false">IF($B374="","",IF(T374="G",IF(N(Z373)&gt;0,Z373+1,1),IF(N(Z373)&lt;0,Z373-1,-1)))</f>
        <v/>
      </c>
      <c r="AA374" s="46" t="str">
        <f aca="false">IF($B374="","",B374-WEEKDAY(B374,2)+1)</f>
        <v/>
      </c>
      <c r="AB374" s="47" t="str">
        <f aca="false">IF($B374="","",DATE(YEAR(B374),MONTH(B374),1))</f>
        <v/>
      </c>
      <c r="AC374" s="41" t="str">
        <f aca="false">IF($B374="","",CHOOSE(WEEKDAY(B374,2),"Lunes","Martes","Miércoles","Jueves","Viernes","Sábado","Domingo"))</f>
        <v/>
      </c>
      <c r="AD374" s="36" t="str">
        <f aca="false">IF($B374="","",HOUR(C374))</f>
        <v/>
      </c>
      <c r="AE374" s="42" t="str">
        <f aca="false">IF($B374="","",IF(O374&lt;&gt;O373,MAX(V374-S374,V374),MAX(V374,AE373)))</f>
        <v/>
      </c>
      <c r="AF374" s="42" t="str">
        <f aca="false">IF($B374="","",V374-AE374)</f>
        <v/>
      </c>
      <c r="AG374" s="36" t="str">
        <f aca="false">IF($B374="","",IF(O374&lt;&gt;O373,IF(T374="G",1,-1),IF(T374="G",IF(N(AG373)&gt;0,AG373+1,1),IF(N(AG373)&lt;0,AG373-1,-1))))</f>
        <v/>
      </c>
    </row>
    <row r="375" customFormat="false" ht="15" hidden="false" customHeight="false" outlineLevel="0" collapsed="false">
      <c r="A375" s="36" t="str">
        <f aca="false">IF(B375="","",ROW()-6)</f>
        <v/>
      </c>
      <c r="B375" s="37"/>
      <c r="C375" s="38"/>
      <c r="D375" s="38"/>
      <c r="E375" s="39"/>
      <c r="F375" s="39"/>
      <c r="G375" s="39"/>
      <c r="H375" s="40"/>
      <c r="I375" s="40"/>
      <c r="J375" s="40"/>
      <c r="K375" s="40"/>
      <c r="L375" s="39"/>
      <c r="M375" s="40"/>
      <c r="N375" s="40"/>
      <c r="O375" s="36" t="str">
        <f aca="false">IF($B375="","",INT((A375-1)/Parametros!$C$10)+1)</f>
        <v/>
      </c>
      <c r="P375" s="41" t="str">
        <f aca="false">IF($B375="","",IF(OR(C375="",D375=""),"",ROUND((D375-C375)*1440,0)))</f>
        <v/>
      </c>
      <c r="Q375" s="42" t="str">
        <f aca="false">IF($B375="","",I375*VLOOKUP(E375,Parametros!$B$18:$D$24,2,FALSE()))</f>
        <v/>
      </c>
      <c r="R375" s="42" t="str">
        <f aca="false">IF($B375="","",G375*VLOOKUP(E375,Parametros!$B$18:$D$24,3,FALSE()))</f>
        <v/>
      </c>
      <c r="S375" s="42" t="str">
        <f aca="false">IF($B375="","",Q375-R375)</f>
        <v/>
      </c>
      <c r="T375" s="43" t="str">
        <f aca="false">IF($B375="","",IF(S375&gt;0,"G","P"))</f>
        <v/>
      </c>
      <c r="U375" s="44" t="str">
        <f aca="false">IF($B375="","",S375/Parametros!$C$8)</f>
        <v/>
      </c>
      <c r="V375" s="42" t="str">
        <f aca="false">IF($B375="","",Parametros!$C$6+SUM($S$7:S375))</f>
        <v/>
      </c>
      <c r="W375" s="42" t="str">
        <f aca="false">IF($B375="","",MAX(V375,W374))</f>
        <v/>
      </c>
      <c r="X375" s="42" t="str">
        <f aca="false">IF($B375="","",V375-W375)</f>
        <v/>
      </c>
      <c r="Y375" s="45" t="str">
        <f aca="false">IF($B375="","",X375/W375)</f>
        <v/>
      </c>
      <c r="Z375" s="36" t="str">
        <f aca="false">IF($B375="","",IF(T375="G",IF(N(Z374)&gt;0,Z374+1,1),IF(N(Z374)&lt;0,Z374-1,-1)))</f>
        <v/>
      </c>
      <c r="AA375" s="46" t="str">
        <f aca="false">IF($B375="","",B375-WEEKDAY(B375,2)+1)</f>
        <v/>
      </c>
      <c r="AB375" s="47" t="str">
        <f aca="false">IF($B375="","",DATE(YEAR(B375),MONTH(B375),1))</f>
        <v/>
      </c>
      <c r="AC375" s="41" t="str">
        <f aca="false">IF($B375="","",CHOOSE(WEEKDAY(B375,2),"Lunes","Martes","Miércoles","Jueves","Viernes","Sábado","Domingo"))</f>
        <v/>
      </c>
      <c r="AD375" s="36" t="str">
        <f aca="false">IF($B375="","",HOUR(C375))</f>
        <v/>
      </c>
      <c r="AE375" s="42" t="str">
        <f aca="false">IF($B375="","",IF(O375&lt;&gt;O374,MAX(V375-S375,V375),MAX(V375,AE374)))</f>
        <v/>
      </c>
      <c r="AF375" s="42" t="str">
        <f aca="false">IF($B375="","",V375-AE375)</f>
        <v/>
      </c>
      <c r="AG375" s="36" t="str">
        <f aca="false">IF($B375="","",IF(O375&lt;&gt;O374,IF(T375="G",1,-1),IF(T375="G",IF(N(AG374)&gt;0,AG374+1,1),IF(N(AG374)&lt;0,AG374-1,-1))))</f>
        <v/>
      </c>
    </row>
    <row r="376" customFormat="false" ht="15" hidden="false" customHeight="false" outlineLevel="0" collapsed="false">
      <c r="A376" s="36" t="str">
        <f aca="false">IF(B376="","",ROW()-6)</f>
        <v/>
      </c>
      <c r="B376" s="37"/>
      <c r="C376" s="38"/>
      <c r="D376" s="38"/>
      <c r="E376" s="39"/>
      <c r="F376" s="39"/>
      <c r="G376" s="39"/>
      <c r="H376" s="40"/>
      <c r="I376" s="40"/>
      <c r="J376" s="40"/>
      <c r="K376" s="40"/>
      <c r="L376" s="39"/>
      <c r="M376" s="40"/>
      <c r="N376" s="40"/>
      <c r="O376" s="36" t="str">
        <f aca="false">IF($B376="","",INT((A376-1)/Parametros!$C$10)+1)</f>
        <v/>
      </c>
      <c r="P376" s="41" t="str">
        <f aca="false">IF($B376="","",IF(OR(C376="",D376=""),"",ROUND((D376-C376)*1440,0)))</f>
        <v/>
      </c>
      <c r="Q376" s="42" t="str">
        <f aca="false">IF($B376="","",I376*VLOOKUP(E376,Parametros!$B$18:$D$24,2,FALSE()))</f>
        <v/>
      </c>
      <c r="R376" s="42" t="str">
        <f aca="false">IF($B376="","",G376*VLOOKUP(E376,Parametros!$B$18:$D$24,3,FALSE()))</f>
        <v/>
      </c>
      <c r="S376" s="42" t="str">
        <f aca="false">IF($B376="","",Q376-R376)</f>
        <v/>
      </c>
      <c r="T376" s="43" t="str">
        <f aca="false">IF($B376="","",IF(S376&gt;0,"G","P"))</f>
        <v/>
      </c>
      <c r="U376" s="44" t="str">
        <f aca="false">IF($B376="","",S376/Parametros!$C$8)</f>
        <v/>
      </c>
      <c r="V376" s="42" t="str">
        <f aca="false">IF($B376="","",Parametros!$C$6+SUM($S$7:S376))</f>
        <v/>
      </c>
      <c r="W376" s="42" t="str">
        <f aca="false">IF($B376="","",MAX(V376,W375))</f>
        <v/>
      </c>
      <c r="X376" s="42" t="str">
        <f aca="false">IF($B376="","",V376-W376)</f>
        <v/>
      </c>
      <c r="Y376" s="45" t="str">
        <f aca="false">IF($B376="","",X376/W376)</f>
        <v/>
      </c>
      <c r="Z376" s="36" t="str">
        <f aca="false">IF($B376="","",IF(T376="G",IF(N(Z375)&gt;0,Z375+1,1),IF(N(Z375)&lt;0,Z375-1,-1)))</f>
        <v/>
      </c>
      <c r="AA376" s="46" t="str">
        <f aca="false">IF($B376="","",B376-WEEKDAY(B376,2)+1)</f>
        <v/>
      </c>
      <c r="AB376" s="47" t="str">
        <f aca="false">IF($B376="","",DATE(YEAR(B376),MONTH(B376),1))</f>
        <v/>
      </c>
      <c r="AC376" s="41" t="str">
        <f aca="false">IF($B376="","",CHOOSE(WEEKDAY(B376,2),"Lunes","Martes","Miércoles","Jueves","Viernes","Sábado","Domingo"))</f>
        <v/>
      </c>
      <c r="AD376" s="36" t="str">
        <f aca="false">IF($B376="","",HOUR(C376))</f>
        <v/>
      </c>
      <c r="AE376" s="42" t="str">
        <f aca="false">IF($B376="","",IF(O376&lt;&gt;O375,MAX(V376-S376,V376),MAX(V376,AE375)))</f>
        <v/>
      </c>
      <c r="AF376" s="42" t="str">
        <f aca="false">IF($B376="","",V376-AE376)</f>
        <v/>
      </c>
      <c r="AG376" s="36" t="str">
        <f aca="false">IF($B376="","",IF(O376&lt;&gt;O375,IF(T376="G",1,-1),IF(T376="G",IF(N(AG375)&gt;0,AG375+1,1),IF(N(AG375)&lt;0,AG375-1,-1))))</f>
        <v/>
      </c>
    </row>
    <row r="377" customFormat="false" ht="15" hidden="false" customHeight="false" outlineLevel="0" collapsed="false">
      <c r="A377" s="36" t="str">
        <f aca="false">IF(B377="","",ROW()-6)</f>
        <v/>
      </c>
      <c r="B377" s="37"/>
      <c r="C377" s="38"/>
      <c r="D377" s="38"/>
      <c r="E377" s="39"/>
      <c r="F377" s="39"/>
      <c r="G377" s="39"/>
      <c r="H377" s="40"/>
      <c r="I377" s="40"/>
      <c r="J377" s="40"/>
      <c r="K377" s="40"/>
      <c r="L377" s="39"/>
      <c r="M377" s="40"/>
      <c r="N377" s="40"/>
      <c r="O377" s="36" t="str">
        <f aca="false">IF($B377="","",INT((A377-1)/Parametros!$C$10)+1)</f>
        <v/>
      </c>
      <c r="P377" s="41" t="str">
        <f aca="false">IF($B377="","",IF(OR(C377="",D377=""),"",ROUND((D377-C377)*1440,0)))</f>
        <v/>
      </c>
      <c r="Q377" s="42" t="str">
        <f aca="false">IF($B377="","",I377*VLOOKUP(E377,Parametros!$B$18:$D$24,2,FALSE()))</f>
        <v/>
      </c>
      <c r="R377" s="42" t="str">
        <f aca="false">IF($B377="","",G377*VLOOKUP(E377,Parametros!$B$18:$D$24,3,FALSE()))</f>
        <v/>
      </c>
      <c r="S377" s="42" t="str">
        <f aca="false">IF($B377="","",Q377-R377)</f>
        <v/>
      </c>
      <c r="T377" s="43" t="str">
        <f aca="false">IF($B377="","",IF(S377&gt;0,"G","P"))</f>
        <v/>
      </c>
      <c r="U377" s="44" t="str">
        <f aca="false">IF($B377="","",S377/Parametros!$C$8)</f>
        <v/>
      </c>
      <c r="V377" s="42" t="str">
        <f aca="false">IF($B377="","",Parametros!$C$6+SUM($S$7:S377))</f>
        <v/>
      </c>
      <c r="W377" s="42" t="str">
        <f aca="false">IF($B377="","",MAX(V377,W376))</f>
        <v/>
      </c>
      <c r="X377" s="42" t="str">
        <f aca="false">IF($B377="","",V377-W377)</f>
        <v/>
      </c>
      <c r="Y377" s="45" t="str">
        <f aca="false">IF($B377="","",X377/W377)</f>
        <v/>
      </c>
      <c r="Z377" s="36" t="str">
        <f aca="false">IF($B377="","",IF(T377="G",IF(N(Z376)&gt;0,Z376+1,1),IF(N(Z376)&lt;0,Z376-1,-1)))</f>
        <v/>
      </c>
      <c r="AA377" s="46" t="str">
        <f aca="false">IF($B377="","",B377-WEEKDAY(B377,2)+1)</f>
        <v/>
      </c>
      <c r="AB377" s="47" t="str">
        <f aca="false">IF($B377="","",DATE(YEAR(B377),MONTH(B377),1))</f>
        <v/>
      </c>
      <c r="AC377" s="41" t="str">
        <f aca="false">IF($B377="","",CHOOSE(WEEKDAY(B377,2),"Lunes","Martes","Miércoles","Jueves","Viernes","Sábado","Domingo"))</f>
        <v/>
      </c>
      <c r="AD377" s="36" t="str">
        <f aca="false">IF($B377="","",HOUR(C377))</f>
        <v/>
      </c>
      <c r="AE377" s="42" t="str">
        <f aca="false">IF($B377="","",IF(O377&lt;&gt;O376,MAX(V377-S377,V377),MAX(V377,AE376)))</f>
        <v/>
      </c>
      <c r="AF377" s="42" t="str">
        <f aca="false">IF($B377="","",V377-AE377)</f>
        <v/>
      </c>
      <c r="AG377" s="36" t="str">
        <f aca="false">IF($B377="","",IF(O377&lt;&gt;O376,IF(T377="G",1,-1),IF(T377="G",IF(N(AG376)&gt;0,AG376+1,1),IF(N(AG376)&lt;0,AG376-1,-1))))</f>
        <v/>
      </c>
    </row>
    <row r="378" customFormat="false" ht="15" hidden="false" customHeight="false" outlineLevel="0" collapsed="false">
      <c r="A378" s="36" t="str">
        <f aca="false">IF(B378="","",ROW()-6)</f>
        <v/>
      </c>
      <c r="B378" s="37"/>
      <c r="C378" s="38"/>
      <c r="D378" s="38"/>
      <c r="E378" s="39"/>
      <c r="F378" s="39"/>
      <c r="G378" s="39"/>
      <c r="H378" s="40"/>
      <c r="I378" s="40"/>
      <c r="J378" s="40"/>
      <c r="K378" s="40"/>
      <c r="L378" s="39"/>
      <c r="M378" s="40"/>
      <c r="N378" s="40"/>
      <c r="O378" s="36" t="str">
        <f aca="false">IF($B378="","",INT((A378-1)/Parametros!$C$10)+1)</f>
        <v/>
      </c>
      <c r="P378" s="41" t="str">
        <f aca="false">IF($B378="","",IF(OR(C378="",D378=""),"",ROUND((D378-C378)*1440,0)))</f>
        <v/>
      </c>
      <c r="Q378" s="42" t="str">
        <f aca="false">IF($B378="","",I378*VLOOKUP(E378,Parametros!$B$18:$D$24,2,FALSE()))</f>
        <v/>
      </c>
      <c r="R378" s="42" t="str">
        <f aca="false">IF($B378="","",G378*VLOOKUP(E378,Parametros!$B$18:$D$24,3,FALSE()))</f>
        <v/>
      </c>
      <c r="S378" s="42" t="str">
        <f aca="false">IF($B378="","",Q378-R378)</f>
        <v/>
      </c>
      <c r="T378" s="43" t="str">
        <f aca="false">IF($B378="","",IF(S378&gt;0,"G","P"))</f>
        <v/>
      </c>
      <c r="U378" s="44" t="str">
        <f aca="false">IF($B378="","",S378/Parametros!$C$8)</f>
        <v/>
      </c>
      <c r="V378" s="42" t="str">
        <f aca="false">IF($B378="","",Parametros!$C$6+SUM($S$7:S378))</f>
        <v/>
      </c>
      <c r="W378" s="42" t="str">
        <f aca="false">IF($B378="","",MAX(V378,W377))</f>
        <v/>
      </c>
      <c r="X378" s="42" t="str">
        <f aca="false">IF($B378="","",V378-W378)</f>
        <v/>
      </c>
      <c r="Y378" s="45" t="str">
        <f aca="false">IF($B378="","",X378/W378)</f>
        <v/>
      </c>
      <c r="Z378" s="36" t="str">
        <f aca="false">IF($B378="","",IF(T378="G",IF(N(Z377)&gt;0,Z377+1,1),IF(N(Z377)&lt;0,Z377-1,-1)))</f>
        <v/>
      </c>
      <c r="AA378" s="46" t="str">
        <f aca="false">IF($B378="","",B378-WEEKDAY(B378,2)+1)</f>
        <v/>
      </c>
      <c r="AB378" s="47" t="str">
        <f aca="false">IF($B378="","",DATE(YEAR(B378),MONTH(B378),1))</f>
        <v/>
      </c>
      <c r="AC378" s="41" t="str">
        <f aca="false">IF($B378="","",CHOOSE(WEEKDAY(B378,2),"Lunes","Martes","Miércoles","Jueves","Viernes","Sábado","Domingo"))</f>
        <v/>
      </c>
      <c r="AD378" s="36" t="str">
        <f aca="false">IF($B378="","",HOUR(C378))</f>
        <v/>
      </c>
      <c r="AE378" s="42" t="str">
        <f aca="false">IF($B378="","",IF(O378&lt;&gt;O377,MAX(V378-S378,V378),MAX(V378,AE377)))</f>
        <v/>
      </c>
      <c r="AF378" s="42" t="str">
        <f aca="false">IF($B378="","",V378-AE378)</f>
        <v/>
      </c>
      <c r="AG378" s="36" t="str">
        <f aca="false">IF($B378="","",IF(O378&lt;&gt;O377,IF(T378="G",1,-1),IF(T378="G",IF(N(AG377)&gt;0,AG377+1,1),IF(N(AG377)&lt;0,AG377-1,-1))))</f>
        <v/>
      </c>
    </row>
    <row r="379" customFormat="false" ht="15" hidden="false" customHeight="false" outlineLevel="0" collapsed="false">
      <c r="A379" s="36" t="str">
        <f aca="false">IF(B379="","",ROW()-6)</f>
        <v/>
      </c>
      <c r="B379" s="37"/>
      <c r="C379" s="38"/>
      <c r="D379" s="38"/>
      <c r="E379" s="39"/>
      <c r="F379" s="39"/>
      <c r="G379" s="39"/>
      <c r="H379" s="40"/>
      <c r="I379" s="40"/>
      <c r="J379" s="40"/>
      <c r="K379" s="40"/>
      <c r="L379" s="39"/>
      <c r="M379" s="40"/>
      <c r="N379" s="40"/>
      <c r="O379" s="36" t="str">
        <f aca="false">IF($B379="","",INT((A379-1)/Parametros!$C$10)+1)</f>
        <v/>
      </c>
      <c r="P379" s="41" t="str">
        <f aca="false">IF($B379="","",IF(OR(C379="",D379=""),"",ROUND((D379-C379)*1440,0)))</f>
        <v/>
      </c>
      <c r="Q379" s="42" t="str">
        <f aca="false">IF($B379="","",I379*VLOOKUP(E379,Parametros!$B$18:$D$24,2,FALSE()))</f>
        <v/>
      </c>
      <c r="R379" s="42" t="str">
        <f aca="false">IF($B379="","",G379*VLOOKUP(E379,Parametros!$B$18:$D$24,3,FALSE()))</f>
        <v/>
      </c>
      <c r="S379" s="42" t="str">
        <f aca="false">IF($B379="","",Q379-R379)</f>
        <v/>
      </c>
      <c r="T379" s="43" t="str">
        <f aca="false">IF($B379="","",IF(S379&gt;0,"G","P"))</f>
        <v/>
      </c>
      <c r="U379" s="44" t="str">
        <f aca="false">IF($B379="","",S379/Parametros!$C$8)</f>
        <v/>
      </c>
      <c r="V379" s="42" t="str">
        <f aca="false">IF($B379="","",Parametros!$C$6+SUM($S$7:S379))</f>
        <v/>
      </c>
      <c r="W379" s="42" t="str">
        <f aca="false">IF($B379="","",MAX(V379,W378))</f>
        <v/>
      </c>
      <c r="X379" s="42" t="str">
        <f aca="false">IF($B379="","",V379-W379)</f>
        <v/>
      </c>
      <c r="Y379" s="45" t="str">
        <f aca="false">IF($B379="","",X379/W379)</f>
        <v/>
      </c>
      <c r="Z379" s="36" t="str">
        <f aca="false">IF($B379="","",IF(T379="G",IF(N(Z378)&gt;0,Z378+1,1),IF(N(Z378)&lt;0,Z378-1,-1)))</f>
        <v/>
      </c>
      <c r="AA379" s="46" t="str">
        <f aca="false">IF($B379="","",B379-WEEKDAY(B379,2)+1)</f>
        <v/>
      </c>
      <c r="AB379" s="47" t="str">
        <f aca="false">IF($B379="","",DATE(YEAR(B379),MONTH(B379),1))</f>
        <v/>
      </c>
      <c r="AC379" s="41" t="str">
        <f aca="false">IF($B379="","",CHOOSE(WEEKDAY(B379,2),"Lunes","Martes","Miércoles","Jueves","Viernes","Sábado","Domingo"))</f>
        <v/>
      </c>
      <c r="AD379" s="36" t="str">
        <f aca="false">IF($B379="","",HOUR(C379))</f>
        <v/>
      </c>
      <c r="AE379" s="42" t="str">
        <f aca="false">IF($B379="","",IF(O379&lt;&gt;O378,MAX(V379-S379,V379),MAX(V379,AE378)))</f>
        <v/>
      </c>
      <c r="AF379" s="42" t="str">
        <f aca="false">IF($B379="","",V379-AE379)</f>
        <v/>
      </c>
      <c r="AG379" s="36" t="str">
        <f aca="false">IF($B379="","",IF(O379&lt;&gt;O378,IF(T379="G",1,-1),IF(T379="G",IF(N(AG378)&gt;0,AG378+1,1),IF(N(AG378)&lt;0,AG378-1,-1))))</f>
        <v/>
      </c>
    </row>
    <row r="380" customFormat="false" ht="15" hidden="false" customHeight="false" outlineLevel="0" collapsed="false">
      <c r="A380" s="36" t="str">
        <f aca="false">IF(B380="","",ROW()-6)</f>
        <v/>
      </c>
      <c r="B380" s="37"/>
      <c r="C380" s="38"/>
      <c r="D380" s="38"/>
      <c r="E380" s="39"/>
      <c r="F380" s="39"/>
      <c r="G380" s="39"/>
      <c r="H380" s="40"/>
      <c r="I380" s="40"/>
      <c r="J380" s="40"/>
      <c r="K380" s="40"/>
      <c r="L380" s="39"/>
      <c r="M380" s="40"/>
      <c r="N380" s="40"/>
      <c r="O380" s="36" t="str">
        <f aca="false">IF($B380="","",INT((A380-1)/Parametros!$C$10)+1)</f>
        <v/>
      </c>
      <c r="P380" s="41" t="str">
        <f aca="false">IF($B380="","",IF(OR(C380="",D380=""),"",ROUND((D380-C380)*1440,0)))</f>
        <v/>
      </c>
      <c r="Q380" s="42" t="str">
        <f aca="false">IF($B380="","",I380*VLOOKUP(E380,Parametros!$B$18:$D$24,2,FALSE()))</f>
        <v/>
      </c>
      <c r="R380" s="42" t="str">
        <f aca="false">IF($B380="","",G380*VLOOKUP(E380,Parametros!$B$18:$D$24,3,FALSE()))</f>
        <v/>
      </c>
      <c r="S380" s="42" t="str">
        <f aca="false">IF($B380="","",Q380-R380)</f>
        <v/>
      </c>
      <c r="T380" s="43" t="str">
        <f aca="false">IF($B380="","",IF(S380&gt;0,"G","P"))</f>
        <v/>
      </c>
      <c r="U380" s="44" t="str">
        <f aca="false">IF($B380="","",S380/Parametros!$C$8)</f>
        <v/>
      </c>
      <c r="V380" s="42" t="str">
        <f aca="false">IF($B380="","",Parametros!$C$6+SUM($S$7:S380))</f>
        <v/>
      </c>
      <c r="W380" s="42" t="str">
        <f aca="false">IF($B380="","",MAX(V380,W379))</f>
        <v/>
      </c>
      <c r="X380" s="42" t="str">
        <f aca="false">IF($B380="","",V380-W380)</f>
        <v/>
      </c>
      <c r="Y380" s="45" t="str">
        <f aca="false">IF($B380="","",X380/W380)</f>
        <v/>
      </c>
      <c r="Z380" s="36" t="str">
        <f aca="false">IF($B380="","",IF(T380="G",IF(N(Z379)&gt;0,Z379+1,1),IF(N(Z379)&lt;0,Z379-1,-1)))</f>
        <v/>
      </c>
      <c r="AA380" s="46" t="str">
        <f aca="false">IF($B380="","",B380-WEEKDAY(B380,2)+1)</f>
        <v/>
      </c>
      <c r="AB380" s="47" t="str">
        <f aca="false">IF($B380="","",DATE(YEAR(B380),MONTH(B380),1))</f>
        <v/>
      </c>
      <c r="AC380" s="41" t="str">
        <f aca="false">IF($B380="","",CHOOSE(WEEKDAY(B380,2),"Lunes","Martes","Miércoles","Jueves","Viernes","Sábado","Domingo"))</f>
        <v/>
      </c>
      <c r="AD380" s="36" t="str">
        <f aca="false">IF($B380="","",HOUR(C380))</f>
        <v/>
      </c>
      <c r="AE380" s="42" t="str">
        <f aca="false">IF($B380="","",IF(O380&lt;&gt;O379,MAX(V380-S380,V380),MAX(V380,AE379)))</f>
        <v/>
      </c>
      <c r="AF380" s="42" t="str">
        <f aca="false">IF($B380="","",V380-AE380)</f>
        <v/>
      </c>
      <c r="AG380" s="36" t="str">
        <f aca="false">IF($B380="","",IF(O380&lt;&gt;O379,IF(T380="G",1,-1),IF(T380="G",IF(N(AG379)&gt;0,AG379+1,1),IF(N(AG379)&lt;0,AG379-1,-1))))</f>
        <v/>
      </c>
    </row>
    <row r="381" customFormat="false" ht="15" hidden="false" customHeight="false" outlineLevel="0" collapsed="false">
      <c r="A381" s="36" t="str">
        <f aca="false">IF(B381="","",ROW()-6)</f>
        <v/>
      </c>
      <c r="B381" s="37"/>
      <c r="C381" s="38"/>
      <c r="D381" s="38"/>
      <c r="E381" s="39"/>
      <c r="F381" s="39"/>
      <c r="G381" s="39"/>
      <c r="H381" s="40"/>
      <c r="I381" s="40"/>
      <c r="J381" s="40"/>
      <c r="K381" s="40"/>
      <c r="L381" s="39"/>
      <c r="M381" s="40"/>
      <c r="N381" s="40"/>
      <c r="O381" s="36" t="str">
        <f aca="false">IF($B381="","",INT((A381-1)/Parametros!$C$10)+1)</f>
        <v/>
      </c>
      <c r="P381" s="41" t="str">
        <f aca="false">IF($B381="","",IF(OR(C381="",D381=""),"",ROUND((D381-C381)*1440,0)))</f>
        <v/>
      </c>
      <c r="Q381" s="42" t="str">
        <f aca="false">IF($B381="","",I381*VLOOKUP(E381,Parametros!$B$18:$D$24,2,FALSE()))</f>
        <v/>
      </c>
      <c r="R381" s="42" t="str">
        <f aca="false">IF($B381="","",G381*VLOOKUP(E381,Parametros!$B$18:$D$24,3,FALSE()))</f>
        <v/>
      </c>
      <c r="S381" s="42" t="str">
        <f aca="false">IF($B381="","",Q381-R381)</f>
        <v/>
      </c>
      <c r="T381" s="43" t="str">
        <f aca="false">IF($B381="","",IF(S381&gt;0,"G","P"))</f>
        <v/>
      </c>
      <c r="U381" s="44" t="str">
        <f aca="false">IF($B381="","",S381/Parametros!$C$8)</f>
        <v/>
      </c>
      <c r="V381" s="42" t="str">
        <f aca="false">IF($B381="","",Parametros!$C$6+SUM($S$7:S381))</f>
        <v/>
      </c>
      <c r="W381" s="42" t="str">
        <f aca="false">IF($B381="","",MAX(V381,W380))</f>
        <v/>
      </c>
      <c r="X381" s="42" t="str">
        <f aca="false">IF($B381="","",V381-W381)</f>
        <v/>
      </c>
      <c r="Y381" s="45" t="str">
        <f aca="false">IF($B381="","",X381/W381)</f>
        <v/>
      </c>
      <c r="Z381" s="36" t="str">
        <f aca="false">IF($B381="","",IF(T381="G",IF(N(Z380)&gt;0,Z380+1,1),IF(N(Z380)&lt;0,Z380-1,-1)))</f>
        <v/>
      </c>
      <c r="AA381" s="46" t="str">
        <f aca="false">IF($B381="","",B381-WEEKDAY(B381,2)+1)</f>
        <v/>
      </c>
      <c r="AB381" s="47" t="str">
        <f aca="false">IF($B381="","",DATE(YEAR(B381),MONTH(B381),1))</f>
        <v/>
      </c>
      <c r="AC381" s="41" t="str">
        <f aca="false">IF($B381="","",CHOOSE(WEEKDAY(B381,2),"Lunes","Martes","Miércoles","Jueves","Viernes","Sábado","Domingo"))</f>
        <v/>
      </c>
      <c r="AD381" s="36" t="str">
        <f aca="false">IF($B381="","",HOUR(C381))</f>
        <v/>
      </c>
      <c r="AE381" s="42" t="str">
        <f aca="false">IF($B381="","",IF(O381&lt;&gt;O380,MAX(V381-S381,V381),MAX(V381,AE380)))</f>
        <v/>
      </c>
      <c r="AF381" s="42" t="str">
        <f aca="false">IF($B381="","",V381-AE381)</f>
        <v/>
      </c>
      <c r="AG381" s="36" t="str">
        <f aca="false">IF($B381="","",IF(O381&lt;&gt;O380,IF(T381="G",1,-1),IF(T381="G",IF(N(AG380)&gt;0,AG380+1,1),IF(N(AG380)&lt;0,AG380-1,-1))))</f>
        <v/>
      </c>
    </row>
    <row r="382" customFormat="false" ht="15" hidden="false" customHeight="false" outlineLevel="0" collapsed="false">
      <c r="A382" s="36" t="str">
        <f aca="false">IF(B382="","",ROW()-6)</f>
        <v/>
      </c>
      <c r="B382" s="37"/>
      <c r="C382" s="38"/>
      <c r="D382" s="38"/>
      <c r="E382" s="39"/>
      <c r="F382" s="39"/>
      <c r="G382" s="39"/>
      <c r="H382" s="40"/>
      <c r="I382" s="40"/>
      <c r="J382" s="40"/>
      <c r="K382" s="40"/>
      <c r="L382" s="39"/>
      <c r="M382" s="40"/>
      <c r="N382" s="40"/>
      <c r="O382" s="36" t="str">
        <f aca="false">IF($B382="","",INT((A382-1)/Parametros!$C$10)+1)</f>
        <v/>
      </c>
      <c r="P382" s="41" t="str">
        <f aca="false">IF($B382="","",IF(OR(C382="",D382=""),"",ROUND((D382-C382)*1440,0)))</f>
        <v/>
      </c>
      <c r="Q382" s="42" t="str">
        <f aca="false">IF($B382="","",I382*VLOOKUP(E382,Parametros!$B$18:$D$24,2,FALSE()))</f>
        <v/>
      </c>
      <c r="R382" s="42" t="str">
        <f aca="false">IF($B382="","",G382*VLOOKUP(E382,Parametros!$B$18:$D$24,3,FALSE()))</f>
        <v/>
      </c>
      <c r="S382" s="42" t="str">
        <f aca="false">IF($B382="","",Q382-R382)</f>
        <v/>
      </c>
      <c r="T382" s="43" t="str">
        <f aca="false">IF($B382="","",IF(S382&gt;0,"G","P"))</f>
        <v/>
      </c>
      <c r="U382" s="44" t="str">
        <f aca="false">IF($B382="","",S382/Parametros!$C$8)</f>
        <v/>
      </c>
      <c r="V382" s="42" t="str">
        <f aca="false">IF($B382="","",Parametros!$C$6+SUM($S$7:S382))</f>
        <v/>
      </c>
      <c r="W382" s="42" t="str">
        <f aca="false">IF($B382="","",MAX(V382,W381))</f>
        <v/>
      </c>
      <c r="X382" s="42" t="str">
        <f aca="false">IF($B382="","",V382-W382)</f>
        <v/>
      </c>
      <c r="Y382" s="45" t="str">
        <f aca="false">IF($B382="","",X382/W382)</f>
        <v/>
      </c>
      <c r="Z382" s="36" t="str">
        <f aca="false">IF($B382="","",IF(T382="G",IF(N(Z381)&gt;0,Z381+1,1),IF(N(Z381)&lt;0,Z381-1,-1)))</f>
        <v/>
      </c>
      <c r="AA382" s="46" t="str">
        <f aca="false">IF($B382="","",B382-WEEKDAY(B382,2)+1)</f>
        <v/>
      </c>
      <c r="AB382" s="47" t="str">
        <f aca="false">IF($B382="","",DATE(YEAR(B382),MONTH(B382),1))</f>
        <v/>
      </c>
      <c r="AC382" s="41" t="str">
        <f aca="false">IF($B382="","",CHOOSE(WEEKDAY(B382,2),"Lunes","Martes","Miércoles","Jueves","Viernes","Sábado","Domingo"))</f>
        <v/>
      </c>
      <c r="AD382" s="36" t="str">
        <f aca="false">IF($B382="","",HOUR(C382))</f>
        <v/>
      </c>
      <c r="AE382" s="42" t="str">
        <f aca="false">IF($B382="","",IF(O382&lt;&gt;O381,MAX(V382-S382,V382),MAX(V382,AE381)))</f>
        <v/>
      </c>
      <c r="AF382" s="42" t="str">
        <f aca="false">IF($B382="","",V382-AE382)</f>
        <v/>
      </c>
      <c r="AG382" s="36" t="str">
        <f aca="false">IF($B382="","",IF(O382&lt;&gt;O381,IF(T382="G",1,-1),IF(T382="G",IF(N(AG381)&gt;0,AG381+1,1),IF(N(AG381)&lt;0,AG381-1,-1))))</f>
        <v/>
      </c>
    </row>
    <row r="383" customFormat="false" ht="15" hidden="false" customHeight="false" outlineLevel="0" collapsed="false">
      <c r="A383" s="36" t="str">
        <f aca="false">IF(B383="","",ROW()-6)</f>
        <v/>
      </c>
      <c r="B383" s="37"/>
      <c r="C383" s="38"/>
      <c r="D383" s="38"/>
      <c r="E383" s="39"/>
      <c r="F383" s="39"/>
      <c r="G383" s="39"/>
      <c r="H383" s="40"/>
      <c r="I383" s="40"/>
      <c r="J383" s="40"/>
      <c r="K383" s="40"/>
      <c r="L383" s="39"/>
      <c r="M383" s="40"/>
      <c r="N383" s="40"/>
      <c r="O383" s="36" t="str">
        <f aca="false">IF($B383="","",INT((A383-1)/Parametros!$C$10)+1)</f>
        <v/>
      </c>
      <c r="P383" s="41" t="str">
        <f aca="false">IF($B383="","",IF(OR(C383="",D383=""),"",ROUND((D383-C383)*1440,0)))</f>
        <v/>
      </c>
      <c r="Q383" s="42" t="str">
        <f aca="false">IF($B383="","",I383*VLOOKUP(E383,Parametros!$B$18:$D$24,2,FALSE()))</f>
        <v/>
      </c>
      <c r="R383" s="42" t="str">
        <f aca="false">IF($B383="","",G383*VLOOKUP(E383,Parametros!$B$18:$D$24,3,FALSE()))</f>
        <v/>
      </c>
      <c r="S383" s="42" t="str">
        <f aca="false">IF($B383="","",Q383-R383)</f>
        <v/>
      </c>
      <c r="T383" s="43" t="str">
        <f aca="false">IF($B383="","",IF(S383&gt;0,"G","P"))</f>
        <v/>
      </c>
      <c r="U383" s="44" t="str">
        <f aca="false">IF($B383="","",S383/Parametros!$C$8)</f>
        <v/>
      </c>
      <c r="V383" s="42" t="str">
        <f aca="false">IF($B383="","",Parametros!$C$6+SUM($S$7:S383))</f>
        <v/>
      </c>
      <c r="W383" s="42" t="str">
        <f aca="false">IF($B383="","",MAX(V383,W382))</f>
        <v/>
      </c>
      <c r="X383" s="42" t="str">
        <f aca="false">IF($B383="","",V383-W383)</f>
        <v/>
      </c>
      <c r="Y383" s="45" t="str">
        <f aca="false">IF($B383="","",X383/W383)</f>
        <v/>
      </c>
      <c r="Z383" s="36" t="str">
        <f aca="false">IF($B383="","",IF(T383="G",IF(N(Z382)&gt;0,Z382+1,1),IF(N(Z382)&lt;0,Z382-1,-1)))</f>
        <v/>
      </c>
      <c r="AA383" s="46" t="str">
        <f aca="false">IF($B383="","",B383-WEEKDAY(B383,2)+1)</f>
        <v/>
      </c>
      <c r="AB383" s="47" t="str">
        <f aca="false">IF($B383="","",DATE(YEAR(B383),MONTH(B383),1))</f>
        <v/>
      </c>
      <c r="AC383" s="41" t="str">
        <f aca="false">IF($B383="","",CHOOSE(WEEKDAY(B383,2),"Lunes","Martes","Miércoles","Jueves","Viernes","Sábado","Domingo"))</f>
        <v/>
      </c>
      <c r="AD383" s="36" t="str">
        <f aca="false">IF($B383="","",HOUR(C383))</f>
        <v/>
      </c>
      <c r="AE383" s="42" t="str">
        <f aca="false">IF($B383="","",IF(O383&lt;&gt;O382,MAX(V383-S383,V383),MAX(V383,AE382)))</f>
        <v/>
      </c>
      <c r="AF383" s="42" t="str">
        <f aca="false">IF($B383="","",V383-AE383)</f>
        <v/>
      </c>
      <c r="AG383" s="36" t="str">
        <f aca="false">IF($B383="","",IF(O383&lt;&gt;O382,IF(T383="G",1,-1),IF(T383="G",IF(N(AG382)&gt;0,AG382+1,1),IF(N(AG382)&lt;0,AG382-1,-1))))</f>
        <v/>
      </c>
    </row>
    <row r="384" customFormat="false" ht="15" hidden="false" customHeight="false" outlineLevel="0" collapsed="false">
      <c r="A384" s="36" t="str">
        <f aca="false">IF(B384="","",ROW()-6)</f>
        <v/>
      </c>
      <c r="B384" s="37"/>
      <c r="C384" s="38"/>
      <c r="D384" s="38"/>
      <c r="E384" s="39"/>
      <c r="F384" s="39"/>
      <c r="G384" s="39"/>
      <c r="H384" s="40"/>
      <c r="I384" s="40"/>
      <c r="J384" s="40"/>
      <c r="K384" s="40"/>
      <c r="L384" s="39"/>
      <c r="M384" s="40"/>
      <c r="N384" s="40"/>
      <c r="O384" s="36" t="str">
        <f aca="false">IF($B384="","",INT((A384-1)/Parametros!$C$10)+1)</f>
        <v/>
      </c>
      <c r="P384" s="41" t="str">
        <f aca="false">IF($B384="","",IF(OR(C384="",D384=""),"",ROUND((D384-C384)*1440,0)))</f>
        <v/>
      </c>
      <c r="Q384" s="42" t="str">
        <f aca="false">IF($B384="","",I384*VLOOKUP(E384,Parametros!$B$18:$D$24,2,FALSE()))</f>
        <v/>
      </c>
      <c r="R384" s="42" t="str">
        <f aca="false">IF($B384="","",G384*VLOOKUP(E384,Parametros!$B$18:$D$24,3,FALSE()))</f>
        <v/>
      </c>
      <c r="S384" s="42" t="str">
        <f aca="false">IF($B384="","",Q384-R384)</f>
        <v/>
      </c>
      <c r="T384" s="43" t="str">
        <f aca="false">IF($B384="","",IF(S384&gt;0,"G","P"))</f>
        <v/>
      </c>
      <c r="U384" s="44" t="str">
        <f aca="false">IF($B384="","",S384/Parametros!$C$8)</f>
        <v/>
      </c>
      <c r="V384" s="42" t="str">
        <f aca="false">IF($B384="","",Parametros!$C$6+SUM($S$7:S384))</f>
        <v/>
      </c>
      <c r="W384" s="42" t="str">
        <f aca="false">IF($B384="","",MAX(V384,W383))</f>
        <v/>
      </c>
      <c r="X384" s="42" t="str">
        <f aca="false">IF($B384="","",V384-W384)</f>
        <v/>
      </c>
      <c r="Y384" s="45" t="str">
        <f aca="false">IF($B384="","",X384/W384)</f>
        <v/>
      </c>
      <c r="Z384" s="36" t="str">
        <f aca="false">IF($B384="","",IF(T384="G",IF(N(Z383)&gt;0,Z383+1,1),IF(N(Z383)&lt;0,Z383-1,-1)))</f>
        <v/>
      </c>
      <c r="AA384" s="46" t="str">
        <f aca="false">IF($B384="","",B384-WEEKDAY(B384,2)+1)</f>
        <v/>
      </c>
      <c r="AB384" s="47" t="str">
        <f aca="false">IF($B384="","",DATE(YEAR(B384),MONTH(B384),1))</f>
        <v/>
      </c>
      <c r="AC384" s="41" t="str">
        <f aca="false">IF($B384="","",CHOOSE(WEEKDAY(B384,2),"Lunes","Martes","Miércoles","Jueves","Viernes","Sábado","Domingo"))</f>
        <v/>
      </c>
      <c r="AD384" s="36" t="str">
        <f aca="false">IF($B384="","",HOUR(C384))</f>
        <v/>
      </c>
      <c r="AE384" s="42" t="str">
        <f aca="false">IF($B384="","",IF(O384&lt;&gt;O383,MAX(V384-S384,V384),MAX(V384,AE383)))</f>
        <v/>
      </c>
      <c r="AF384" s="42" t="str">
        <f aca="false">IF($B384="","",V384-AE384)</f>
        <v/>
      </c>
      <c r="AG384" s="36" t="str">
        <f aca="false">IF($B384="","",IF(O384&lt;&gt;O383,IF(T384="G",1,-1),IF(T384="G",IF(N(AG383)&gt;0,AG383+1,1),IF(N(AG383)&lt;0,AG383-1,-1))))</f>
        <v/>
      </c>
    </row>
    <row r="385" customFormat="false" ht="15" hidden="false" customHeight="false" outlineLevel="0" collapsed="false">
      <c r="A385" s="36" t="str">
        <f aca="false">IF(B385="","",ROW()-6)</f>
        <v/>
      </c>
      <c r="B385" s="37"/>
      <c r="C385" s="38"/>
      <c r="D385" s="38"/>
      <c r="E385" s="39"/>
      <c r="F385" s="39"/>
      <c r="G385" s="39"/>
      <c r="H385" s="40"/>
      <c r="I385" s="40"/>
      <c r="J385" s="40"/>
      <c r="K385" s="40"/>
      <c r="L385" s="39"/>
      <c r="M385" s="40"/>
      <c r="N385" s="40"/>
      <c r="O385" s="36" t="str">
        <f aca="false">IF($B385="","",INT((A385-1)/Parametros!$C$10)+1)</f>
        <v/>
      </c>
      <c r="P385" s="41" t="str">
        <f aca="false">IF($B385="","",IF(OR(C385="",D385=""),"",ROUND((D385-C385)*1440,0)))</f>
        <v/>
      </c>
      <c r="Q385" s="42" t="str">
        <f aca="false">IF($B385="","",I385*VLOOKUP(E385,Parametros!$B$18:$D$24,2,FALSE()))</f>
        <v/>
      </c>
      <c r="R385" s="42" t="str">
        <f aca="false">IF($B385="","",G385*VLOOKUP(E385,Parametros!$B$18:$D$24,3,FALSE()))</f>
        <v/>
      </c>
      <c r="S385" s="42" t="str">
        <f aca="false">IF($B385="","",Q385-R385)</f>
        <v/>
      </c>
      <c r="T385" s="43" t="str">
        <f aca="false">IF($B385="","",IF(S385&gt;0,"G","P"))</f>
        <v/>
      </c>
      <c r="U385" s="44" t="str">
        <f aca="false">IF($B385="","",S385/Parametros!$C$8)</f>
        <v/>
      </c>
      <c r="V385" s="42" t="str">
        <f aca="false">IF($B385="","",Parametros!$C$6+SUM($S$7:S385))</f>
        <v/>
      </c>
      <c r="W385" s="42" t="str">
        <f aca="false">IF($B385="","",MAX(V385,W384))</f>
        <v/>
      </c>
      <c r="X385" s="42" t="str">
        <f aca="false">IF($B385="","",V385-W385)</f>
        <v/>
      </c>
      <c r="Y385" s="45" t="str">
        <f aca="false">IF($B385="","",X385/W385)</f>
        <v/>
      </c>
      <c r="Z385" s="36" t="str">
        <f aca="false">IF($B385="","",IF(T385="G",IF(N(Z384)&gt;0,Z384+1,1),IF(N(Z384)&lt;0,Z384-1,-1)))</f>
        <v/>
      </c>
      <c r="AA385" s="46" t="str">
        <f aca="false">IF($B385="","",B385-WEEKDAY(B385,2)+1)</f>
        <v/>
      </c>
      <c r="AB385" s="47" t="str">
        <f aca="false">IF($B385="","",DATE(YEAR(B385),MONTH(B385),1))</f>
        <v/>
      </c>
      <c r="AC385" s="41" t="str">
        <f aca="false">IF($B385="","",CHOOSE(WEEKDAY(B385,2),"Lunes","Martes","Miércoles","Jueves","Viernes","Sábado","Domingo"))</f>
        <v/>
      </c>
      <c r="AD385" s="36" t="str">
        <f aca="false">IF($B385="","",HOUR(C385))</f>
        <v/>
      </c>
      <c r="AE385" s="42" t="str">
        <f aca="false">IF($B385="","",IF(O385&lt;&gt;O384,MAX(V385-S385,V385),MAX(V385,AE384)))</f>
        <v/>
      </c>
      <c r="AF385" s="42" t="str">
        <f aca="false">IF($B385="","",V385-AE385)</f>
        <v/>
      </c>
      <c r="AG385" s="36" t="str">
        <f aca="false">IF($B385="","",IF(O385&lt;&gt;O384,IF(T385="G",1,-1),IF(T385="G",IF(N(AG384)&gt;0,AG384+1,1),IF(N(AG384)&lt;0,AG384-1,-1))))</f>
        <v/>
      </c>
    </row>
    <row r="386" customFormat="false" ht="15" hidden="false" customHeight="false" outlineLevel="0" collapsed="false">
      <c r="A386" s="36" t="str">
        <f aca="false">IF(B386="","",ROW()-6)</f>
        <v/>
      </c>
      <c r="B386" s="37"/>
      <c r="C386" s="38"/>
      <c r="D386" s="38"/>
      <c r="E386" s="39"/>
      <c r="F386" s="39"/>
      <c r="G386" s="39"/>
      <c r="H386" s="40"/>
      <c r="I386" s="40"/>
      <c r="J386" s="40"/>
      <c r="K386" s="40"/>
      <c r="L386" s="39"/>
      <c r="M386" s="40"/>
      <c r="N386" s="40"/>
      <c r="O386" s="36" t="str">
        <f aca="false">IF($B386="","",INT((A386-1)/Parametros!$C$10)+1)</f>
        <v/>
      </c>
      <c r="P386" s="41" t="str">
        <f aca="false">IF($B386="","",IF(OR(C386="",D386=""),"",ROUND((D386-C386)*1440,0)))</f>
        <v/>
      </c>
      <c r="Q386" s="42" t="str">
        <f aca="false">IF($B386="","",I386*VLOOKUP(E386,Parametros!$B$18:$D$24,2,FALSE()))</f>
        <v/>
      </c>
      <c r="R386" s="42" t="str">
        <f aca="false">IF($B386="","",G386*VLOOKUP(E386,Parametros!$B$18:$D$24,3,FALSE()))</f>
        <v/>
      </c>
      <c r="S386" s="42" t="str">
        <f aca="false">IF($B386="","",Q386-R386)</f>
        <v/>
      </c>
      <c r="T386" s="43" t="str">
        <f aca="false">IF($B386="","",IF(S386&gt;0,"G","P"))</f>
        <v/>
      </c>
      <c r="U386" s="44" t="str">
        <f aca="false">IF($B386="","",S386/Parametros!$C$8)</f>
        <v/>
      </c>
      <c r="V386" s="42" t="str">
        <f aca="false">IF($B386="","",Parametros!$C$6+SUM($S$7:S386))</f>
        <v/>
      </c>
      <c r="W386" s="42" t="str">
        <f aca="false">IF($B386="","",MAX(V386,W385))</f>
        <v/>
      </c>
      <c r="X386" s="42" t="str">
        <f aca="false">IF($B386="","",V386-W386)</f>
        <v/>
      </c>
      <c r="Y386" s="45" t="str">
        <f aca="false">IF($B386="","",X386/W386)</f>
        <v/>
      </c>
      <c r="Z386" s="36" t="str">
        <f aca="false">IF($B386="","",IF(T386="G",IF(N(Z385)&gt;0,Z385+1,1),IF(N(Z385)&lt;0,Z385-1,-1)))</f>
        <v/>
      </c>
      <c r="AA386" s="46" t="str">
        <f aca="false">IF($B386="","",B386-WEEKDAY(B386,2)+1)</f>
        <v/>
      </c>
      <c r="AB386" s="47" t="str">
        <f aca="false">IF($B386="","",DATE(YEAR(B386),MONTH(B386),1))</f>
        <v/>
      </c>
      <c r="AC386" s="41" t="str">
        <f aca="false">IF($B386="","",CHOOSE(WEEKDAY(B386,2),"Lunes","Martes","Miércoles","Jueves","Viernes","Sábado","Domingo"))</f>
        <v/>
      </c>
      <c r="AD386" s="36" t="str">
        <f aca="false">IF($B386="","",HOUR(C386))</f>
        <v/>
      </c>
      <c r="AE386" s="42" t="str">
        <f aca="false">IF($B386="","",IF(O386&lt;&gt;O385,MAX(V386-S386,V386),MAX(V386,AE385)))</f>
        <v/>
      </c>
      <c r="AF386" s="42" t="str">
        <f aca="false">IF($B386="","",V386-AE386)</f>
        <v/>
      </c>
      <c r="AG386" s="36" t="str">
        <f aca="false">IF($B386="","",IF(O386&lt;&gt;O385,IF(T386="G",1,-1),IF(T386="G",IF(N(AG385)&gt;0,AG385+1,1),IF(N(AG385)&lt;0,AG385-1,-1))))</f>
        <v/>
      </c>
    </row>
    <row r="387" customFormat="false" ht="15" hidden="false" customHeight="false" outlineLevel="0" collapsed="false">
      <c r="A387" s="36" t="str">
        <f aca="false">IF(B387="","",ROW()-6)</f>
        <v/>
      </c>
      <c r="B387" s="37"/>
      <c r="C387" s="38"/>
      <c r="D387" s="38"/>
      <c r="E387" s="39"/>
      <c r="F387" s="39"/>
      <c r="G387" s="39"/>
      <c r="H387" s="40"/>
      <c r="I387" s="40"/>
      <c r="J387" s="40"/>
      <c r="K387" s="40"/>
      <c r="L387" s="39"/>
      <c r="M387" s="40"/>
      <c r="N387" s="40"/>
      <c r="O387" s="36" t="str">
        <f aca="false">IF($B387="","",INT((A387-1)/Parametros!$C$10)+1)</f>
        <v/>
      </c>
      <c r="P387" s="41" t="str">
        <f aca="false">IF($B387="","",IF(OR(C387="",D387=""),"",ROUND((D387-C387)*1440,0)))</f>
        <v/>
      </c>
      <c r="Q387" s="42" t="str">
        <f aca="false">IF($B387="","",I387*VLOOKUP(E387,Parametros!$B$18:$D$24,2,FALSE()))</f>
        <v/>
      </c>
      <c r="R387" s="42" t="str">
        <f aca="false">IF($B387="","",G387*VLOOKUP(E387,Parametros!$B$18:$D$24,3,FALSE()))</f>
        <v/>
      </c>
      <c r="S387" s="42" t="str">
        <f aca="false">IF($B387="","",Q387-R387)</f>
        <v/>
      </c>
      <c r="T387" s="43" t="str">
        <f aca="false">IF($B387="","",IF(S387&gt;0,"G","P"))</f>
        <v/>
      </c>
      <c r="U387" s="44" t="str">
        <f aca="false">IF($B387="","",S387/Parametros!$C$8)</f>
        <v/>
      </c>
      <c r="V387" s="42" t="str">
        <f aca="false">IF($B387="","",Parametros!$C$6+SUM($S$7:S387))</f>
        <v/>
      </c>
      <c r="W387" s="42" t="str">
        <f aca="false">IF($B387="","",MAX(V387,W386))</f>
        <v/>
      </c>
      <c r="X387" s="42" t="str">
        <f aca="false">IF($B387="","",V387-W387)</f>
        <v/>
      </c>
      <c r="Y387" s="45" t="str">
        <f aca="false">IF($B387="","",X387/W387)</f>
        <v/>
      </c>
      <c r="Z387" s="36" t="str">
        <f aca="false">IF($B387="","",IF(T387="G",IF(N(Z386)&gt;0,Z386+1,1),IF(N(Z386)&lt;0,Z386-1,-1)))</f>
        <v/>
      </c>
      <c r="AA387" s="46" t="str">
        <f aca="false">IF($B387="","",B387-WEEKDAY(B387,2)+1)</f>
        <v/>
      </c>
      <c r="AB387" s="47" t="str">
        <f aca="false">IF($B387="","",DATE(YEAR(B387),MONTH(B387),1))</f>
        <v/>
      </c>
      <c r="AC387" s="41" t="str">
        <f aca="false">IF($B387="","",CHOOSE(WEEKDAY(B387,2),"Lunes","Martes","Miércoles","Jueves","Viernes","Sábado","Domingo"))</f>
        <v/>
      </c>
      <c r="AD387" s="36" t="str">
        <f aca="false">IF($B387="","",HOUR(C387))</f>
        <v/>
      </c>
      <c r="AE387" s="42" t="str">
        <f aca="false">IF($B387="","",IF(O387&lt;&gt;O386,MAX(V387-S387,V387),MAX(V387,AE386)))</f>
        <v/>
      </c>
      <c r="AF387" s="42" t="str">
        <f aca="false">IF($B387="","",V387-AE387)</f>
        <v/>
      </c>
      <c r="AG387" s="36" t="str">
        <f aca="false">IF($B387="","",IF(O387&lt;&gt;O386,IF(T387="G",1,-1),IF(T387="G",IF(N(AG386)&gt;0,AG386+1,1),IF(N(AG386)&lt;0,AG386-1,-1))))</f>
        <v/>
      </c>
    </row>
    <row r="388" customFormat="false" ht="15" hidden="false" customHeight="false" outlineLevel="0" collapsed="false">
      <c r="A388" s="36" t="str">
        <f aca="false">IF(B388="","",ROW()-6)</f>
        <v/>
      </c>
      <c r="B388" s="37"/>
      <c r="C388" s="38"/>
      <c r="D388" s="38"/>
      <c r="E388" s="39"/>
      <c r="F388" s="39"/>
      <c r="G388" s="39"/>
      <c r="H388" s="40"/>
      <c r="I388" s="40"/>
      <c r="J388" s="40"/>
      <c r="K388" s="40"/>
      <c r="L388" s="39"/>
      <c r="M388" s="40"/>
      <c r="N388" s="40"/>
      <c r="O388" s="36" t="str">
        <f aca="false">IF($B388="","",INT((A388-1)/Parametros!$C$10)+1)</f>
        <v/>
      </c>
      <c r="P388" s="41" t="str">
        <f aca="false">IF($B388="","",IF(OR(C388="",D388=""),"",ROUND((D388-C388)*1440,0)))</f>
        <v/>
      </c>
      <c r="Q388" s="42" t="str">
        <f aca="false">IF($B388="","",I388*VLOOKUP(E388,Parametros!$B$18:$D$24,2,FALSE()))</f>
        <v/>
      </c>
      <c r="R388" s="42" t="str">
        <f aca="false">IF($B388="","",G388*VLOOKUP(E388,Parametros!$B$18:$D$24,3,FALSE()))</f>
        <v/>
      </c>
      <c r="S388" s="42" t="str">
        <f aca="false">IF($B388="","",Q388-R388)</f>
        <v/>
      </c>
      <c r="T388" s="43" t="str">
        <f aca="false">IF($B388="","",IF(S388&gt;0,"G","P"))</f>
        <v/>
      </c>
      <c r="U388" s="44" t="str">
        <f aca="false">IF($B388="","",S388/Parametros!$C$8)</f>
        <v/>
      </c>
      <c r="V388" s="42" t="str">
        <f aca="false">IF($B388="","",Parametros!$C$6+SUM($S$7:S388))</f>
        <v/>
      </c>
      <c r="W388" s="42" t="str">
        <f aca="false">IF($B388="","",MAX(V388,W387))</f>
        <v/>
      </c>
      <c r="X388" s="42" t="str">
        <f aca="false">IF($B388="","",V388-W388)</f>
        <v/>
      </c>
      <c r="Y388" s="45" t="str">
        <f aca="false">IF($B388="","",X388/W388)</f>
        <v/>
      </c>
      <c r="Z388" s="36" t="str">
        <f aca="false">IF($B388="","",IF(T388="G",IF(N(Z387)&gt;0,Z387+1,1),IF(N(Z387)&lt;0,Z387-1,-1)))</f>
        <v/>
      </c>
      <c r="AA388" s="46" t="str">
        <f aca="false">IF($B388="","",B388-WEEKDAY(B388,2)+1)</f>
        <v/>
      </c>
      <c r="AB388" s="47" t="str">
        <f aca="false">IF($B388="","",DATE(YEAR(B388),MONTH(B388),1))</f>
        <v/>
      </c>
      <c r="AC388" s="41" t="str">
        <f aca="false">IF($B388="","",CHOOSE(WEEKDAY(B388,2),"Lunes","Martes","Miércoles","Jueves","Viernes","Sábado","Domingo"))</f>
        <v/>
      </c>
      <c r="AD388" s="36" t="str">
        <f aca="false">IF($B388="","",HOUR(C388))</f>
        <v/>
      </c>
      <c r="AE388" s="42" t="str">
        <f aca="false">IF($B388="","",IF(O388&lt;&gt;O387,MAX(V388-S388,V388),MAX(V388,AE387)))</f>
        <v/>
      </c>
      <c r="AF388" s="42" t="str">
        <f aca="false">IF($B388="","",V388-AE388)</f>
        <v/>
      </c>
      <c r="AG388" s="36" t="str">
        <f aca="false">IF($B388="","",IF(O388&lt;&gt;O387,IF(T388="G",1,-1),IF(T388="G",IF(N(AG387)&gt;0,AG387+1,1),IF(N(AG387)&lt;0,AG387-1,-1))))</f>
        <v/>
      </c>
    </row>
    <row r="389" customFormat="false" ht="15" hidden="false" customHeight="false" outlineLevel="0" collapsed="false">
      <c r="A389" s="36" t="str">
        <f aca="false">IF(B389="","",ROW()-6)</f>
        <v/>
      </c>
      <c r="B389" s="37"/>
      <c r="C389" s="38"/>
      <c r="D389" s="38"/>
      <c r="E389" s="39"/>
      <c r="F389" s="39"/>
      <c r="G389" s="39"/>
      <c r="H389" s="40"/>
      <c r="I389" s="40"/>
      <c r="J389" s="40"/>
      <c r="K389" s="40"/>
      <c r="L389" s="39"/>
      <c r="M389" s="40"/>
      <c r="N389" s="40"/>
      <c r="O389" s="36" t="str">
        <f aca="false">IF($B389="","",INT((A389-1)/Parametros!$C$10)+1)</f>
        <v/>
      </c>
      <c r="P389" s="41" t="str">
        <f aca="false">IF($B389="","",IF(OR(C389="",D389=""),"",ROUND((D389-C389)*1440,0)))</f>
        <v/>
      </c>
      <c r="Q389" s="42" t="str">
        <f aca="false">IF($B389="","",I389*VLOOKUP(E389,Parametros!$B$18:$D$24,2,FALSE()))</f>
        <v/>
      </c>
      <c r="R389" s="42" t="str">
        <f aca="false">IF($B389="","",G389*VLOOKUP(E389,Parametros!$B$18:$D$24,3,FALSE()))</f>
        <v/>
      </c>
      <c r="S389" s="42" t="str">
        <f aca="false">IF($B389="","",Q389-R389)</f>
        <v/>
      </c>
      <c r="T389" s="43" t="str">
        <f aca="false">IF($B389="","",IF(S389&gt;0,"G","P"))</f>
        <v/>
      </c>
      <c r="U389" s="44" t="str">
        <f aca="false">IF($B389="","",S389/Parametros!$C$8)</f>
        <v/>
      </c>
      <c r="V389" s="42" t="str">
        <f aca="false">IF($B389="","",Parametros!$C$6+SUM($S$7:S389))</f>
        <v/>
      </c>
      <c r="W389" s="42" t="str">
        <f aca="false">IF($B389="","",MAX(V389,W388))</f>
        <v/>
      </c>
      <c r="X389" s="42" t="str">
        <f aca="false">IF($B389="","",V389-W389)</f>
        <v/>
      </c>
      <c r="Y389" s="45" t="str">
        <f aca="false">IF($B389="","",X389/W389)</f>
        <v/>
      </c>
      <c r="Z389" s="36" t="str">
        <f aca="false">IF($B389="","",IF(T389="G",IF(N(Z388)&gt;0,Z388+1,1),IF(N(Z388)&lt;0,Z388-1,-1)))</f>
        <v/>
      </c>
      <c r="AA389" s="46" t="str">
        <f aca="false">IF($B389="","",B389-WEEKDAY(B389,2)+1)</f>
        <v/>
      </c>
      <c r="AB389" s="47" t="str">
        <f aca="false">IF($B389="","",DATE(YEAR(B389),MONTH(B389),1))</f>
        <v/>
      </c>
      <c r="AC389" s="41" t="str">
        <f aca="false">IF($B389="","",CHOOSE(WEEKDAY(B389,2),"Lunes","Martes","Miércoles","Jueves","Viernes","Sábado","Domingo"))</f>
        <v/>
      </c>
      <c r="AD389" s="36" t="str">
        <f aca="false">IF($B389="","",HOUR(C389))</f>
        <v/>
      </c>
      <c r="AE389" s="42" t="str">
        <f aca="false">IF($B389="","",IF(O389&lt;&gt;O388,MAX(V389-S389,V389),MAX(V389,AE388)))</f>
        <v/>
      </c>
      <c r="AF389" s="42" t="str">
        <f aca="false">IF($B389="","",V389-AE389)</f>
        <v/>
      </c>
      <c r="AG389" s="36" t="str">
        <f aca="false">IF($B389="","",IF(O389&lt;&gt;O388,IF(T389="G",1,-1),IF(T389="G",IF(N(AG388)&gt;0,AG388+1,1),IF(N(AG388)&lt;0,AG388-1,-1))))</f>
        <v/>
      </c>
    </row>
    <row r="390" customFormat="false" ht="15" hidden="false" customHeight="false" outlineLevel="0" collapsed="false">
      <c r="A390" s="36" t="str">
        <f aca="false">IF(B390="","",ROW()-6)</f>
        <v/>
      </c>
      <c r="B390" s="37"/>
      <c r="C390" s="38"/>
      <c r="D390" s="38"/>
      <c r="E390" s="39"/>
      <c r="F390" s="39"/>
      <c r="G390" s="39"/>
      <c r="H390" s="40"/>
      <c r="I390" s="40"/>
      <c r="J390" s="40"/>
      <c r="K390" s="40"/>
      <c r="L390" s="39"/>
      <c r="M390" s="40"/>
      <c r="N390" s="40"/>
      <c r="O390" s="36" t="str">
        <f aca="false">IF($B390="","",INT((A390-1)/Parametros!$C$10)+1)</f>
        <v/>
      </c>
      <c r="P390" s="41" t="str">
        <f aca="false">IF($B390="","",IF(OR(C390="",D390=""),"",ROUND((D390-C390)*1440,0)))</f>
        <v/>
      </c>
      <c r="Q390" s="42" t="str">
        <f aca="false">IF($B390="","",I390*VLOOKUP(E390,Parametros!$B$18:$D$24,2,FALSE()))</f>
        <v/>
      </c>
      <c r="R390" s="42" t="str">
        <f aca="false">IF($B390="","",G390*VLOOKUP(E390,Parametros!$B$18:$D$24,3,FALSE()))</f>
        <v/>
      </c>
      <c r="S390" s="42" t="str">
        <f aca="false">IF($B390="","",Q390-R390)</f>
        <v/>
      </c>
      <c r="T390" s="43" t="str">
        <f aca="false">IF($B390="","",IF(S390&gt;0,"G","P"))</f>
        <v/>
      </c>
      <c r="U390" s="44" t="str">
        <f aca="false">IF($B390="","",S390/Parametros!$C$8)</f>
        <v/>
      </c>
      <c r="V390" s="42" t="str">
        <f aca="false">IF($B390="","",Parametros!$C$6+SUM($S$7:S390))</f>
        <v/>
      </c>
      <c r="W390" s="42" t="str">
        <f aca="false">IF($B390="","",MAX(V390,W389))</f>
        <v/>
      </c>
      <c r="X390" s="42" t="str">
        <f aca="false">IF($B390="","",V390-W390)</f>
        <v/>
      </c>
      <c r="Y390" s="45" t="str">
        <f aca="false">IF($B390="","",X390/W390)</f>
        <v/>
      </c>
      <c r="Z390" s="36" t="str">
        <f aca="false">IF($B390="","",IF(T390="G",IF(N(Z389)&gt;0,Z389+1,1),IF(N(Z389)&lt;0,Z389-1,-1)))</f>
        <v/>
      </c>
      <c r="AA390" s="46" t="str">
        <f aca="false">IF($B390="","",B390-WEEKDAY(B390,2)+1)</f>
        <v/>
      </c>
      <c r="AB390" s="47" t="str">
        <f aca="false">IF($B390="","",DATE(YEAR(B390),MONTH(B390),1))</f>
        <v/>
      </c>
      <c r="AC390" s="41" t="str">
        <f aca="false">IF($B390="","",CHOOSE(WEEKDAY(B390,2),"Lunes","Martes","Miércoles","Jueves","Viernes","Sábado","Domingo"))</f>
        <v/>
      </c>
      <c r="AD390" s="36" t="str">
        <f aca="false">IF($B390="","",HOUR(C390))</f>
        <v/>
      </c>
      <c r="AE390" s="42" t="str">
        <f aca="false">IF($B390="","",IF(O390&lt;&gt;O389,MAX(V390-S390,V390),MAX(V390,AE389)))</f>
        <v/>
      </c>
      <c r="AF390" s="42" t="str">
        <f aca="false">IF($B390="","",V390-AE390)</f>
        <v/>
      </c>
      <c r="AG390" s="36" t="str">
        <f aca="false">IF($B390="","",IF(O390&lt;&gt;O389,IF(T390="G",1,-1),IF(T390="G",IF(N(AG389)&gt;0,AG389+1,1),IF(N(AG389)&lt;0,AG389-1,-1))))</f>
        <v/>
      </c>
    </row>
    <row r="391" customFormat="false" ht="15" hidden="false" customHeight="false" outlineLevel="0" collapsed="false">
      <c r="A391" s="36" t="str">
        <f aca="false">IF(B391="","",ROW()-6)</f>
        <v/>
      </c>
      <c r="B391" s="37"/>
      <c r="C391" s="38"/>
      <c r="D391" s="38"/>
      <c r="E391" s="39"/>
      <c r="F391" s="39"/>
      <c r="G391" s="39"/>
      <c r="H391" s="40"/>
      <c r="I391" s="40"/>
      <c r="J391" s="40"/>
      <c r="K391" s="40"/>
      <c r="L391" s="39"/>
      <c r="M391" s="40"/>
      <c r="N391" s="40"/>
      <c r="O391" s="36" t="str">
        <f aca="false">IF($B391="","",INT((A391-1)/Parametros!$C$10)+1)</f>
        <v/>
      </c>
      <c r="P391" s="41" t="str">
        <f aca="false">IF($B391="","",IF(OR(C391="",D391=""),"",ROUND((D391-C391)*1440,0)))</f>
        <v/>
      </c>
      <c r="Q391" s="42" t="str">
        <f aca="false">IF($B391="","",I391*VLOOKUP(E391,Parametros!$B$18:$D$24,2,FALSE()))</f>
        <v/>
      </c>
      <c r="R391" s="42" t="str">
        <f aca="false">IF($B391="","",G391*VLOOKUP(E391,Parametros!$B$18:$D$24,3,FALSE()))</f>
        <v/>
      </c>
      <c r="S391" s="42" t="str">
        <f aca="false">IF($B391="","",Q391-R391)</f>
        <v/>
      </c>
      <c r="T391" s="43" t="str">
        <f aca="false">IF($B391="","",IF(S391&gt;0,"G","P"))</f>
        <v/>
      </c>
      <c r="U391" s="44" t="str">
        <f aca="false">IF($B391="","",S391/Parametros!$C$8)</f>
        <v/>
      </c>
      <c r="V391" s="42" t="str">
        <f aca="false">IF($B391="","",Parametros!$C$6+SUM($S$7:S391))</f>
        <v/>
      </c>
      <c r="W391" s="42" t="str">
        <f aca="false">IF($B391="","",MAX(V391,W390))</f>
        <v/>
      </c>
      <c r="X391" s="42" t="str">
        <f aca="false">IF($B391="","",V391-W391)</f>
        <v/>
      </c>
      <c r="Y391" s="45" t="str">
        <f aca="false">IF($B391="","",X391/W391)</f>
        <v/>
      </c>
      <c r="Z391" s="36" t="str">
        <f aca="false">IF($B391="","",IF(T391="G",IF(N(Z390)&gt;0,Z390+1,1),IF(N(Z390)&lt;0,Z390-1,-1)))</f>
        <v/>
      </c>
      <c r="AA391" s="46" t="str">
        <f aca="false">IF($B391="","",B391-WEEKDAY(B391,2)+1)</f>
        <v/>
      </c>
      <c r="AB391" s="47" t="str">
        <f aca="false">IF($B391="","",DATE(YEAR(B391),MONTH(B391),1))</f>
        <v/>
      </c>
      <c r="AC391" s="41" t="str">
        <f aca="false">IF($B391="","",CHOOSE(WEEKDAY(B391,2),"Lunes","Martes","Miércoles","Jueves","Viernes","Sábado","Domingo"))</f>
        <v/>
      </c>
      <c r="AD391" s="36" t="str">
        <f aca="false">IF($B391="","",HOUR(C391))</f>
        <v/>
      </c>
      <c r="AE391" s="42" t="str">
        <f aca="false">IF($B391="","",IF(O391&lt;&gt;O390,MAX(V391-S391,V391),MAX(V391,AE390)))</f>
        <v/>
      </c>
      <c r="AF391" s="42" t="str">
        <f aca="false">IF($B391="","",V391-AE391)</f>
        <v/>
      </c>
      <c r="AG391" s="36" t="str">
        <f aca="false">IF($B391="","",IF(O391&lt;&gt;O390,IF(T391="G",1,-1),IF(T391="G",IF(N(AG390)&gt;0,AG390+1,1),IF(N(AG390)&lt;0,AG390-1,-1))))</f>
        <v/>
      </c>
    </row>
    <row r="392" customFormat="false" ht="15" hidden="false" customHeight="false" outlineLevel="0" collapsed="false">
      <c r="A392" s="36" t="str">
        <f aca="false">IF(B392="","",ROW()-6)</f>
        <v/>
      </c>
      <c r="B392" s="37"/>
      <c r="C392" s="38"/>
      <c r="D392" s="38"/>
      <c r="E392" s="39"/>
      <c r="F392" s="39"/>
      <c r="G392" s="39"/>
      <c r="H392" s="40"/>
      <c r="I392" s="40"/>
      <c r="J392" s="40"/>
      <c r="K392" s="40"/>
      <c r="L392" s="39"/>
      <c r="M392" s="40"/>
      <c r="N392" s="40"/>
      <c r="O392" s="36" t="str">
        <f aca="false">IF($B392="","",INT((A392-1)/Parametros!$C$10)+1)</f>
        <v/>
      </c>
      <c r="P392" s="41" t="str">
        <f aca="false">IF($B392="","",IF(OR(C392="",D392=""),"",ROUND((D392-C392)*1440,0)))</f>
        <v/>
      </c>
      <c r="Q392" s="42" t="str">
        <f aca="false">IF($B392="","",I392*VLOOKUP(E392,Parametros!$B$18:$D$24,2,FALSE()))</f>
        <v/>
      </c>
      <c r="R392" s="42" t="str">
        <f aca="false">IF($B392="","",G392*VLOOKUP(E392,Parametros!$B$18:$D$24,3,FALSE()))</f>
        <v/>
      </c>
      <c r="S392" s="42" t="str">
        <f aca="false">IF($B392="","",Q392-R392)</f>
        <v/>
      </c>
      <c r="T392" s="43" t="str">
        <f aca="false">IF($B392="","",IF(S392&gt;0,"G","P"))</f>
        <v/>
      </c>
      <c r="U392" s="44" t="str">
        <f aca="false">IF($B392="","",S392/Parametros!$C$8)</f>
        <v/>
      </c>
      <c r="V392" s="42" t="str">
        <f aca="false">IF($B392="","",Parametros!$C$6+SUM($S$7:S392))</f>
        <v/>
      </c>
      <c r="W392" s="42" t="str">
        <f aca="false">IF($B392="","",MAX(V392,W391))</f>
        <v/>
      </c>
      <c r="X392" s="42" t="str">
        <f aca="false">IF($B392="","",V392-W392)</f>
        <v/>
      </c>
      <c r="Y392" s="45" t="str">
        <f aca="false">IF($B392="","",X392/W392)</f>
        <v/>
      </c>
      <c r="Z392" s="36" t="str">
        <f aca="false">IF($B392="","",IF(T392="G",IF(N(Z391)&gt;0,Z391+1,1),IF(N(Z391)&lt;0,Z391-1,-1)))</f>
        <v/>
      </c>
      <c r="AA392" s="46" t="str">
        <f aca="false">IF($B392="","",B392-WEEKDAY(B392,2)+1)</f>
        <v/>
      </c>
      <c r="AB392" s="47" t="str">
        <f aca="false">IF($B392="","",DATE(YEAR(B392),MONTH(B392),1))</f>
        <v/>
      </c>
      <c r="AC392" s="41" t="str">
        <f aca="false">IF($B392="","",CHOOSE(WEEKDAY(B392,2),"Lunes","Martes","Miércoles","Jueves","Viernes","Sábado","Domingo"))</f>
        <v/>
      </c>
      <c r="AD392" s="36" t="str">
        <f aca="false">IF($B392="","",HOUR(C392))</f>
        <v/>
      </c>
      <c r="AE392" s="42" t="str">
        <f aca="false">IF($B392="","",IF(O392&lt;&gt;O391,MAX(V392-S392,V392),MAX(V392,AE391)))</f>
        <v/>
      </c>
      <c r="AF392" s="42" t="str">
        <f aca="false">IF($B392="","",V392-AE392)</f>
        <v/>
      </c>
      <c r="AG392" s="36" t="str">
        <f aca="false">IF($B392="","",IF(O392&lt;&gt;O391,IF(T392="G",1,-1),IF(T392="G",IF(N(AG391)&gt;0,AG391+1,1),IF(N(AG391)&lt;0,AG391-1,-1))))</f>
        <v/>
      </c>
    </row>
    <row r="393" customFormat="false" ht="15" hidden="false" customHeight="false" outlineLevel="0" collapsed="false">
      <c r="A393" s="36" t="str">
        <f aca="false">IF(B393="","",ROW()-6)</f>
        <v/>
      </c>
      <c r="B393" s="37"/>
      <c r="C393" s="38"/>
      <c r="D393" s="38"/>
      <c r="E393" s="39"/>
      <c r="F393" s="39"/>
      <c r="G393" s="39"/>
      <c r="H393" s="40"/>
      <c r="I393" s="40"/>
      <c r="J393" s="40"/>
      <c r="K393" s="40"/>
      <c r="L393" s="39"/>
      <c r="M393" s="40"/>
      <c r="N393" s="40"/>
      <c r="O393" s="36" t="str">
        <f aca="false">IF($B393="","",INT((A393-1)/Parametros!$C$10)+1)</f>
        <v/>
      </c>
      <c r="P393" s="41" t="str">
        <f aca="false">IF($B393="","",IF(OR(C393="",D393=""),"",ROUND((D393-C393)*1440,0)))</f>
        <v/>
      </c>
      <c r="Q393" s="42" t="str">
        <f aca="false">IF($B393="","",I393*VLOOKUP(E393,Parametros!$B$18:$D$24,2,FALSE()))</f>
        <v/>
      </c>
      <c r="R393" s="42" t="str">
        <f aca="false">IF($B393="","",G393*VLOOKUP(E393,Parametros!$B$18:$D$24,3,FALSE()))</f>
        <v/>
      </c>
      <c r="S393" s="42" t="str">
        <f aca="false">IF($B393="","",Q393-R393)</f>
        <v/>
      </c>
      <c r="T393" s="43" t="str">
        <f aca="false">IF($B393="","",IF(S393&gt;0,"G","P"))</f>
        <v/>
      </c>
      <c r="U393" s="44" t="str">
        <f aca="false">IF($B393="","",S393/Parametros!$C$8)</f>
        <v/>
      </c>
      <c r="V393" s="42" t="str">
        <f aca="false">IF($B393="","",Parametros!$C$6+SUM($S$7:S393))</f>
        <v/>
      </c>
      <c r="W393" s="42" t="str">
        <f aca="false">IF($B393="","",MAX(V393,W392))</f>
        <v/>
      </c>
      <c r="X393" s="42" t="str">
        <f aca="false">IF($B393="","",V393-W393)</f>
        <v/>
      </c>
      <c r="Y393" s="45" t="str">
        <f aca="false">IF($B393="","",X393/W393)</f>
        <v/>
      </c>
      <c r="Z393" s="36" t="str">
        <f aca="false">IF($B393="","",IF(T393="G",IF(N(Z392)&gt;0,Z392+1,1),IF(N(Z392)&lt;0,Z392-1,-1)))</f>
        <v/>
      </c>
      <c r="AA393" s="46" t="str">
        <f aca="false">IF($B393="","",B393-WEEKDAY(B393,2)+1)</f>
        <v/>
      </c>
      <c r="AB393" s="47" t="str">
        <f aca="false">IF($B393="","",DATE(YEAR(B393),MONTH(B393),1))</f>
        <v/>
      </c>
      <c r="AC393" s="41" t="str">
        <f aca="false">IF($B393="","",CHOOSE(WEEKDAY(B393,2),"Lunes","Martes","Miércoles","Jueves","Viernes","Sábado","Domingo"))</f>
        <v/>
      </c>
      <c r="AD393" s="36" t="str">
        <f aca="false">IF($B393="","",HOUR(C393))</f>
        <v/>
      </c>
      <c r="AE393" s="42" t="str">
        <f aca="false">IF($B393="","",IF(O393&lt;&gt;O392,MAX(V393-S393,V393),MAX(V393,AE392)))</f>
        <v/>
      </c>
      <c r="AF393" s="42" t="str">
        <f aca="false">IF($B393="","",V393-AE393)</f>
        <v/>
      </c>
      <c r="AG393" s="36" t="str">
        <f aca="false">IF($B393="","",IF(O393&lt;&gt;O392,IF(T393="G",1,-1),IF(T393="G",IF(N(AG392)&gt;0,AG392+1,1),IF(N(AG392)&lt;0,AG392-1,-1))))</f>
        <v/>
      </c>
    </row>
    <row r="394" customFormat="false" ht="15" hidden="false" customHeight="false" outlineLevel="0" collapsed="false">
      <c r="A394" s="36" t="str">
        <f aca="false">IF(B394="","",ROW()-6)</f>
        <v/>
      </c>
      <c r="B394" s="37"/>
      <c r="C394" s="38"/>
      <c r="D394" s="38"/>
      <c r="E394" s="39"/>
      <c r="F394" s="39"/>
      <c r="G394" s="39"/>
      <c r="H394" s="40"/>
      <c r="I394" s="40"/>
      <c r="J394" s="40"/>
      <c r="K394" s="40"/>
      <c r="L394" s="39"/>
      <c r="M394" s="40"/>
      <c r="N394" s="40"/>
      <c r="O394" s="36" t="str">
        <f aca="false">IF($B394="","",INT((A394-1)/Parametros!$C$10)+1)</f>
        <v/>
      </c>
      <c r="P394" s="41" t="str">
        <f aca="false">IF($B394="","",IF(OR(C394="",D394=""),"",ROUND((D394-C394)*1440,0)))</f>
        <v/>
      </c>
      <c r="Q394" s="42" t="str">
        <f aca="false">IF($B394="","",I394*VLOOKUP(E394,Parametros!$B$18:$D$24,2,FALSE()))</f>
        <v/>
      </c>
      <c r="R394" s="42" t="str">
        <f aca="false">IF($B394="","",G394*VLOOKUP(E394,Parametros!$B$18:$D$24,3,FALSE()))</f>
        <v/>
      </c>
      <c r="S394" s="42" t="str">
        <f aca="false">IF($B394="","",Q394-R394)</f>
        <v/>
      </c>
      <c r="T394" s="43" t="str">
        <f aca="false">IF($B394="","",IF(S394&gt;0,"G","P"))</f>
        <v/>
      </c>
      <c r="U394" s="44" t="str">
        <f aca="false">IF($B394="","",S394/Parametros!$C$8)</f>
        <v/>
      </c>
      <c r="V394" s="42" t="str">
        <f aca="false">IF($B394="","",Parametros!$C$6+SUM($S$7:S394))</f>
        <v/>
      </c>
      <c r="W394" s="42" t="str">
        <f aca="false">IF($B394="","",MAX(V394,W393))</f>
        <v/>
      </c>
      <c r="X394" s="42" t="str">
        <f aca="false">IF($B394="","",V394-W394)</f>
        <v/>
      </c>
      <c r="Y394" s="45" t="str">
        <f aca="false">IF($B394="","",X394/W394)</f>
        <v/>
      </c>
      <c r="Z394" s="36" t="str">
        <f aca="false">IF($B394="","",IF(T394="G",IF(N(Z393)&gt;0,Z393+1,1),IF(N(Z393)&lt;0,Z393-1,-1)))</f>
        <v/>
      </c>
      <c r="AA394" s="46" t="str">
        <f aca="false">IF($B394="","",B394-WEEKDAY(B394,2)+1)</f>
        <v/>
      </c>
      <c r="AB394" s="47" t="str">
        <f aca="false">IF($B394="","",DATE(YEAR(B394),MONTH(B394),1))</f>
        <v/>
      </c>
      <c r="AC394" s="41" t="str">
        <f aca="false">IF($B394="","",CHOOSE(WEEKDAY(B394,2),"Lunes","Martes","Miércoles","Jueves","Viernes","Sábado","Domingo"))</f>
        <v/>
      </c>
      <c r="AD394" s="36" t="str">
        <f aca="false">IF($B394="","",HOUR(C394))</f>
        <v/>
      </c>
      <c r="AE394" s="42" t="str">
        <f aca="false">IF($B394="","",IF(O394&lt;&gt;O393,MAX(V394-S394,V394),MAX(V394,AE393)))</f>
        <v/>
      </c>
      <c r="AF394" s="42" t="str">
        <f aca="false">IF($B394="","",V394-AE394)</f>
        <v/>
      </c>
      <c r="AG394" s="36" t="str">
        <f aca="false">IF($B394="","",IF(O394&lt;&gt;O393,IF(T394="G",1,-1),IF(T394="G",IF(N(AG393)&gt;0,AG393+1,1),IF(N(AG393)&lt;0,AG393-1,-1))))</f>
        <v/>
      </c>
    </row>
    <row r="395" customFormat="false" ht="15" hidden="false" customHeight="false" outlineLevel="0" collapsed="false">
      <c r="A395" s="36" t="str">
        <f aca="false">IF(B395="","",ROW()-6)</f>
        <v/>
      </c>
      <c r="B395" s="37"/>
      <c r="C395" s="38"/>
      <c r="D395" s="38"/>
      <c r="E395" s="39"/>
      <c r="F395" s="39"/>
      <c r="G395" s="39"/>
      <c r="H395" s="40"/>
      <c r="I395" s="40"/>
      <c r="J395" s="40"/>
      <c r="K395" s="40"/>
      <c r="L395" s="39"/>
      <c r="M395" s="40"/>
      <c r="N395" s="40"/>
      <c r="O395" s="36" t="str">
        <f aca="false">IF($B395="","",INT((A395-1)/Parametros!$C$10)+1)</f>
        <v/>
      </c>
      <c r="P395" s="41" t="str">
        <f aca="false">IF($B395="","",IF(OR(C395="",D395=""),"",ROUND((D395-C395)*1440,0)))</f>
        <v/>
      </c>
      <c r="Q395" s="42" t="str">
        <f aca="false">IF($B395="","",I395*VLOOKUP(E395,Parametros!$B$18:$D$24,2,FALSE()))</f>
        <v/>
      </c>
      <c r="R395" s="42" t="str">
        <f aca="false">IF($B395="","",G395*VLOOKUP(E395,Parametros!$B$18:$D$24,3,FALSE()))</f>
        <v/>
      </c>
      <c r="S395" s="42" t="str">
        <f aca="false">IF($B395="","",Q395-R395)</f>
        <v/>
      </c>
      <c r="T395" s="43" t="str">
        <f aca="false">IF($B395="","",IF(S395&gt;0,"G","P"))</f>
        <v/>
      </c>
      <c r="U395" s="44" t="str">
        <f aca="false">IF($B395="","",S395/Parametros!$C$8)</f>
        <v/>
      </c>
      <c r="V395" s="42" t="str">
        <f aca="false">IF($B395="","",Parametros!$C$6+SUM($S$7:S395))</f>
        <v/>
      </c>
      <c r="W395" s="42" t="str">
        <f aca="false">IF($B395="","",MAX(V395,W394))</f>
        <v/>
      </c>
      <c r="X395" s="42" t="str">
        <f aca="false">IF($B395="","",V395-W395)</f>
        <v/>
      </c>
      <c r="Y395" s="45" t="str">
        <f aca="false">IF($B395="","",X395/W395)</f>
        <v/>
      </c>
      <c r="Z395" s="36" t="str">
        <f aca="false">IF($B395="","",IF(T395="G",IF(N(Z394)&gt;0,Z394+1,1),IF(N(Z394)&lt;0,Z394-1,-1)))</f>
        <v/>
      </c>
      <c r="AA395" s="46" t="str">
        <f aca="false">IF($B395="","",B395-WEEKDAY(B395,2)+1)</f>
        <v/>
      </c>
      <c r="AB395" s="47" t="str">
        <f aca="false">IF($B395="","",DATE(YEAR(B395),MONTH(B395),1))</f>
        <v/>
      </c>
      <c r="AC395" s="41" t="str">
        <f aca="false">IF($B395="","",CHOOSE(WEEKDAY(B395,2),"Lunes","Martes","Miércoles","Jueves","Viernes","Sábado","Domingo"))</f>
        <v/>
      </c>
      <c r="AD395" s="36" t="str">
        <f aca="false">IF($B395="","",HOUR(C395))</f>
        <v/>
      </c>
      <c r="AE395" s="42" t="str">
        <f aca="false">IF($B395="","",IF(O395&lt;&gt;O394,MAX(V395-S395,V395),MAX(V395,AE394)))</f>
        <v/>
      </c>
      <c r="AF395" s="42" t="str">
        <f aca="false">IF($B395="","",V395-AE395)</f>
        <v/>
      </c>
      <c r="AG395" s="36" t="str">
        <f aca="false">IF($B395="","",IF(O395&lt;&gt;O394,IF(T395="G",1,-1),IF(T395="G",IF(N(AG394)&gt;0,AG394+1,1),IF(N(AG394)&lt;0,AG394-1,-1))))</f>
        <v/>
      </c>
    </row>
    <row r="396" customFormat="false" ht="15" hidden="false" customHeight="false" outlineLevel="0" collapsed="false">
      <c r="A396" s="36" t="str">
        <f aca="false">IF(B396="","",ROW()-6)</f>
        <v/>
      </c>
      <c r="B396" s="37"/>
      <c r="C396" s="38"/>
      <c r="D396" s="38"/>
      <c r="E396" s="39"/>
      <c r="F396" s="39"/>
      <c r="G396" s="39"/>
      <c r="H396" s="40"/>
      <c r="I396" s="40"/>
      <c r="J396" s="40"/>
      <c r="K396" s="40"/>
      <c r="L396" s="39"/>
      <c r="M396" s="40"/>
      <c r="N396" s="40"/>
      <c r="O396" s="36" t="str">
        <f aca="false">IF($B396="","",INT((A396-1)/Parametros!$C$10)+1)</f>
        <v/>
      </c>
      <c r="P396" s="41" t="str">
        <f aca="false">IF($B396="","",IF(OR(C396="",D396=""),"",ROUND((D396-C396)*1440,0)))</f>
        <v/>
      </c>
      <c r="Q396" s="42" t="str">
        <f aca="false">IF($B396="","",I396*VLOOKUP(E396,Parametros!$B$18:$D$24,2,FALSE()))</f>
        <v/>
      </c>
      <c r="R396" s="42" t="str">
        <f aca="false">IF($B396="","",G396*VLOOKUP(E396,Parametros!$B$18:$D$24,3,FALSE()))</f>
        <v/>
      </c>
      <c r="S396" s="42" t="str">
        <f aca="false">IF($B396="","",Q396-R396)</f>
        <v/>
      </c>
      <c r="T396" s="43" t="str">
        <f aca="false">IF($B396="","",IF(S396&gt;0,"G","P"))</f>
        <v/>
      </c>
      <c r="U396" s="44" t="str">
        <f aca="false">IF($B396="","",S396/Parametros!$C$8)</f>
        <v/>
      </c>
      <c r="V396" s="42" t="str">
        <f aca="false">IF($B396="","",Parametros!$C$6+SUM($S$7:S396))</f>
        <v/>
      </c>
      <c r="W396" s="42" t="str">
        <f aca="false">IF($B396="","",MAX(V396,W395))</f>
        <v/>
      </c>
      <c r="X396" s="42" t="str">
        <f aca="false">IF($B396="","",V396-W396)</f>
        <v/>
      </c>
      <c r="Y396" s="45" t="str">
        <f aca="false">IF($B396="","",X396/W396)</f>
        <v/>
      </c>
      <c r="Z396" s="36" t="str">
        <f aca="false">IF($B396="","",IF(T396="G",IF(N(Z395)&gt;0,Z395+1,1),IF(N(Z395)&lt;0,Z395-1,-1)))</f>
        <v/>
      </c>
      <c r="AA396" s="46" t="str">
        <f aca="false">IF($B396="","",B396-WEEKDAY(B396,2)+1)</f>
        <v/>
      </c>
      <c r="AB396" s="47" t="str">
        <f aca="false">IF($B396="","",DATE(YEAR(B396),MONTH(B396),1))</f>
        <v/>
      </c>
      <c r="AC396" s="41" t="str">
        <f aca="false">IF($B396="","",CHOOSE(WEEKDAY(B396,2),"Lunes","Martes","Miércoles","Jueves","Viernes","Sábado","Domingo"))</f>
        <v/>
      </c>
      <c r="AD396" s="36" t="str">
        <f aca="false">IF($B396="","",HOUR(C396))</f>
        <v/>
      </c>
      <c r="AE396" s="42" t="str">
        <f aca="false">IF($B396="","",IF(O396&lt;&gt;O395,MAX(V396-S396,V396),MAX(V396,AE395)))</f>
        <v/>
      </c>
      <c r="AF396" s="42" t="str">
        <f aca="false">IF($B396="","",V396-AE396)</f>
        <v/>
      </c>
      <c r="AG396" s="36" t="str">
        <f aca="false">IF($B396="","",IF(O396&lt;&gt;O395,IF(T396="G",1,-1),IF(T396="G",IF(N(AG395)&gt;0,AG395+1,1),IF(N(AG395)&lt;0,AG395-1,-1))))</f>
        <v/>
      </c>
    </row>
    <row r="397" customFormat="false" ht="15" hidden="false" customHeight="false" outlineLevel="0" collapsed="false">
      <c r="A397" s="36" t="str">
        <f aca="false">IF(B397="","",ROW()-6)</f>
        <v/>
      </c>
      <c r="B397" s="37"/>
      <c r="C397" s="38"/>
      <c r="D397" s="38"/>
      <c r="E397" s="39"/>
      <c r="F397" s="39"/>
      <c r="G397" s="39"/>
      <c r="H397" s="40"/>
      <c r="I397" s="40"/>
      <c r="J397" s="40"/>
      <c r="K397" s="40"/>
      <c r="L397" s="39"/>
      <c r="M397" s="40"/>
      <c r="N397" s="40"/>
      <c r="O397" s="36" t="str">
        <f aca="false">IF($B397="","",INT((A397-1)/Parametros!$C$10)+1)</f>
        <v/>
      </c>
      <c r="P397" s="41" t="str">
        <f aca="false">IF($B397="","",IF(OR(C397="",D397=""),"",ROUND((D397-C397)*1440,0)))</f>
        <v/>
      </c>
      <c r="Q397" s="42" t="str">
        <f aca="false">IF($B397="","",I397*VLOOKUP(E397,Parametros!$B$18:$D$24,2,FALSE()))</f>
        <v/>
      </c>
      <c r="R397" s="42" t="str">
        <f aca="false">IF($B397="","",G397*VLOOKUP(E397,Parametros!$B$18:$D$24,3,FALSE()))</f>
        <v/>
      </c>
      <c r="S397" s="42" t="str">
        <f aca="false">IF($B397="","",Q397-R397)</f>
        <v/>
      </c>
      <c r="T397" s="43" t="str">
        <f aca="false">IF($B397="","",IF(S397&gt;0,"G","P"))</f>
        <v/>
      </c>
      <c r="U397" s="44" t="str">
        <f aca="false">IF($B397="","",S397/Parametros!$C$8)</f>
        <v/>
      </c>
      <c r="V397" s="42" t="str">
        <f aca="false">IF($B397="","",Parametros!$C$6+SUM($S$7:S397))</f>
        <v/>
      </c>
      <c r="W397" s="42" t="str">
        <f aca="false">IF($B397="","",MAX(V397,W396))</f>
        <v/>
      </c>
      <c r="X397" s="42" t="str">
        <f aca="false">IF($B397="","",V397-W397)</f>
        <v/>
      </c>
      <c r="Y397" s="45" t="str">
        <f aca="false">IF($B397="","",X397/W397)</f>
        <v/>
      </c>
      <c r="Z397" s="36" t="str">
        <f aca="false">IF($B397="","",IF(T397="G",IF(N(Z396)&gt;0,Z396+1,1),IF(N(Z396)&lt;0,Z396-1,-1)))</f>
        <v/>
      </c>
      <c r="AA397" s="46" t="str">
        <f aca="false">IF($B397="","",B397-WEEKDAY(B397,2)+1)</f>
        <v/>
      </c>
      <c r="AB397" s="47" t="str">
        <f aca="false">IF($B397="","",DATE(YEAR(B397),MONTH(B397),1))</f>
        <v/>
      </c>
      <c r="AC397" s="41" t="str">
        <f aca="false">IF($B397="","",CHOOSE(WEEKDAY(B397,2),"Lunes","Martes","Miércoles","Jueves","Viernes","Sábado","Domingo"))</f>
        <v/>
      </c>
      <c r="AD397" s="36" t="str">
        <f aca="false">IF($B397="","",HOUR(C397))</f>
        <v/>
      </c>
      <c r="AE397" s="42" t="str">
        <f aca="false">IF($B397="","",IF(O397&lt;&gt;O396,MAX(V397-S397,V397),MAX(V397,AE396)))</f>
        <v/>
      </c>
      <c r="AF397" s="42" t="str">
        <f aca="false">IF($B397="","",V397-AE397)</f>
        <v/>
      </c>
      <c r="AG397" s="36" t="str">
        <f aca="false">IF($B397="","",IF(O397&lt;&gt;O396,IF(T397="G",1,-1),IF(T397="G",IF(N(AG396)&gt;0,AG396+1,1),IF(N(AG396)&lt;0,AG396-1,-1))))</f>
        <v/>
      </c>
    </row>
    <row r="398" customFormat="false" ht="15" hidden="false" customHeight="false" outlineLevel="0" collapsed="false">
      <c r="A398" s="36" t="str">
        <f aca="false">IF(B398="","",ROW()-6)</f>
        <v/>
      </c>
      <c r="B398" s="37"/>
      <c r="C398" s="38"/>
      <c r="D398" s="38"/>
      <c r="E398" s="39"/>
      <c r="F398" s="39"/>
      <c r="G398" s="39"/>
      <c r="H398" s="40"/>
      <c r="I398" s="40"/>
      <c r="J398" s="40"/>
      <c r="K398" s="40"/>
      <c r="L398" s="39"/>
      <c r="M398" s="40"/>
      <c r="N398" s="40"/>
      <c r="O398" s="36" t="str">
        <f aca="false">IF($B398="","",INT((A398-1)/Parametros!$C$10)+1)</f>
        <v/>
      </c>
      <c r="P398" s="41" t="str">
        <f aca="false">IF($B398="","",IF(OR(C398="",D398=""),"",ROUND((D398-C398)*1440,0)))</f>
        <v/>
      </c>
      <c r="Q398" s="42" t="str">
        <f aca="false">IF($B398="","",I398*VLOOKUP(E398,Parametros!$B$18:$D$24,2,FALSE()))</f>
        <v/>
      </c>
      <c r="R398" s="42" t="str">
        <f aca="false">IF($B398="","",G398*VLOOKUP(E398,Parametros!$B$18:$D$24,3,FALSE()))</f>
        <v/>
      </c>
      <c r="S398" s="42" t="str">
        <f aca="false">IF($B398="","",Q398-R398)</f>
        <v/>
      </c>
      <c r="T398" s="43" t="str">
        <f aca="false">IF($B398="","",IF(S398&gt;0,"G","P"))</f>
        <v/>
      </c>
      <c r="U398" s="44" t="str">
        <f aca="false">IF($B398="","",S398/Parametros!$C$8)</f>
        <v/>
      </c>
      <c r="V398" s="42" t="str">
        <f aca="false">IF($B398="","",Parametros!$C$6+SUM($S$7:S398))</f>
        <v/>
      </c>
      <c r="W398" s="42" t="str">
        <f aca="false">IF($B398="","",MAX(V398,W397))</f>
        <v/>
      </c>
      <c r="X398" s="42" t="str">
        <f aca="false">IF($B398="","",V398-W398)</f>
        <v/>
      </c>
      <c r="Y398" s="45" t="str">
        <f aca="false">IF($B398="","",X398/W398)</f>
        <v/>
      </c>
      <c r="Z398" s="36" t="str">
        <f aca="false">IF($B398="","",IF(T398="G",IF(N(Z397)&gt;0,Z397+1,1),IF(N(Z397)&lt;0,Z397-1,-1)))</f>
        <v/>
      </c>
      <c r="AA398" s="46" t="str">
        <f aca="false">IF($B398="","",B398-WEEKDAY(B398,2)+1)</f>
        <v/>
      </c>
      <c r="AB398" s="47" t="str">
        <f aca="false">IF($B398="","",DATE(YEAR(B398),MONTH(B398),1))</f>
        <v/>
      </c>
      <c r="AC398" s="41" t="str">
        <f aca="false">IF($B398="","",CHOOSE(WEEKDAY(B398,2),"Lunes","Martes","Miércoles","Jueves","Viernes","Sábado","Domingo"))</f>
        <v/>
      </c>
      <c r="AD398" s="36" t="str">
        <f aca="false">IF($B398="","",HOUR(C398))</f>
        <v/>
      </c>
      <c r="AE398" s="42" t="str">
        <f aca="false">IF($B398="","",IF(O398&lt;&gt;O397,MAX(V398-S398,V398),MAX(V398,AE397)))</f>
        <v/>
      </c>
      <c r="AF398" s="42" t="str">
        <f aca="false">IF($B398="","",V398-AE398)</f>
        <v/>
      </c>
      <c r="AG398" s="36" t="str">
        <f aca="false">IF($B398="","",IF(O398&lt;&gt;O397,IF(T398="G",1,-1),IF(T398="G",IF(N(AG397)&gt;0,AG397+1,1),IF(N(AG397)&lt;0,AG397-1,-1))))</f>
        <v/>
      </c>
    </row>
    <row r="399" customFormat="false" ht="15" hidden="false" customHeight="false" outlineLevel="0" collapsed="false">
      <c r="A399" s="36" t="str">
        <f aca="false">IF(B399="","",ROW()-6)</f>
        <v/>
      </c>
      <c r="B399" s="37"/>
      <c r="C399" s="38"/>
      <c r="D399" s="38"/>
      <c r="E399" s="39"/>
      <c r="F399" s="39"/>
      <c r="G399" s="39"/>
      <c r="H399" s="40"/>
      <c r="I399" s="40"/>
      <c r="J399" s="40"/>
      <c r="K399" s="40"/>
      <c r="L399" s="39"/>
      <c r="M399" s="40"/>
      <c r="N399" s="40"/>
      <c r="O399" s="36" t="str">
        <f aca="false">IF($B399="","",INT((A399-1)/Parametros!$C$10)+1)</f>
        <v/>
      </c>
      <c r="P399" s="41" t="str">
        <f aca="false">IF($B399="","",IF(OR(C399="",D399=""),"",ROUND((D399-C399)*1440,0)))</f>
        <v/>
      </c>
      <c r="Q399" s="42" t="str">
        <f aca="false">IF($B399="","",I399*VLOOKUP(E399,Parametros!$B$18:$D$24,2,FALSE()))</f>
        <v/>
      </c>
      <c r="R399" s="42" t="str">
        <f aca="false">IF($B399="","",G399*VLOOKUP(E399,Parametros!$B$18:$D$24,3,FALSE()))</f>
        <v/>
      </c>
      <c r="S399" s="42" t="str">
        <f aca="false">IF($B399="","",Q399-R399)</f>
        <v/>
      </c>
      <c r="T399" s="43" t="str">
        <f aca="false">IF($B399="","",IF(S399&gt;0,"G","P"))</f>
        <v/>
      </c>
      <c r="U399" s="44" t="str">
        <f aca="false">IF($B399="","",S399/Parametros!$C$8)</f>
        <v/>
      </c>
      <c r="V399" s="42" t="str">
        <f aca="false">IF($B399="","",Parametros!$C$6+SUM($S$7:S399))</f>
        <v/>
      </c>
      <c r="W399" s="42" t="str">
        <f aca="false">IF($B399="","",MAX(V399,W398))</f>
        <v/>
      </c>
      <c r="X399" s="42" t="str">
        <f aca="false">IF($B399="","",V399-W399)</f>
        <v/>
      </c>
      <c r="Y399" s="45" t="str">
        <f aca="false">IF($B399="","",X399/W399)</f>
        <v/>
      </c>
      <c r="Z399" s="36" t="str">
        <f aca="false">IF($B399="","",IF(T399="G",IF(N(Z398)&gt;0,Z398+1,1),IF(N(Z398)&lt;0,Z398-1,-1)))</f>
        <v/>
      </c>
      <c r="AA399" s="46" t="str">
        <f aca="false">IF($B399="","",B399-WEEKDAY(B399,2)+1)</f>
        <v/>
      </c>
      <c r="AB399" s="47" t="str">
        <f aca="false">IF($B399="","",DATE(YEAR(B399),MONTH(B399),1))</f>
        <v/>
      </c>
      <c r="AC399" s="41" t="str">
        <f aca="false">IF($B399="","",CHOOSE(WEEKDAY(B399,2),"Lunes","Martes","Miércoles","Jueves","Viernes","Sábado","Domingo"))</f>
        <v/>
      </c>
      <c r="AD399" s="36" t="str">
        <f aca="false">IF($B399="","",HOUR(C399))</f>
        <v/>
      </c>
      <c r="AE399" s="42" t="str">
        <f aca="false">IF($B399="","",IF(O399&lt;&gt;O398,MAX(V399-S399,V399),MAX(V399,AE398)))</f>
        <v/>
      </c>
      <c r="AF399" s="42" t="str">
        <f aca="false">IF($B399="","",V399-AE399)</f>
        <v/>
      </c>
      <c r="AG399" s="36" t="str">
        <f aca="false">IF($B399="","",IF(O399&lt;&gt;O398,IF(T399="G",1,-1),IF(T399="G",IF(N(AG398)&gt;0,AG398+1,1),IF(N(AG398)&lt;0,AG398-1,-1))))</f>
        <v/>
      </c>
    </row>
    <row r="400" customFormat="false" ht="15" hidden="false" customHeight="false" outlineLevel="0" collapsed="false">
      <c r="A400" s="36" t="str">
        <f aca="false">IF(B400="","",ROW()-6)</f>
        <v/>
      </c>
      <c r="B400" s="37"/>
      <c r="C400" s="38"/>
      <c r="D400" s="38"/>
      <c r="E400" s="39"/>
      <c r="F400" s="39"/>
      <c r="G400" s="39"/>
      <c r="H400" s="40"/>
      <c r="I400" s="40"/>
      <c r="J400" s="40"/>
      <c r="K400" s="40"/>
      <c r="L400" s="39"/>
      <c r="M400" s="40"/>
      <c r="N400" s="40"/>
      <c r="O400" s="36" t="str">
        <f aca="false">IF($B400="","",INT((A400-1)/Parametros!$C$10)+1)</f>
        <v/>
      </c>
      <c r="P400" s="41" t="str">
        <f aca="false">IF($B400="","",IF(OR(C400="",D400=""),"",ROUND((D400-C400)*1440,0)))</f>
        <v/>
      </c>
      <c r="Q400" s="42" t="str">
        <f aca="false">IF($B400="","",I400*VLOOKUP(E400,Parametros!$B$18:$D$24,2,FALSE()))</f>
        <v/>
      </c>
      <c r="R400" s="42" t="str">
        <f aca="false">IF($B400="","",G400*VLOOKUP(E400,Parametros!$B$18:$D$24,3,FALSE()))</f>
        <v/>
      </c>
      <c r="S400" s="42" t="str">
        <f aca="false">IF($B400="","",Q400-R400)</f>
        <v/>
      </c>
      <c r="T400" s="43" t="str">
        <f aca="false">IF($B400="","",IF(S400&gt;0,"G","P"))</f>
        <v/>
      </c>
      <c r="U400" s="44" t="str">
        <f aca="false">IF($B400="","",S400/Parametros!$C$8)</f>
        <v/>
      </c>
      <c r="V400" s="42" t="str">
        <f aca="false">IF($B400="","",Parametros!$C$6+SUM($S$7:S400))</f>
        <v/>
      </c>
      <c r="W400" s="42" t="str">
        <f aca="false">IF($B400="","",MAX(V400,W399))</f>
        <v/>
      </c>
      <c r="X400" s="42" t="str">
        <f aca="false">IF($B400="","",V400-W400)</f>
        <v/>
      </c>
      <c r="Y400" s="45" t="str">
        <f aca="false">IF($B400="","",X400/W400)</f>
        <v/>
      </c>
      <c r="Z400" s="36" t="str">
        <f aca="false">IF($B400="","",IF(T400="G",IF(N(Z399)&gt;0,Z399+1,1),IF(N(Z399)&lt;0,Z399-1,-1)))</f>
        <v/>
      </c>
      <c r="AA400" s="46" t="str">
        <f aca="false">IF($B400="","",B400-WEEKDAY(B400,2)+1)</f>
        <v/>
      </c>
      <c r="AB400" s="47" t="str">
        <f aca="false">IF($B400="","",DATE(YEAR(B400),MONTH(B400),1))</f>
        <v/>
      </c>
      <c r="AC400" s="41" t="str">
        <f aca="false">IF($B400="","",CHOOSE(WEEKDAY(B400,2),"Lunes","Martes","Miércoles","Jueves","Viernes","Sábado","Domingo"))</f>
        <v/>
      </c>
      <c r="AD400" s="36" t="str">
        <f aca="false">IF($B400="","",HOUR(C400))</f>
        <v/>
      </c>
      <c r="AE400" s="42" t="str">
        <f aca="false">IF($B400="","",IF(O400&lt;&gt;O399,MAX(V400-S400,V400),MAX(V400,AE399)))</f>
        <v/>
      </c>
      <c r="AF400" s="42" t="str">
        <f aca="false">IF($B400="","",V400-AE400)</f>
        <v/>
      </c>
      <c r="AG400" s="36" t="str">
        <f aca="false">IF($B400="","",IF(O400&lt;&gt;O399,IF(T400="G",1,-1),IF(T400="G",IF(N(AG399)&gt;0,AG399+1,1),IF(N(AG399)&lt;0,AG399-1,-1))))</f>
        <v/>
      </c>
    </row>
    <row r="401" customFormat="false" ht="15" hidden="false" customHeight="false" outlineLevel="0" collapsed="false">
      <c r="A401" s="36" t="str">
        <f aca="false">IF(B401="","",ROW()-6)</f>
        <v/>
      </c>
      <c r="B401" s="37"/>
      <c r="C401" s="38"/>
      <c r="D401" s="38"/>
      <c r="E401" s="39"/>
      <c r="F401" s="39"/>
      <c r="G401" s="39"/>
      <c r="H401" s="40"/>
      <c r="I401" s="40"/>
      <c r="J401" s="40"/>
      <c r="K401" s="40"/>
      <c r="L401" s="39"/>
      <c r="M401" s="40"/>
      <c r="N401" s="40"/>
      <c r="O401" s="36" t="str">
        <f aca="false">IF($B401="","",INT((A401-1)/Parametros!$C$10)+1)</f>
        <v/>
      </c>
      <c r="P401" s="41" t="str">
        <f aca="false">IF($B401="","",IF(OR(C401="",D401=""),"",ROUND((D401-C401)*1440,0)))</f>
        <v/>
      </c>
      <c r="Q401" s="42" t="str">
        <f aca="false">IF($B401="","",I401*VLOOKUP(E401,Parametros!$B$18:$D$24,2,FALSE()))</f>
        <v/>
      </c>
      <c r="R401" s="42" t="str">
        <f aca="false">IF($B401="","",G401*VLOOKUP(E401,Parametros!$B$18:$D$24,3,FALSE()))</f>
        <v/>
      </c>
      <c r="S401" s="42" t="str">
        <f aca="false">IF($B401="","",Q401-R401)</f>
        <v/>
      </c>
      <c r="T401" s="43" t="str">
        <f aca="false">IF($B401="","",IF(S401&gt;0,"G","P"))</f>
        <v/>
      </c>
      <c r="U401" s="44" t="str">
        <f aca="false">IF($B401="","",S401/Parametros!$C$8)</f>
        <v/>
      </c>
      <c r="V401" s="42" t="str">
        <f aca="false">IF($B401="","",Parametros!$C$6+SUM($S$7:S401))</f>
        <v/>
      </c>
      <c r="W401" s="42" t="str">
        <f aca="false">IF($B401="","",MAX(V401,W400))</f>
        <v/>
      </c>
      <c r="X401" s="42" t="str">
        <f aca="false">IF($B401="","",V401-W401)</f>
        <v/>
      </c>
      <c r="Y401" s="45" t="str">
        <f aca="false">IF($B401="","",X401/W401)</f>
        <v/>
      </c>
      <c r="Z401" s="36" t="str">
        <f aca="false">IF($B401="","",IF(T401="G",IF(N(Z400)&gt;0,Z400+1,1),IF(N(Z400)&lt;0,Z400-1,-1)))</f>
        <v/>
      </c>
      <c r="AA401" s="46" t="str">
        <f aca="false">IF($B401="","",B401-WEEKDAY(B401,2)+1)</f>
        <v/>
      </c>
      <c r="AB401" s="47" t="str">
        <f aca="false">IF($B401="","",DATE(YEAR(B401),MONTH(B401),1))</f>
        <v/>
      </c>
      <c r="AC401" s="41" t="str">
        <f aca="false">IF($B401="","",CHOOSE(WEEKDAY(B401,2),"Lunes","Martes","Miércoles","Jueves","Viernes","Sábado","Domingo"))</f>
        <v/>
      </c>
      <c r="AD401" s="36" t="str">
        <f aca="false">IF($B401="","",HOUR(C401))</f>
        <v/>
      </c>
      <c r="AE401" s="42" t="str">
        <f aca="false">IF($B401="","",IF(O401&lt;&gt;O400,MAX(V401-S401,V401),MAX(V401,AE400)))</f>
        <v/>
      </c>
      <c r="AF401" s="42" t="str">
        <f aca="false">IF($B401="","",V401-AE401)</f>
        <v/>
      </c>
      <c r="AG401" s="36" t="str">
        <f aca="false">IF($B401="","",IF(O401&lt;&gt;O400,IF(T401="G",1,-1),IF(T401="G",IF(N(AG400)&gt;0,AG400+1,1),IF(N(AG400)&lt;0,AG400-1,-1))))</f>
        <v/>
      </c>
    </row>
    <row r="402" customFormat="false" ht="15" hidden="false" customHeight="false" outlineLevel="0" collapsed="false">
      <c r="A402" s="36" t="str">
        <f aca="false">IF(B402="","",ROW()-6)</f>
        <v/>
      </c>
      <c r="B402" s="37"/>
      <c r="C402" s="38"/>
      <c r="D402" s="38"/>
      <c r="E402" s="39"/>
      <c r="F402" s="39"/>
      <c r="G402" s="39"/>
      <c r="H402" s="40"/>
      <c r="I402" s="40"/>
      <c r="J402" s="40"/>
      <c r="K402" s="40"/>
      <c r="L402" s="39"/>
      <c r="M402" s="40"/>
      <c r="N402" s="40"/>
      <c r="O402" s="36" t="str">
        <f aca="false">IF($B402="","",INT((A402-1)/Parametros!$C$10)+1)</f>
        <v/>
      </c>
      <c r="P402" s="41" t="str">
        <f aca="false">IF($B402="","",IF(OR(C402="",D402=""),"",ROUND((D402-C402)*1440,0)))</f>
        <v/>
      </c>
      <c r="Q402" s="42" t="str">
        <f aca="false">IF($B402="","",I402*VLOOKUP(E402,Parametros!$B$18:$D$24,2,FALSE()))</f>
        <v/>
      </c>
      <c r="R402" s="42" t="str">
        <f aca="false">IF($B402="","",G402*VLOOKUP(E402,Parametros!$B$18:$D$24,3,FALSE()))</f>
        <v/>
      </c>
      <c r="S402" s="42" t="str">
        <f aca="false">IF($B402="","",Q402-R402)</f>
        <v/>
      </c>
      <c r="T402" s="43" t="str">
        <f aca="false">IF($B402="","",IF(S402&gt;0,"G","P"))</f>
        <v/>
      </c>
      <c r="U402" s="44" t="str">
        <f aca="false">IF($B402="","",S402/Parametros!$C$8)</f>
        <v/>
      </c>
      <c r="V402" s="42" t="str">
        <f aca="false">IF($B402="","",Parametros!$C$6+SUM($S$7:S402))</f>
        <v/>
      </c>
      <c r="W402" s="42" t="str">
        <f aca="false">IF($B402="","",MAX(V402,W401))</f>
        <v/>
      </c>
      <c r="X402" s="42" t="str">
        <f aca="false">IF($B402="","",V402-W402)</f>
        <v/>
      </c>
      <c r="Y402" s="45" t="str">
        <f aca="false">IF($B402="","",X402/W402)</f>
        <v/>
      </c>
      <c r="Z402" s="36" t="str">
        <f aca="false">IF($B402="","",IF(T402="G",IF(N(Z401)&gt;0,Z401+1,1),IF(N(Z401)&lt;0,Z401-1,-1)))</f>
        <v/>
      </c>
      <c r="AA402" s="46" t="str">
        <f aca="false">IF($B402="","",B402-WEEKDAY(B402,2)+1)</f>
        <v/>
      </c>
      <c r="AB402" s="47" t="str">
        <f aca="false">IF($B402="","",DATE(YEAR(B402),MONTH(B402),1))</f>
        <v/>
      </c>
      <c r="AC402" s="41" t="str">
        <f aca="false">IF($B402="","",CHOOSE(WEEKDAY(B402,2),"Lunes","Martes","Miércoles","Jueves","Viernes","Sábado","Domingo"))</f>
        <v/>
      </c>
      <c r="AD402" s="36" t="str">
        <f aca="false">IF($B402="","",HOUR(C402))</f>
        <v/>
      </c>
      <c r="AE402" s="42" t="str">
        <f aca="false">IF($B402="","",IF(O402&lt;&gt;O401,MAX(V402-S402,V402),MAX(V402,AE401)))</f>
        <v/>
      </c>
      <c r="AF402" s="42" t="str">
        <f aca="false">IF($B402="","",V402-AE402)</f>
        <v/>
      </c>
      <c r="AG402" s="36" t="str">
        <f aca="false">IF($B402="","",IF(O402&lt;&gt;O401,IF(T402="G",1,-1),IF(T402="G",IF(N(AG401)&gt;0,AG401+1,1),IF(N(AG401)&lt;0,AG401-1,-1))))</f>
        <v/>
      </c>
    </row>
    <row r="403" customFormat="false" ht="15" hidden="false" customHeight="false" outlineLevel="0" collapsed="false">
      <c r="A403" s="36" t="str">
        <f aca="false">IF(B403="","",ROW()-6)</f>
        <v/>
      </c>
      <c r="B403" s="37"/>
      <c r="C403" s="38"/>
      <c r="D403" s="38"/>
      <c r="E403" s="39"/>
      <c r="F403" s="39"/>
      <c r="G403" s="39"/>
      <c r="H403" s="40"/>
      <c r="I403" s="40"/>
      <c r="J403" s="40"/>
      <c r="K403" s="40"/>
      <c r="L403" s="39"/>
      <c r="M403" s="40"/>
      <c r="N403" s="40"/>
      <c r="O403" s="36" t="str">
        <f aca="false">IF($B403="","",INT((A403-1)/Parametros!$C$10)+1)</f>
        <v/>
      </c>
      <c r="P403" s="41" t="str">
        <f aca="false">IF($B403="","",IF(OR(C403="",D403=""),"",ROUND((D403-C403)*1440,0)))</f>
        <v/>
      </c>
      <c r="Q403" s="42" t="str">
        <f aca="false">IF($B403="","",I403*VLOOKUP(E403,Parametros!$B$18:$D$24,2,FALSE()))</f>
        <v/>
      </c>
      <c r="R403" s="42" t="str">
        <f aca="false">IF($B403="","",G403*VLOOKUP(E403,Parametros!$B$18:$D$24,3,FALSE()))</f>
        <v/>
      </c>
      <c r="S403" s="42" t="str">
        <f aca="false">IF($B403="","",Q403-R403)</f>
        <v/>
      </c>
      <c r="T403" s="43" t="str">
        <f aca="false">IF($B403="","",IF(S403&gt;0,"G","P"))</f>
        <v/>
      </c>
      <c r="U403" s="44" t="str">
        <f aca="false">IF($B403="","",S403/Parametros!$C$8)</f>
        <v/>
      </c>
      <c r="V403" s="42" t="str">
        <f aca="false">IF($B403="","",Parametros!$C$6+SUM($S$7:S403))</f>
        <v/>
      </c>
      <c r="W403" s="42" t="str">
        <f aca="false">IF($B403="","",MAX(V403,W402))</f>
        <v/>
      </c>
      <c r="X403" s="42" t="str">
        <f aca="false">IF($B403="","",V403-W403)</f>
        <v/>
      </c>
      <c r="Y403" s="45" t="str">
        <f aca="false">IF($B403="","",X403/W403)</f>
        <v/>
      </c>
      <c r="Z403" s="36" t="str">
        <f aca="false">IF($B403="","",IF(T403="G",IF(N(Z402)&gt;0,Z402+1,1),IF(N(Z402)&lt;0,Z402-1,-1)))</f>
        <v/>
      </c>
      <c r="AA403" s="46" t="str">
        <f aca="false">IF($B403="","",B403-WEEKDAY(B403,2)+1)</f>
        <v/>
      </c>
      <c r="AB403" s="47" t="str">
        <f aca="false">IF($B403="","",DATE(YEAR(B403),MONTH(B403),1))</f>
        <v/>
      </c>
      <c r="AC403" s="41" t="str">
        <f aca="false">IF($B403="","",CHOOSE(WEEKDAY(B403,2),"Lunes","Martes","Miércoles","Jueves","Viernes","Sábado","Domingo"))</f>
        <v/>
      </c>
      <c r="AD403" s="36" t="str">
        <f aca="false">IF($B403="","",HOUR(C403))</f>
        <v/>
      </c>
      <c r="AE403" s="42" t="str">
        <f aca="false">IF($B403="","",IF(O403&lt;&gt;O402,MAX(V403-S403,V403),MAX(V403,AE402)))</f>
        <v/>
      </c>
      <c r="AF403" s="42" t="str">
        <f aca="false">IF($B403="","",V403-AE403)</f>
        <v/>
      </c>
      <c r="AG403" s="36" t="str">
        <f aca="false">IF($B403="","",IF(O403&lt;&gt;O402,IF(T403="G",1,-1),IF(T403="G",IF(N(AG402)&gt;0,AG402+1,1),IF(N(AG402)&lt;0,AG402-1,-1))))</f>
        <v/>
      </c>
    </row>
    <row r="404" customFormat="false" ht="15" hidden="false" customHeight="false" outlineLevel="0" collapsed="false">
      <c r="A404" s="36" t="str">
        <f aca="false">IF(B404="","",ROW()-6)</f>
        <v/>
      </c>
      <c r="B404" s="37"/>
      <c r="C404" s="38"/>
      <c r="D404" s="38"/>
      <c r="E404" s="39"/>
      <c r="F404" s="39"/>
      <c r="G404" s="39"/>
      <c r="H404" s="40"/>
      <c r="I404" s="40"/>
      <c r="J404" s="40"/>
      <c r="K404" s="40"/>
      <c r="L404" s="39"/>
      <c r="M404" s="40"/>
      <c r="N404" s="40"/>
      <c r="O404" s="36" t="str">
        <f aca="false">IF($B404="","",INT((A404-1)/Parametros!$C$10)+1)</f>
        <v/>
      </c>
      <c r="P404" s="41" t="str">
        <f aca="false">IF($B404="","",IF(OR(C404="",D404=""),"",ROUND((D404-C404)*1440,0)))</f>
        <v/>
      </c>
      <c r="Q404" s="42" t="str">
        <f aca="false">IF($B404="","",I404*VLOOKUP(E404,Parametros!$B$18:$D$24,2,FALSE()))</f>
        <v/>
      </c>
      <c r="R404" s="42" t="str">
        <f aca="false">IF($B404="","",G404*VLOOKUP(E404,Parametros!$B$18:$D$24,3,FALSE()))</f>
        <v/>
      </c>
      <c r="S404" s="42" t="str">
        <f aca="false">IF($B404="","",Q404-R404)</f>
        <v/>
      </c>
      <c r="T404" s="43" t="str">
        <f aca="false">IF($B404="","",IF(S404&gt;0,"G","P"))</f>
        <v/>
      </c>
      <c r="U404" s="44" t="str">
        <f aca="false">IF($B404="","",S404/Parametros!$C$8)</f>
        <v/>
      </c>
      <c r="V404" s="42" t="str">
        <f aca="false">IF($B404="","",Parametros!$C$6+SUM($S$7:S404))</f>
        <v/>
      </c>
      <c r="W404" s="42" t="str">
        <f aca="false">IF($B404="","",MAX(V404,W403))</f>
        <v/>
      </c>
      <c r="X404" s="42" t="str">
        <f aca="false">IF($B404="","",V404-W404)</f>
        <v/>
      </c>
      <c r="Y404" s="45" t="str">
        <f aca="false">IF($B404="","",X404/W404)</f>
        <v/>
      </c>
      <c r="Z404" s="36" t="str">
        <f aca="false">IF($B404="","",IF(T404="G",IF(N(Z403)&gt;0,Z403+1,1),IF(N(Z403)&lt;0,Z403-1,-1)))</f>
        <v/>
      </c>
      <c r="AA404" s="46" t="str">
        <f aca="false">IF($B404="","",B404-WEEKDAY(B404,2)+1)</f>
        <v/>
      </c>
      <c r="AB404" s="47" t="str">
        <f aca="false">IF($B404="","",DATE(YEAR(B404),MONTH(B404),1))</f>
        <v/>
      </c>
      <c r="AC404" s="41" t="str">
        <f aca="false">IF($B404="","",CHOOSE(WEEKDAY(B404,2),"Lunes","Martes","Miércoles","Jueves","Viernes","Sábado","Domingo"))</f>
        <v/>
      </c>
      <c r="AD404" s="36" t="str">
        <f aca="false">IF($B404="","",HOUR(C404))</f>
        <v/>
      </c>
      <c r="AE404" s="42" t="str">
        <f aca="false">IF($B404="","",IF(O404&lt;&gt;O403,MAX(V404-S404,V404),MAX(V404,AE403)))</f>
        <v/>
      </c>
      <c r="AF404" s="42" t="str">
        <f aca="false">IF($B404="","",V404-AE404)</f>
        <v/>
      </c>
      <c r="AG404" s="36" t="str">
        <f aca="false">IF($B404="","",IF(O404&lt;&gt;O403,IF(T404="G",1,-1),IF(T404="G",IF(N(AG403)&gt;0,AG403+1,1),IF(N(AG403)&lt;0,AG403-1,-1))))</f>
        <v/>
      </c>
    </row>
    <row r="405" customFormat="false" ht="15" hidden="false" customHeight="false" outlineLevel="0" collapsed="false">
      <c r="A405" s="36" t="str">
        <f aca="false">IF(B405="","",ROW()-6)</f>
        <v/>
      </c>
      <c r="B405" s="37"/>
      <c r="C405" s="38"/>
      <c r="D405" s="38"/>
      <c r="E405" s="39"/>
      <c r="F405" s="39"/>
      <c r="G405" s="39"/>
      <c r="H405" s="40"/>
      <c r="I405" s="40"/>
      <c r="J405" s="40"/>
      <c r="K405" s="40"/>
      <c r="L405" s="39"/>
      <c r="M405" s="40"/>
      <c r="N405" s="40"/>
      <c r="O405" s="36" t="str">
        <f aca="false">IF($B405="","",INT((A405-1)/Parametros!$C$10)+1)</f>
        <v/>
      </c>
      <c r="P405" s="41" t="str">
        <f aca="false">IF($B405="","",IF(OR(C405="",D405=""),"",ROUND((D405-C405)*1440,0)))</f>
        <v/>
      </c>
      <c r="Q405" s="42" t="str">
        <f aca="false">IF($B405="","",I405*VLOOKUP(E405,Parametros!$B$18:$D$24,2,FALSE()))</f>
        <v/>
      </c>
      <c r="R405" s="42" t="str">
        <f aca="false">IF($B405="","",G405*VLOOKUP(E405,Parametros!$B$18:$D$24,3,FALSE()))</f>
        <v/>
      </c>
      <c r="S405" s="42" t="str">
        <f aca="false">IF($B405="","",Q405-R405)</f>
        <v/>
      </c>
      <c r="T405" s="43" t="str">
        <f aca="false">IF($B405="","",IF(S405&gt;0,"G","P"))</f>
        <v/>
      </c>
      <c r="U405" s="44" t="str">
        <f aca="false">IF($B405="","",S405/Parametros!$C$8)</f>
        <v/>
      </c>
      <c r="V405" s="42" t="str">
        <f aca="false">IF($B405="","",Parametros!$C$6+SUM($S$7:S405))</f>
        <v/>
      </c>
      <c r="W405" s="42" t="str">
        <f aca="false">IF($B405="","",MAX(V405,W404))</f>
        <v/>
      </c>
      <c r="X405" s="42" t="str">
        <f aca="false">IF($B405="","",V405-W405)</f>
        <v/>
      </c>
      <c r="Y405" s="45" t="str">
        <f aca="false">IF($B405="","",X405/W405)</f>
        <v/>
      </c>
      <c r="Z405" s="36" t="str">
        <f aca="false">IF($B405="","",IF(T405="G",IF(N(Z404)&gt;0,Z404+1,1),IF(N(Z404)&lt;0,Z404-1,-1)))</f>
        <v/>
      </c>
      <c r="AA405" s="46" t="str">
        <f aca="false">IF($B405="","",B405-WEEKDAY(B405,2)+1)</f>
        <v/>
      </c>
      <c r="AB405" s="47" t="str">
        <f aca="false">IF($B405="","",DATE(YEAR(B405),MONTH(B405),1))</f>
        <v/>
      </c>
      <c r="AC405" s="41" t="str">
        <f aca="false">IF($B405="","",CHOOSE(WEEKDAY(B405,2),"Lunes","Martes","Miércoles","Jueves","Viernes","Sábado","Domingo"))</f>
        <v/>
      </c>
      <c r="AD405" s="36" t="str">
        <f aca="false">IF($B405="","",HOUR(C405))</f>
        <v/>
      </c>
      <c r="AE405" s="42" t="str">
        <f aca="false">IF($B405="","",IF(O405&lt;&gt;O404,MAX(V405-S405,V405),MAX(V405,AE404)))</f>
        <v/>
      </c>
      <c r="AF405" s="42" t="str">
        <f aca="false">IF($B405="","",V405-AE405)</f>
        <v/>
      </c>
      <c r="AG405" s="36" t="str">
        <f aca="false">IF($B405="","",IF(O405&lt;&gt;O404,IF(T405="G",1,-1),IF(T405="G",IF(N(AG404)&gt;0,AG404+1,1),IF(N(AG404)&lt;0,AG404-1,-1))))</f>
        <v/>
      </c>
    </row>
    <row r="406" customFormat="false" ht="15" hidden="false" customHeight="false" outlineLevel="0" collapsed="false">
      <c r="A406" s="36" t="str">
        <f aca="false">IF(B406="","",ROW()-6)</f>
        <v/>
      </c>
      <c r="B406" s="37"/>
      <c r="C406" s="38"/>
      <c r="D406" s="38"/>
      <c r="E406" s="39"/>
      <c r="F406" s="39"/>
      <c r="G406" s="39"/>
      <c r="H406" s="40"/>
      <c r="I406" s="40"/>
      <c r="J406" s="40"/>
      <c r="K406" s="40"/>
      <c r="L406" s="39"/>
      <c r="M406" s="40"/>
      <c r="N406" s="40"/>
      <c r="O406" s="36" t="str">
        <f aca="false">IF($B406="","",INT((A406-1)/Parametros!$C$10)+1)</f>
        <v/>
      </c>
      <c r="P406" s="41" t="str">
        <f aca="false">IF($B406="","",IF(OR(C406="",D406=""),"",ROUND((D406-C406)*1440,0)))</f>
        <v/>
      </c>
      <c r="Q406" s="42" t="str">
        <f aca="false">IF($B406="","",I406*VLOOKUP(E406,Parametros!$B$18:$D$24,2,FALSE()))</f>
        <v/>
      </c>
      <c r="R406" s="42" t="str">
        <f aca="false">IF($B406="","",G406*VLOOKUP(E406,Parametros!$B$18:$D$24,3,FALSE()))</f>
        <v/>
      </c>
      <c r="S406" s="42" t="str">
        <f aca="false">IF($B406="","",Q406-R406)</f>
        <v/>
      </c>
      <c r="T406" s="43" t="str">
        <f aca="false">IF($B406="","",IF(S406&gt;0,"G","P"))</f>
        <v/>
      </c>
      <c r="U406" s="44" t="str">
        <f aca="false">IF($B406="","",S406/Parametros!$C$8)</f>
        <v/>
      </c>
      <c r="V406" s="42" t="str">
        <f aca="false">IF($B406="","",Parametros!$C$6+SUM($S$7:S406))</f>
        <v/>
      </c>
      <c r="W406" s="42" t="str">
        <f aca="false">IF($B406="","",MAX(V406,W405))</f>
        <v/>
      </c>
      <c r="X406" s="42" t="str">
        <f aca="false">IF($B406="","",V406-W406)</f>
        <v/>
      </c>
      <c r="Y406" s="45" t="str">
        <f aca="false">IF($B406="","",X406/W406)</f>
        <v/>
      </c>
      <c r="Z406" s="36" t="str">
        <f aca="false">IF($B406="","",IF(T406="G",IF(N(Z405)&gt;0,Z405+1,1),IF(N(Z405)&lt;0,Z405-1,-1)))</f>
        <v/>
      </c>
      <c r="AA406" s="46" t="str">
        <f aca="false">IF($B406="","",B406-WEEKDAY(B406,2)+1)</f>
        <v/>
      </c>
      <c r="AB406" s="47" t="str">
        <f aca="false">IF($B406="","",DATE(YEAR(B406),MONTH(B406),1))</f>
        <v/>
      </c>
      <c r="AC406" s="41" t="str">
        <f aca="false">IF($B406="","",CHOOSE(WEEKDAY(B406,2),"Lunes","Martes","Miércoles","Jueves","Viernes","Sábado","Domingo"))</f>
        <v/>
      </c>
      <c r="AD406" s="36" t="str">
        <f aca="false">IF($B406="","",HOUR(C406))</f>
        <v/>
      </c>
      <c r="AE406" s="42" t="str">
        <f aca="false">IF($B406="","",IF(O406&lt;&gt;O405,MAX(V406-S406,V406),MAX(V406,AE405)))</f>
        <v/>
      </c>
      <c r="AF406" s="42" t="str">
        <f aca="false">IF($B406="","",V406-AE406)</f>
        <v/>
      </c>
      <c r="AG406" s="36" t="str">
        <f aca="false">IF($B406="","",IF(O406&lt;&gt;O405,IF(T406="G",1,-1),IF(T406="G",IF(N(AG405)&gt;0,AG405+1,1),IF(N(AG405)&lt;0,AG405-1,-1))))</f>
        <v/>
      </c>
    </row>
    <row r="407" customFormat="false" ht="15" hidden="false" customHeight="false" outlineLevel="0" collapsed="false">
      <c r="A407" s="36" t="str">
        <f aca="false">IF(B407="","",ROW()-6)</f>
        <v/>
      </c>
      <c r="B407" s="37"/>
      <c r="C407" s="38"/>
      <c r="D407" s="38"/>
      <c r="E407" s="39"/>
      <c r="F407" s="39"/>
      <c r="G407" s="39"/>
      <c r="H407" s="40"/>
      <c r="I407" s="40"/>
      <c r="J407" s="40"/>
      <c r="K407" s="40"/>
      <c r="L407" s="39"/>
      <c r="M407" s="40"/>
      <c r="N407" s="40"/>
      <c r="O407" s="36" t="str">
        <f aca="false">IF($B407="","",INT((A407-1)/Parametros!$C$10)+1)</f>
        <v/>
      </c>
      <c r="P407" s="41" t="str">
        <f aca="false">IF($B407="","",IF(OR(C407="",D407=""),"",ROUND((D407-C407)*1440,0)))</f>
        <v/>
      </c>
      <c r="Q407" s="42" t="str">
        <f aca="false">IF($B407="","",I407*VLOOKUP(E407,Parametros!$B$18:$D$24,2,FALSE()))</f>
        <v/>
      </c>
      <c r="R407" s="42" t="str">
        <f aca="false">IF($B407="","",G407*VLOOKUP(E407,Parametros!$B$18:$D$24,3,FALSE()))</f>
        <v/>
      </c>
      <c r="S407" s="42" t="str">
        <f aca="false">IF($B407="","",Q407-R407)</f>
        <v/>
      </c>
      <c r="T407" s="43" t="str">
        <f aca="false">IF($B407="","",IF(S407&gt;0,"G","P"))</f>
        <v/>
      </c>
      <c r="U407" s="44" t="str">
        <f aca="false">IF($B407="","",S407/Parametros!$C$8)</f>
        <v/>
      </c>
      <c r="V407" s="42" t="str">
        <f aca="false">IF($B407="","",Parametros!$C$6+SUM($S$7:S407))</f>
        <v/>
      </c>
      <c r="W407" s="42" t="str">
        <f aca="false">IF($B407="","",MAX(V407,W406))</f>
        <v/>
      </c>
      <c r="X407" s="42" t="str">
        <f aca="false">IF($B407="","",V407-W407)</f>
        <v/>
      </c>
      <c r="Y407" s="45" t="str">
        <f aca="false">IF($B407="","",X407/W407)</f>
        <v/>
      </c>
      <c r="Z407" s="36" t="str">
        <f aca="false">IF($B407="","",IF(T407="G",IF(N(Z406)&gt;0,Z406+1,1),IF(N(Z406)&lt;0,Z406-1,-1)))</f>
        <v/>
      </c>
      <c r="AA407" s="46" t="str">
        <f aca="false">IF($B407="","",B407-WEEKDAY(B407,2)+1)</f>
        <v/>
      </c>
      <c r="AB407" s="47" t="str">
        <f aca="false">IF($B407="","",DATE(YEAR(B407),MONTH(B407),1))</f>
        <v/>
      </c>
      <c r="AC407" s="41" t="str">
        <f aca="false">IF($B407="","",CHOOSE(WEEKDAY(B407,2),"Lunes","Martes","Miércoles","Jueves","Viernes","Sábado","Domingo"))</f>
        <v/>
      </c>
      <c r="AD407" s="36" t="str">
        <f aca="false">IF($B407="","",HOUR(C407))</f>
        <v/>
      </c>
      <c r="AE407" s="42" t="str">
        <f aca="false">IF($B407="","",IF(O407&lt;&gt;O406,MAX(V407-S407,V407),MAX(V407,AE406)))</f>
        <v/>
      </c>
      <c r="AF407" s="42" t="str">
        <f aca="false">IF($B407="","",V407-AE407)</f>
        <v/>
      </c>
      <c r="AG407" s="36" t="str">
        <f aca="false">IF($B407="","",IF(O407&lt;&gt;O406,IF(T407="G",1,-1),IF(T407="G",IF(N(AG406)&gt;0,AG406+1,1),IF(N(AG406)&lt;0,AG406-1,-1))))</f>
        <v/>
      </c>
    </row>
    <row r="408" customFormat="false" ht="15" hidden="false" customHeight="false" outlineLevel="0" collapsed="false">
      <c r="A408" s="36" t="str">
        <f aca="false">IF(B408="","",ROW()-6)</f>
        <v/>
      </c>
      <c r="B408" s="37"/>
      <c r="C408" s="38"/>
      <c r="D408" s="38"/>
      <c r="E408" s="39"/>
      <c r="F408" s="39"/>
      <c r="G408" s="39"/>
      <c r="H408" s="40"/>
      <c r="I408" s="40"/>
      <c r="J408" s="40"/>
      <c r="K408" s="40"/>
      <c r="L408" s="39"/>
      <c r="M408" s="40"/>
      <c r="N408" s="40"/>
      <c r="O408" s="36" t="str">
        <f aca="false">IF($B408="","",INT((A408-1)/Parametros!$C$10)+1)</f>
        <v/>
      </c>
      <c r="P408" s="41" t="str">
        <f aca="false">IF($B408="","",IF(OR(C408="",D408=""),"",ROUND((D408-C408)*1440,0)))</f>
        <v/>
      </c>
      <c r="Q408" s="42" t="str">
        <f aca="false">IF($B408="","",I408*VLOOKUP(E408,Parametros!$B$18:$D$24,2,FALSE()))</f>
        <v/>
      </c>
      <c r="R408" s="42" t="str">
        <f aca="false">IF($B408="","",G408*VLOOKUP(E408,Parametros!$B$18:$D$24,3,FALSE()))</f>
        <v/>
      </c>
      <c r="S408" s="42" t="str">
        <f aca="false">IF($B408="","",Q408-R408)</f>
        <v/>
      </c>
      <c r="T408" s="43" t="str">
        <f aca="false">IF($B408="","",IF(S408&gt;0,"G","P"))</f>
        <v/>
      </c>
      <c r="U408" s="44" t="str">
        <f aca="false">IF($B408="","",S408/Parametros!$C$8)</f>
        <v/>
      </c>
      <c r="V408" s="42" t="str">
        <f aca="false">IF($B408="","",Parametros!$C$6+SUM($S$7:S408))</f>
        <v/>
      </c>
      <c r="W408" s="42" t="str">
        <f aca="false">IF($B408="","",MAX(V408,W407))</f>
        <v/>
      </c>
      <c r="X408" s="42" t="str">
        <f aca="false">IF($B408="","",V408-W408)</f>
        <v/>
      </c>
      <c r="Y408" s="45" t="str">
        <f aca="false">IF($B408="","",X408/W408)</f>
        <v/>
      </c>
      <c r="Z408" s="36" t="str">
        <f aca="false">IF($B408="","",IF(T408="G",IF(N(Z407)&gt;0,Z407+1,1),IF(N(Z407)&lt;0,Z407-1,-1)))</f>
        <v/>
      </c>
      <c r="AA408" s="46" t="str">
        <f aca="false">IF($B408="","",B408-WEEKDAY(B408,2)+1)</f>
        <v/>
      </c>
      <c r="AB408" s="47" t="str">
        <f aca="false">IF($B408="","",DATE(YEAR(B408),MONTH(B408),1))</f>
        <v/>
      </c>
      <c r="AC408" s="41" t="str">
        <f aca="false">IF($B408="","",CHOOSE(WEEKDAY(B408,2),"Lunes","Martes","Miércoles","Jueves","Viernes","Sábado","Domingo"))</f>
        <v/>
      </c>
      <c r="AD408" s="36" t="str">
        <f aca="false">IF($B408="","",HOUR(C408))</f>
        <v/>
      </c>
      <c r="AE408" s="42" t="str">
        <f aca="false">IF($B408="","",IF(O408&lt;&gt;O407,MAX(V408-S408,V408),MAX(V408,AE407)))</f>
        <v/>
      </c>
      <c r="AF408" s="42" t="str">
        <f aca="false">IF($B408="","",V408-AE408)</f>
        <v/>
      </c>
      <c r="AG408" s="36" t="str">
        <f aca="false">IF($B408="","",IF(O408&lt;&gt;O407,IF(T408="G",1,-1),IF(T408="G",IF(N(AG407)&gt;0,AG407+1,1),IF(N(AG407)&lt;0,AG407-1,-1))))</f>
        <v/>
      </c>
    </row>
    <row r="409" customFormat="false" ht="15" hidden="false" customHeight="false" outlineLevel="0" collapsed="false">
      <c r="A409" s="36" t="str">
        <f aca="false">IF(B409="","",ROW()-6)</f>
        <v/>
      </c>
      <c r="B409" s="37"/>
      <c r="C409" s="38"/>
      <c r="D409" s="38"/>
      <c r="E409" s="39"/>
      <c r="F409" s="39"/>
      <c r="G409" s="39"/>
      <c r="H409" s="40"/>
      <c r="I409" s="40"/>
      <c r="J409" s="40"/>
      <c r="K409" s="40"/>
      <c r="L409" s="39"/>
      <c r="M409" s="40"/>
      <c r="N409" s="40"/>
      <c r="O409" s="36" t="str">
        <f aca="false">IF($B409="","",INT((A409-1)/Parametros!$C$10)+1)</f>
        <v/>
      </c>
      <c r="P409" s="41" t="str">
        <f aca="false">IF($B409="","",IF(OR(C409="",D409=""),"",ROUND((D409-C409)*1440,0)))</f>
        <v/>
      </c>
      <c r="Q409" s="42" t="str">
        <f aca="false">IF($B409="","",I409*VLOOKUP(E409,Parametros!$B$18:$D$24,2,FALSE()))</f>
        <v/>
      </c>
      <c r="R409" s="42" t="str">
        <f aca="false">IF($B409="","",G409*VLOOKUP(E409,Parametros!$B$18:$D$24,3,FALSE()))</f>
        <v/>
      </c>
      <c r="S409" s="42" t="str">
        <f aca="false">IF($B409="","",Q409-R409)</f>
        <v/>
      </c>
      <c r="T409" s="43" t="str">
        <f aca="false">IF($B409="","",IF(S409&gt;0,"G","P"))</f>
        <v/>
      </c>
      <c r="U409" s="44" t="str">
        <f aca="false">IF($B409="","",S409/Parametros!$C$8)</f>
        <v/>
      </c>
      <c r="V409" s="42" t="str">
        <f aca="false">IF($B409="","",Parametros!$C$6+SUM($S$7:S409))</f>
        <v/>
      </c>
      <c r="W409" s="42" t="str">
        <f aca="false">IF($B409="","",MAX(V409,W408))</f>
        <v/>
      </c>
      <c r="X409" s="42" t="str">
        <f aca="false">IF($B409="","",V409-W409)</f>
        <v/>
      </c>
      <c r="Y409" s="45" t="str">
        <f aca="false">IF($B409="","",X409/W409)</f>
        <v/>
      </c>
      <c r="Z409" s="36" t="str">
        <f aca="false">IF($B409="","",IF(T409="G",IF(N(Z408)&gt;0,Z408+1,1),IF(N(Z408)&lt;0,Z408-1,-1)))</f>
        <v/>
      </c>
      <c r="AA409" s="46" t="str">
        <f aca="false">IF($B409="","",B409-WEEKDAY(B409,2)+1)</f>
        <v/>
      </c>
      <c r="AB409" s="47" t="str">
        <f aca="false">IF($B409="","",DATE(YEAR(B409),MONTH(B409),1))</f>
        <v/>
      </c>
      <c r="AC409" s="41" t="str">
        <f aca="false">IF($B409="","",CHOOSE(WEEKDAY(B409,2),"Lunes","Martes","Miércoles","Jueves","Viernes","Sábado","Domingo"))</f>
        <v/>
      </c>
      <c r="AD409" s="36" t="str">
        <f aca="false">IF($B409="","",HOUR(C409))</f>
        <v/>
      </c>
      <c r="AE409" s="42" t="str">
        <f aca="false">IF($B409="","",IF(O409&lt;&gt;O408,MAX(V409-S409,V409),MAX(V409,AE408)))</f>
        <v/>
      </c>
      <c r="AF409" s="42" t="str">
        <f aca="false">IF($B409="","",V409-AE409)</f>
        <v/>
      </c>
      <c r="AG409" s="36" t="str">
        <f aca="false">IF($B409="","",IF(O409&lt;&gt;O408,IF(T409="G",1,-1),IF(T409="G",IF(N(AG408)&gt;0,AG408+1,1),IF(N(AG408)&lt;0,AG408-1,-1))))</f>
        <v/>
      </c>
    </row>
    <row r="410" customFormat="false" ht="15" hidden="false" customHeight="false" outlineLevel="0" collapsed="false">
      <c r="A410" s="36" t="str">
        <f aca="false">IF(B410="","",ROW()-6)</f>
        <v/>
      </c>
      <c r="B410" s="37"/>
      <c r="C410" s="38"/>
      <c r="D410" s="38"/>
      <c r="E410" s="39"/>
      <c r="F410" s="39"/>
      <c r="G410" s="39"/>
      <c r="H410" s="40"/>
      <c r="I410" s="40"/>
      <c r="J410" s="40"/>
      <c r="K410" s="40"/>
      <c r="L410" s="39"/>
      <c r="M410" s="40"/>
      <c r="N410" s="40"/>
      <c r="O410" s="36" t="str">
        <f aca="false">IF($B410="","",INT((A410-1)/Parametros!$C$10)+1)</f>
        <v/>
      </c>
      <c r="P410" s="41" t="str">
        <f aca="false">IF($B410="","",IF(OR(C410="",D410=""),"",ROUND((D410-C410)*1440,0)))</f>
        <v/>
      </c>
      <c r="Q410" s="42" t="str">
        <f aca="false">IF($B410="","",I410*VLOOKUP(E410,Parametros!$B$18:$D$24,2,FALSE()))</f>
        <v/>
      </c>
      <c r="R410" s="42" t="str">
        <f aca="false">IF($B410="","",G410*VLOOKUP(E410,Parametros!$B$18:$D$24,3,FALSE()))</f>
        <v/>
      </c>
      <c r="S410" s="42" t="str">
        <f aca="false">IF($B410="","",Q410-R410)</f>
        <v/>
      </c>
      <c r="T410" s="43" t="str">
        <f aca="false">IF($B410="","",IF(S410&gt;0,"G","P"))</f>
        <v/>
      </c>
      <c r="U410" s="44" t="str">
        <f aca="false">IF($B410="","",S410/Parametros!$C$8)</f>
        <v/>
      </c>
      <c r="V410" s="42" t="str">
        <f aca="false">IF($B410="","",Parametros!$C$6+SUM($S$7:S410))</f>
        <v/>
      </c>
      <c r="W410" s="42" t="str">
        <f aca="false">IF($B410="","",MAX(V410,W409))</f>
        <v/>
      </c>
      <c r="X410" s="42" t="str">
        <f aca="false">IF($B410="","",V410-W410)</f>
        <v/>
      </c>
      <c r="Y410" s="45" t="str">
        <f aca="false">IF($B410="","",X410/W410)</f>
        <v/>
      </c>
      <c r="Z410" s="36" t="str">
        <f aca="false">IF($B410="","",IF(T410="G",IF(N(Z409)&gt;0,Z409+1,1),IF(N(Z409)&lt;0,Z409-1,-1)))</f>
        <v/>
      </c>
      <c r="AA410" s="46" t="str">
        <f aca="false">IF($B410="","",B410-WEEKDAY(B410,2)+1)</f>
        <v/>
      </c>
      <c r="AB410" s="47" t="str">
        <f aca="false">IF($B410="","",DATE(YEAR(B410),MONTH(B410),1))</f>
        <v/>
      </c>
      <c r="AC410" s="41" t="str">
        <f aca="false">IF($B410="","",CHOOSE(WEEKDAY(B410,2),"Lunes","Martes","Miércoles","Jueves","Viernes","Sábado","Domingo"))</f>
        <v/>
      </c>
      <c r="AD410" s="36" t="str">
        <f aca="false">IF($B410="","",HOUR(C410))</f>
        <v/>
      </c>
      <c r="AE410" s="42" t="str">
        <f aca="false">IF($B410="","",IF(O410&lt;&gt;O409,MAX(V410-S410,V410),MAX(V410,AE409)))</f>
        <v/>
      </c>
      <c r="AF410" s="42" t="str">
        <f aca="false">IF($B410="","",V410-AE410)</f>
        <v/>
      </c>
      <c r="AG410" s="36" t="str">
        <f aca="false">IF($B410="","",IF(O410&lt;&gt;O409,IF(T410="G",1,-1),IF(T410="G",IF(N(AG409)&gt;0,AG409+1,1),IF(N(AG409)&lt;0,AG409-1,-1))))</f>
        <v/>
      </c>
    </row>
    <row r="411" customFormat="false" ht="15" hidden="false" customHeight="false" outlineLevel="0" collapsed="false">
      <c r="A411" s="36" t="str">
        <f aca="false">IF(B411="","",ROW()-6)</f>
        <v/>
      </c>
      <c r="B411" s="37"/>
      <c r="C411" s="38"/>
      <c r="D411" s="38"/>
      <c r="E411" s="39"/>
      <c r="F411" s="39"/>
      <c r="G411" s="39"/>
      <c r="H411" s="40"/>
      <c r="I411" s="40"/>
      <c r="J411" s="40"/>
      <c r="K411" s="40"/>
      <c r="L411" s="39"/>
      <c r="M411" s="40"/>
      <c r="N411" s="40"/>
      <c r="O411" s="36" t="str">
        <f aca="false">IF($B411="","",INT((A411-1)/Parametros!$C$10)+1)</f>
        <v/>
      </c>
      <c r="P411" s="41" t="str">
        <f aca="false">IF($B411="","",IF(OR(C411="",D411=""),"",ROUND((D411-C411)*1440,0)))</f>
        <v/>
      </c>
      <c r="Q411" s="42" t="str">
        <f aca="false">IF($B411="","",I411*VLOOKUP(E411,Parametros!$B$18:$D$24,2,FALSE()))</f>
        <v/>
      </c>
      <c r="R411" s="42" t="str">
        <f aca="false">IF($B411="","",G411*VLOOKUP(E411,Parametros!$B$18:$D$24,3,FALSE()))</f>
        <v/>
      </c>
      <c r="S411" s="42" t="str">
        <f aca="false">IF($B411="","",Q411-R411)</f>
        <v/>
      </c>
      <c r="T411" s="43" t="str">
        <f aca="false">IF($B411="","",IF(S411&gt;0,"G","P"))</f>
        <v/>
      </c>
      <c r="U411" s="44" t="str">
        <f aca="false">IF($B411="","",S411/Parametros!$C$8)</f>
        <v/>
      </c>
      <c r="V411" s="42" t="str">
        <f aca="false">IF($B411="","",Parametros!$C$6+SUM($S$7:S411))</f>
        <v/>
      </c>
      <c r="W411" s="42" t="str">
        <f aca="false">IF($B411="","",MAX(V411,W410))</f>
        <v/>
      </c>
      <c r="X411" s="42" t="str">
        <f aca="false">IF($B411="","",V411-W411)</f>
        <v/>
      </c>
      <c r="Y411" s="45" t="str">
        <f aca="false">IF($B411="","",X411/W411)</f>
        <v/>
      </c>
      <c r="Z411" s="36" t="str">
        <f aca="false">IF($B411="","",IF(T411="G",IF(N(Z410)&gt;0,Z410+1,1),IF(N(Z410)&lt;0,Z410-1,-1)))</f>
        <v/>
      </c>
      <c r="AA411" s="46" t="str">
        <f aca="false">IF($B411="","",B411-WEEKDAY(B411,2)+1)</f>
        <v/>
      </c>
      <c r="AB411" s="47" t="str">
        <f aca="false">IF($B411="","",DATE(YEAR(B411),MONTH(B411),1))</f>
        <v/>
      </c>
      <c r="AC411" s="41" t="str">
        <f aca="false">IF($B411="","",CHOOSE(WEEKDAY(B411,2),"Lunes","Martes","Miércoles","Jueves","Viernes","Sábado","Domingo"))</f>
        <v/>
      </c>
      <c r="AD411" s="36" t="str">
        <f aca="false">IF($B411="","",HOUR(C411))</f>
        <v/>
      </c>
      <c r="AE411" s="42" t="str">
        <f aca="false">IF($B411="","",IF(O411&lt;&gt;O410,MAX(V411-S411,V411),MAX(V411,AE410)))</f>
        <v/>
      </c>
      <c r="AF411" s="42" t="str">
        <f aca="false">IF($B411="","",V411-AE411)</f>
        <v/>
      </c>
      <c r="AG411" s="36" t="str">
        <f aca="false">IF($B411="","",IF(O411&lt;&gt;O410,IF(T411="G",1,-1),IF(T411="G",IF(N(AG410)&gt;0,AG410+1,1),IF(N(AG410)&lt;0,AG410-1,-1))))</f>
        <v/>
      </c>
    </row>
    <row r="412" customFormat="false" ht="15" hidden="false" customHeight="false" outlineLevel="0" collapsed="false">
      <c r="A412" s="36" t="str">
        <f aca="false">IF(B412="","",ROW()-6)</f>
        <v/>
      </c>
      <c r="B412" s="37"/>
      <c r="C412" s="38"/>
      <c r="D412" s="38"/>
      <c r="E412" s="39"/>
      <c r="F412" s="39"/>
      <c r="G412" s="39"/>
      <c r="H412" s="40"/>
      <c r="I412" s="40"/>
      <c r="J412" s="40"/>
      <c r="K412" s="40"/>
      <c r="L412" s="39"/>
      <c r="M412" s="40"/>
      <c r="N412" s="40"/>
      <c r="O412" s="36" t="str">
        <f aca="false">IF($B412="","",INT((A412-1)/Parametros!$C$10)+1)</f>
        <v/>
      </c>
      <c r="P412" s="41" t="str">
        <f aca="false">IF($B412="","",IF(OR(C412="",D412=""),"",ROUND((D412-C412)*1440,0)))</f>
        <v/>
      </c>
      <c r="Q412" s="42" t="str">
        <f aca="false">IF($B412="","",I412*VLOOKUP(E412,Parametros!$B$18:$D$24,2,FALSE()))</f>
        <v/>
      </c>
      <c r="R412" s="42" t="str">
        <f aca="false">IF($B412="","",G412*VLOOKUP(E412,Parametros!$B$18:$D$24,3,FALSE()))</f>
        <v/>
      </c>
      <c r="S412" s="42" t="str">
        <f aca="false">IF($B412="","",Q412-R412)</f>
        <v/>
      </c>
      <c r="T412" s="43" t="str">
        <f aca="false">IF($B412="","",IF(S412&gt;0,"G","P"))</f>
        <v/>
      </c>
      <c r="U412" s="44" t="str">
        <f aca="false">IF($B412="","",S412/Parametros!$C$8)</f>
        <v/>
      </c>
      <c r="V412" s="42" t="str">
        <f aca="false">IF($B412="","",Parametros!$C$6+SUM($S$7:S412))</f>
        <v/>
      </c>
      <c r="W412" s="42" t="str">
        <f aca="false">IF($B412="","",MAX(V412,W411))</f>
        <v/>
      </c>
      <c r="X412" s="42" t="str">
        <f aca="false">IF($B412="","",V412-W412)</f>
        <v/>
      </c>
      <c r="Y412" s="45" t="str">
        <f aca="false">IF($B412="","",X412/W412)</f>
        <v/>
      </c>
      <c r="Z412" s="36" t="str">
        <f aca="false">IF($B412="","",IF(T412="G",IF(N(Z411)&gt;0,Z411+1,1),IF(N(Z411)&lt;0,Z411-1,-1)))</f>
        <v/>
      </c>
      <c r="AA412" s="46" t="str">
        <f aca="false">IF($B412="","",B412-WEEKDAY(B412,2)+1)</f>
        <v/>
      </c>
      <c r="AB412" s="47" t="str">
        <f aca="false">IF($B412="","",DATE(YEAR(B412),MONTH(B412),1))</f>
        <v/>
      </c>
      <c r="AC412" s="41" t="str">
        <f aca="false">IF($B412="","",CHOOSE(WEEKDAY(B412,2),"Lunes","Martes","Miércoles","Jueves","Viernes","Sábado","Domingo"))</f>
        <v/>
      </c>
      <c r="AD412" s="36" t="str">
        <f aca="false">IF($B412="","",HOUR(C412))</f>
        <v/>
      </c>
      <c r="AE412" s="42" t="str">
        <f aca="false">IF($B412="","",IF(O412&lt;&gt;O411,MAX(V412-S412,V412),MAX(V412,AE411)))</f>
        <v/>
      </c>
      <c r="AF412" s="42" t="str">
        <f aca="false">IF($B412="","",V412-AE412)</f>
        <v/>
      </c>
      <c r="AG412" s="36" t="str">
        <f aca="false">IF($B412="","",IF(O412&lt;&gt;O411,IF(T412="G",1,-1),IF(T412="G",IF(N(AG411)&gt;0,AG411+1,1),IF(N(AG411)&lt;0,AG411-1,-1))))</f>
        <v/>
      </c>
    </row>
    <row r="413" customFormat="false" ht="15" hidden="false" customHeight="false" outlineLevel="0" collapsed="false">
      <c r="A413" s="36" t="str">
        <f aca="false">IF(B413="","",ROW()-6)</f>
        <v/>
      </c>
      <c r="B413" s="37"/>
      <c r="C413" s="38"/>
      <c r="D413" s="38"/>
      <c r="E413" s="39"/>
      <c r="F413" s="39"/>
      <c r="G413" s="39"/>
      <c r="H413" s="40"/>
      <c r="I413" s="40"/>
      <c r="J413" s="40"/>
      <c r="K413" s="40"/>
      <c r="L413" s="39"/>
      <c r="M413" s="40"/>
      <c r="N413" s="40"/>
      <c r="O413" s="36" t="str">
        <f aca="false">IF($B413="","",INT((A413-1)/Parametros!$C$10)+1)</f>
        <v/>
      </c>
      <c r="P413" s="41" t="str">
        <f aca="false">IF($B413="","",IF(OR(C413="",D413=""),"",ROUND((D413-C413)*1440,0)))</f>
        <v/>
      </c>
      <c r="Q413" s="42" t="str">
        <f aca="false">IF($B413="","",I413*VLOOKUP(E413,Parametros!$B$18:$D$24,2,FALSE()))</f>
        <v/>
      </c>
      <c r="R413" s="42" t="str">
        <f aca="false">IF($B413="","",G413*VLOOKUP(E413,Parametros!$B$18:$D$24,3,FALSE()))</f>
        <v/>
      </c>
      <c r="S413" s="42" t="str">
        <f aca="false">IF($B413="","",Q413-R413)</f>
        <v/>
      </c>
      <c r="T413" s="43" t="str">
        <f aca="false">IF($B413="","",IF(S413&gt;0,"G","P"))</f>
        <v/>
      </c>
      <c r="U413" s="44" t="str">
        <f aca="false">IF($B413="","",S413/Parametros!$C$8)</f>
        <v/>
      </c>
      <c r="V413" s="42" t="str">
        <f aca="false">IF($B413="","",Parametros!$C$6+SUM($S$7:S413))</f>
        <v/>
      </c>
      <c r="W413" s="42" t="str">
        <f aca="false">IF($B413="","",MAX(V413,W412))</f>
        <v/>
      </c>
      <c r="X413" s="42" t="str">
        <f aca="false">IF($B413="","",V413-W413)</f>
        <v/>
      </c>
      <c r="Y413" s="45" t="str">
        <f aca="false">IF($B413="","",X413/W413)</f>
        <v/>
      </c>
      <c r="Z413" s="36" t="str">
        <f aca="false">IF($B413="","",IF(T413="G",IF(N(Z412)&gt;0,Z412+1,1),IF(N(Z412)&lt;0,Z412-1,-1)))</f>
        <v/>
      </c>
      <c r="AA413" s="46" t="str">
        <f aca="false">IF($B413="","",B413-WEEKDAY(B413,2)+1)</f>
        <v/>
      </c>
      <c r="AB413" s="47" t="str">
        <f aca="false">IF($B413="","",DATE(YEAR(B413),MONTH(B413),1))</f>
        <v/>
      </c>
      <c r="AC413" s="41" t="str">
        <f aca="false">IF($B413="","",CHOOSE(WEEKDAY(B413,2),"Lunes","Martes","Miércoles","Jueves","Viernes","Sábado","Domingo"))</f>
        <v/>
      </c>
      <c r="AD413" s="36" t="str">
        <f aca="false">IF($B413="","",HOUR(C413))</f>
        <v/>
      </c>
      <c r="AE413" s="42" t="str">
        <f aca="false">IF($B413="","",IF(O413&lt;&gt;O412,MAX(V413-S413,V413),MAX(V413,AE412)))</f>
        <v/>
      </c>
      <c r="AF413" s="42" t="str">
        <f aca="false">IF($B413="","",V413-AE413)</f>
        <v/>
      </c>
      <c r="AG413" s="36" t="str">
        <f aca="false">IF($B413="","",IF(O413&lt;&gt;O412,IF(T413="G",1,-1),IF(T413="G",IF(N(AG412)&gt;0,AG412+1,1),IF(N(AG412)&lt;0,AG412-1,-1))))</f>
        <v/>
      </c>
    </row>
    <row r="414" customFormat="false" ht="15" hidden="false" customHeight="false" outlineLevel="0" collapsed="false">
      <c r="A414" s="36" t="str">
        <f aca="false">IF(B414="","",ROW()-6)</f>
        <v/>
      </c>
      <c r="B414" s="37"/>
      <c r="C414" s="38"/>
      <c r="D414" s="38"/>
      <c r="E414" s="39"/>
      <c r="F414" s="39"/>
      <c r="G414" s="39"/>
      <c r="H414" s="40"/>
      <c r="I414" s="40"/>
      <c r="J414" s="40"/>
      <c r="K414" s="40"/>
      <c r="L414" s="39"/>
      <c r="M414" s="40"/>
      <c r="N414" s="40"/>
      <c r="O414" s="36" t="str">
        <f aca="false">IF($B414="","",INT((A414-1)/Parametros!$C$10)+1)</f>
        <v/>
      </c>
      <c r="P414" s="41" t="str">
        <f aca="false">IF($B414="","",IF(OR(C414="",D414=""),"",ROUND((D414-C414)*1440,0)))</f>
        <v/>
      </c>
      <c r="Q414" s="42" t="str">
        <f aca="false">IF($B414="","",I414*VLOOKUP(E414,Parametros!$B$18:$D$24,2,FALSE()))</f>
        <v/>
      </c>
      <c r="R414" s="42" t="str">
        <f aca="false">IF($B414="","",G414*VLOOKUP(E414,Parametros!$B$18:$D$24,3,FALSE()))</f>
        <v/>
      </c>
      <c r="S414" s="42" t="str">
        <f aca="false">IF($B414="","",Q414-R414)</f>
        <v/>
      </c>
      <c r="T414" s="43" t="str">
        <f aca="false">IF($B414="","",IF(S414&gt;0,"G","P"))</f>
        <v/>
      </c>
      <c r="U414" s="44" t="str">
        <f aca="false">IF($B414="","",S414/Parametros!$C$8)</f>
        <v/>
      </c>
      <c r="V414" s="42" t="str">
        <f aca="false">IF($B414="","",Parametros!$C$6+SUM($S$7:S414))</f>
        <v/>
      </c>
      <c r="W414" s="42" t="str">
        <f aca="false">IF($B414="","",MAX(V414,W413))</f>
        <v/>
      </c>
      <c r="X414" s="42" t="str">
        <f aca="false">IF($B414="","",V414-W414)</f>
        <v/>
      </c>
      <c r="Y414" s="45" t="str">
        <f aca="false">IF($B414="","",X414/W414)</f>
        <v/>
      </c>
      <c r="Z414" s="36" t="str">
        <f aca="false">IF($B414="","",IF(T414="G",IF(N(Z413)&gt;0,Z413+1,1),IF(N(Z413)&lt;0,Z413-1,-1)))</f>
        <v/>
      </c>
      <c r="AA414" s="46" t="str">
        <f aca="false">IF($B414="","",B414-WEEKDAY(B414,2)+1)</f>
        <v/>
      </c>
      <c r="AB414" s="47" t="str">
        <f aca="false">IF($B414="","",DATE(YEAR(B414),MONTH(B414),1))</f>
        <v/>
      </c>
      <c r="AC414" s="41" t="str">
        <f aca="false">IF($B414="","",CHOOSE(WEEKDAY(B414,2),"Lunes","Martes","Miércoles","Jueves","Viernes","Sábado","Domingo"))</f>
        <v/>
      </c>
      <c r="AD414" s="36" t="str">
        <f aca="false">IF($B414="","",HOUR(C414))</f>
        <v/>
      </c>
      <c r="AE414" s="42" t="str">
        <f aca="false">IF($B414="","",IF(O414&lt;&gt;O413,MAX(V414-S414,V414),MAX(V414,AE413)))</f>
        <v/>
      </c>
      <c r="AF414" s="42" t="str">
        <f aca="false">IF($B414="","",V414-AE414)</f>
        <v/>
      </c>
      <c r="AG414" s="36" t="str">
        <f aca="false">IF($B414="","",IF(O414&lt;&gt;O413,IF(T414="G",1,-1),IF(T414="G",IF(N(AG413)&gt;0,AG413+1,1),IF(N(AG413)&lt;0,AG413-1,-1))))</f>
        <v/>
      </c>
    </row>
    <row r="415" customFormat="false" ht="15" hidden="false" customHeight="false" outlineLevel="0" collapsed="false">
      <c r="A415" s="36" t="str">
        <f aca="false">IF(B415="","",ROW()-6)</f>
        <v/>
      </c>
      <c r="B415" s="37"/>
      <c r="C415" s="38"/>
      <c r="D415" s="38"/>
      <c r="E415" s="39"/>
      <c r="F415" s="39"/>
      <c r="G415" s="39"/>
      <c r="H415" s="40"/>
      <c r="I415" s="40"/>
      <c r="J415" s="40"/>
      <c r="K415" s="40"/>
      <c r="L415" s="39"/>
      <c r="M415" s="40"/>
      <c r="N415" s="40"/>
      <c r="O415" s="36" t="str">
        <f aca="false">IF($B415="","",INT((A415-1)/Parametros!$C$10)+1)</f>
        <v/>
      </c>
      <c r="P415" s="41" t="str">
        <f aca="false">IF($B415="","",IF(OR(C415="",D415=""),"",ROUND((D415-C415)*1440,0)))</f>
        <v/>
      </c>
      <c r="Q415" s="42" t="str">
        <f aca="false">IF($B415="","",I415*VLOOKUP(E415,Parametros!$B$18:$D$24,2,FALSE()))</f>
        <v/>
      </c>
      <c r="R415" s="42" t="str">
        <f aca="false">IF($B415="","",G415*VLOOKUP(E415,Parametros!$B$18:$D$24,3,FALSE()))</f>
        <v/>
      </c>
      <c r="S415" s="42" t="str">
        <f aca="false">IF($B415="","",Q415-R415)</f>
        <v/>
      </c>
      <c r="T415" s="43" t="str">
        <f aca="false">IF($B415="","",IF(S415&gt;0,"G","P"))</f>
        <v/>
      </c>
      <c r="U415" s="44" t="str">
        <f aca="false">IF($B415="","",S415/Parametros!$C$8)</f>
        <v/>
      </c>
      <c r="V415" s="42" t="str">
        <f aca="false">IF($B415="","",Parametros!$C$6+SUM($S$7:S415))</f>
        <v/>
      </c>
      <c r="W415" s="42" t="str">
        <f aca="false">IF($B415="","",MAX(V415,W414))</f>
        <v/>
      </c>
      <c r="X415" s="42" t="str">
        <f aca="false">IF($B415="","",V415-W415)</f>
        <v/>
      </c>
      <c r="Y415" s="45" t="str">
        <f aca="false">IF($B415="","",X415/W415)</f>
        <v/>
      </c>
      <c r="Z415" s="36" t="str">
        <f aca="false">IF($B415="","",IF(T415="G",IF(N(Z414)&gt;0,Z414+1,1),IF(N(Z414)&lt;0,Z414-1,-1)))</f>
        <v/>
      </c>
      <c r="AA415" s="46" t="str">
        <f aca="false">IF($B415="","",B415-WEEKDAY(B415,2)+1)</f>
        <v/>
      </c>
      <c r="AB415" s="47" t="str">
        <f aca="false">IF($B415="","",DATE(YEAR(B415),MONTH(B415),1))</f>
        <v/>
      </c>
      <c r="AC415" s="41" t="str">
        <f aca="false">IF($B415="","",CHOOSE(WEEKDAY(B415,2),"Lunes","Martes","Miércoles","Jueves","Viernes","Sábado","Domingo"))</f>
        <v/>
      </c>
      <c r="AD415" s="36" t="str">
        <f aca="false">IF($B415="","",HOUR(C415))</f>
        <v/>
      </c>
      <c r="AE415" s="42" t="str">
        <f aca="false">IF($B415="","",IF(O415&lt;&gt;O414,MAX(V415-S415,V415),MAX(V415,AE414)))</f>
        <v/>
      </c>
      <c r="AF415" s="42" t="str">
        <f aca="false">IF($B415="","",V415-AE415)</f>
        <v/>
      </c>
      <c r="AG415" s="36" t="str">
        <f aca="false">IF($B415="","",IF(O415&lt;&gt;O414,IF(T415="G",1,-1),IF(T415="G",IF(N(AG414)&gt;0,AG414+1,1),IF(N(AG414)&lt;0,AG414-1,-1))))</f>
        <v/>
      </c>
    </row>
    <row r="416" customFormat="false" ht="15" hidden="false" customHeight="false" outlineLevel="0" collapsed="false">
      <c r="A416" s="36" t="str">
        <f aca="false">IF(B416="","",ROW()-6)</f>
        <v/>
      </c>
      <c r="B416" s="37"/>
      <c r="C416" s="38"/>
      <c r="D416" s="38"/>
      <c r="E416" s="39"/>
      <c r="F416" s="39"/>
      <c r="G416" s="39"/>
      <c r="H416" s="40"/>
      <c r="I416" s="40"/>
      <c r="J416" s="40"/>
      <c r="K416" s="40"/>
      <c r="L416" s="39"/>
      <c r="M416" s="40"/>
      <c r="N416" s="40"/>
      <c r="O416" s="36" t="str">
        <f aca="false">IF($B416="","",INT((A416-1)/Parametros!$C$10)+1)</f>
        <v/>
      </c>
      <c r="P416" s="41" t="str">
        <f aca="false">IF($B416="","",IF(OR(C416="",D416=""),"",ROUND((D416-C416)*1440,0)))</f>
        <v/>
      </c>
      <c r="Q416" s="42" t="str">
        <f aca="false">IF($B416="","",I416*VLOOKUP(E416,Parametros!$B$18:$D$24,2,FALSE()))</f>
        <v/>
      </c>
      <c r="R416" s="42" t="str">
        <f aca="false">IF($B416="","",G416*VLOOKUP(E416,Parametros!$B$18:$D$24,3,FALSE()))</f>
        <v/>
      </c>
      <c r="S416" s="42" t="str">
        <f aca="false">IF($B416="","",Q416-R416)</f>
        <v/>
      </c>
      <c r="T416" s="43" t="str">
        <f aca="false">IF($B416="","",IF(S416&gt;0,"G","P"))</f>
        <v/>
      </c>
      <c r="U416" s="44" t="str">
        <f aca="false">IF($B416="","",S416/Parametros!$C$8)</f>
        <v/>
      </c>
      <c r="V416" s="42" t="str">
        <f aca="false">IF($B416="","",Parametros!$C$6+SUM($S$7:S416))</f>
        <v/>
      </c>
      <c r="W416" s="42" t="str">
        <f aca="false">IF($B416="","",MAX(V416,W415))</f>
        <v/>
      </c>
      <c r="X416" s="42" t="str">
        <f aca="false">IF($B416="","",V416-W416)</f>
        <v/>
      </c>
      <c r="Y416" s="45" t="str">
        <f aca="false">IF($B416="","",X416/W416)</f>
        <v/>
      </c>
      <c r="Z416" s="36" t="str">
        <f aca="false">IF($B416="","",IF(T416="G",IF(N(Z415)&gt;0,Z415+1,1),IF(N(Z415)&lt;0,Z415-1,-1)))</f>
        <v/>
      </c>
      <c r="AA416" s="46" t="str">
        <f aca="false">IF($B416="","",B416-WEEKDAY(B416,2)+1)</f>
        <v/>
      </c>
      <c r="AB416" s="47" t="str">
        <f aca="false">IF($B416="","",DATE(YEAR(B416),MONTH(B416),1))</f>
        <v/>
      </c>
      <c r="AC416" s="41" t="str">
        <f aca="false">IF($B416="","",CHOOSE(WEEKDAY(B416,2),"Lunes","Martes","Miércoles","Jueves","Viernes","Sábado","Domingo"))</f>
        <v/>
      </c>
      <c r="AD416" s="36" t="str">
        <f aca="false">IF($B416="","",HOUR(C416))</f>
        <v/>
      </c>
      <c r="AE416" s="42" t="str">
        <f aca="false">IF($B416="","",IF(O416&lt;&gt;O415,MAX(V416-S416,V416),MAX(V416,AE415)))</f>
        <v/>
      </c>
      <c r="AF416" s="42" t="str">
        <f aca="false">IF($B416="","",V416-AE416)</f>
        <v/>
      </c>
      <c r="AG416" s="36" t="str">
        <f aca="false">IF($B416="","",IF(O416&lt;&gt;O415,IF(T416="G",1,-1),IF(T416="G",IF(N(AG415)&gt;0,AG415+1,1),IF(N(AG415)&lt;0,AG415-1,-1))))</f>
        <v/>
      </c>
    </row>
    <row r="417" customFormat="false" ht="15" hidden="false" customHeight="false" outlineLevel="0" collapsed="false">
      <c r="A417" s="36" t="str">
        <f aca="false">IF(B417="","",ROW()-6)</f>
        <v/>
      </c>
      <c r="B417" s="37"/>
      <c r="C417" s="38"/>
      <c r="D417" s="38"/>
      <c r="E417" s="39"/>
      <c r="F417" s="39"/>
      <c r="G417" s="39"/>
      <c r="H417" s="40"/>
      <c r="I417" s="40"/>
      <c r="J417" s="40"/>
      <c r="K417" s="40"/>
      <c r="L417" s="39"/>
      <c r="M417" s="40"/>
      <c r="N417" s="40"/>
      <c r="O417" s="36" t="str">
        <f aca="false">IF($B417="","",INT((A417-1)/Parametros!$C$10)+1)</f>
        <v/>
      </c>
      <c r="P417" s="41" t="str">
        <f aca="false">IF($B417="","",IF(OR(C417="",D417=""),"",ROUND((D417-C417)*1440,0)))</f>
        <v/>
      </c>
      <c r="Q417" s="42" t="str">
        <f aca="false">IF($B417="","",I417*VLOOKUP(E417,Parametros!$B$18:$D$24,2,FALSE()))</f>
        <v/>
      </c>
      <c r="R417" s="42" t="str">
        <f aca="false">IF($B417="","",G417*VLOOKUP(E417,Parametros!$B$18:$D$24,3,FALSE()))</f>
        <v/>
      </c>
      <c r="S417" s="42" t="str">
        <f aca="false">IF($B417="","",Q417-R417)</f>
        <v/>
      </c>
      <c r="T417" s="43" t="str">
        <f aca="false">IF($B417="","",IF(S417&gt;0,"G","P"))</f>
        <v/>
      </c>
      <c r="U417" s="44" t="str">
        <f aca="false">IF($B417="","",S417/Parametros!$C$8)</f>
        <v/>
      </c>
      <c r="V417" s="42" t="str">
        <f aca="false">IF($B417="","",Parametros!$C$6+SUM($S$7:S417))</f>
        <v/>
      </c>
      <c r="W417" s="42" t="str">
        <f aca="false">IF($B417="","",MAX(V417,W416))</f>
        <v/>
      </c>
      <c r="X417" s="42" t="str">
        <f aca="false">IF($B417="","",V417-W417)</f>
        <v/>
      </c>
      <c r="Y417" s="45" t="str">
        <f aca="false">IF($B417="","",X417/W417)</f>
        <v/>
      </c>
      <c r="Z417" s="36" t="str">
        <f aca="false">IF($B417="","",IF(T417="G",IF(N(Z416)&gt;0,Z416+1,1),IF(N(Z416)&lt;0,Z416-1,-1)))</f>
        <v/>
      </c>
      <c r="AA417" s="46" t="str">
        <f aca="false">IF($B417="","",B417-WEEKDAY(B417,2)+1)</f>
        <v/>
      </c>
      <c r="AB417" s="47" t="str">
        <f aca="false">IF($B417="","",DATE(YEAR(B417),MONTH(B417),1))</f>
        <v/>
      </c>
      <c r="AC417" s="41" t="str">
        <f aca="false">IF($B417="","",CHOOSE(WEEKDAY(B417,2),"Lunes","Martes","Miércoles","Jueves","Viernes","Sábado","Domingo"))</f>
        <v/>
      </c>
      <c r="AD417" s="36" t="str">
        <f aca="false">IF($B417="","",HOUR(C417))</f>
        <v/>
      </c>
      <c r="AE417" s="42" t="str">
        <f aca="false">IF($B417="","",IF(O417&lt;&gt;O416,MAX(V417-S417,V417),MAX(V417,AE416)))</f>
        <v/>
      </c>
      <c r="AF417" s="42" t="str">
        <f aca="false">IF($B417="","",V417-AE417)</f>
        <v/>
      </c>
      <c r="AG417" s="36" t="str">
        <f aca="false">IF($B417="","",IF(O417&lt;&gt;O416,IF(T417="G",1,-1),IF(T417="G",IF(N(AG416)&gt;0,AG416+1,1),IF(N(AG416)&lt;0,AG416-1,-1))))</f>
        <v/>
      </c>
    </row>
    <row r="418" customFormat="false" ht="15" hidden="false" customHeight="false" outlineLevel="0" collapsed="false">
      <c r="A418" s="36" t="str">
        <f aca="false">IF(B418="","",ROW()-6)</f>
        <v/>
      </c>
      <c r="B418" s="37"/>
      <c r="C418" s="38"/>
      <c r="D418" s="38"/>
      <c r="E418" s="39"/>
      <c r="F418" s="39"/>
      <c r="G418" s="39"/>
      <c r="H418" s="40"/>
      <c r="I418" s="40"/>
      <c r="J418" s="40"/>
      <c r="K418" s="40"/>
      <c r="L418" s="39"/>
      <c r="M418" s="40"/>
      <c r="N418" s="40"/>
      <c r="O418" s="36" t="str">
        <f aca="false">IF($B418="","",INT((A418-1)/Parametros!$C$10)+1)</f>
        <v/>
      </c>
      <c r="P418" s="41" t="str">
        <f aca="false">IF($B418="","",IF(OR(C418="",D418=""),"",ROUND((D418-C418)*1440,0)))</f>
        <v/>
      </c>
      <c r="Q418" s="42" t="str">
        <f aca="false">IF($B418="","",I418*VLOOKUP(E418,Parametros!$B$18:$D$24,2,FALSE()))</f>
        <v/>
      </c>
      <c r="R418" s="42" t="str">
        <f aca="false">IF($B418="","",G418*VLOOKUP(E418,Parametros!$B$18:$D$24,3,FALSE()))</f>
        <v/>
      </c>
      <c r="S418" s="42" t="str">
        <f aca="false">IF($B418="","",Q418-R418)</f>
        <v/>
      </c>
      <c r="T418" s="43" t="str">
        <f aca="false">IF($B418="","",IF(S418&gt;0,"G","P"))</f>
        <v/>
      </c>
      <c r="U418" s="44" t="str">
        <f aca="false">IF($B418="","",S418/Parametros!$C$8)</f>
        <v/>
      </c>
      <c r="V418" s="42" t="str">
        <f aca="false">IF($B418="","",Parametros!$C$6+SUM($S$7:S418))</f>
        <v/>
      </c>
      <c r="W418" s="42" t="str">
        <f aca="false">IF($B418="","",MAX(V418,W417))</f>
        <v/>
      </c>
      <c r="X418" s="42" t="str">
        <f aca="false">IF($B418="","",V418-W418)</f>
        <v/>
      </c>
      <c r="Y418" s="45" t="str">
        <f aca="false">IF($B418="","",X418/W418)</f>
        <v/>
      </c>
      <c r="Z418" s="36" t="str">
        <f aca="false">IF($B418="","",IF(T418="G",IF(N(Z417)&gt;0,Z417+1,1),IF(N(Z417)&lt;0,Z417-1,-1)))</f>
        <v/>
      </c>
      <c r="AA418" s="46" t="str">
        <f aca="false">IF($B418="","",B418-WEEKDAY(B418,2)+1)</f>
        <v/>
      </c>
      <c r="AB418" s="47" t="str">
        <f aca="false">IF($B418="","",DATE(YEAR(B418),MONTH(B418),1))</f>
        <v/>
      </c>
      <c r="AC418" s="41" t="str">
        <f aca="false">IF($B418="","",CHOOSE(WEEKDAY(B418,2),"Lunes","Martes","Miércoles","Jueves","Viernes","Sábado","Domingo"))</f>
        <v/>
      </c>
      <c r="AD418" s="36" t="str">
        <f aca="false">IF($B418="","",HOUR(C418))</f>
        <v/>
      </c>
      <c r="AE418" s="42" t="str">
        <f aca="false">IF($B418="","",IF(O418&lt;&gt;O417,MAX(V418-S418,V418),MAX(V418,AE417)))</f>
        <v/>
      </c>
      <c r="AF418" s="42" t="str">
        <f aca="false">IF($B418="","",V418-AE418)</f>
        <v/>
      </c>
      <c r="AG418" s="36" t="str">
        <f aca="false">IF($B418="","",IF(O418&lt;&gt;O417,IF(T418="G",1,-1),IF(T418="G",IF(N(AG417)&gt;0,AG417+1,1),IF(N(AG417)&lt;0,AG417-1,-1))))</f>
        <v/>
      </c>
    </row>
    <row r="419" customFormat="false" ht="15" hidden="false" customHeight="false" outlineLevel="0" collapsed="false">
      <c r="A419" s="36" t="str">
        <f aca="false">IF(B419="","",ROW()-6)</f>
        <v/>
      </c>
      <c r="B419" s="37"/>
      <c r="C419" s="38"/>
      <c r="D419" s="38"/>
      <c r="E419" s="39"/>
      <c r="F419" s="39"/>
      <c r="G419" s="39"/>
      <c r="H419" s="40"/>
      <c r="I419" s="40"/>
      <c r="J419" s="40"/>
      <c r="K419" s="40"/>
      <c r="L419" s="39"/>
      <c r="M419" s="40"/>
      <c r="N419" s="40"/>
      <c r="O419" s="36" t="str">
        <f aca="false">IF($B419="","",INT((A419-1)/Parametros!$C$10)+1)</f>
        <v/>
      </c>
      <c r="P419" s="41" t="str">
        <f aca="false">IF($B419="","",IF(OR(C419="",D419=""),"",ROUND((D419-C419)*1440,0)))</f>
        <v/>
      </c>
      <c r="Q419" s="42" t="str">
        <f aca="false">IF($B419="","",I419*VLOOKUP(E419,Parametros!$B$18:$D$24,2,FALSE()))</f>
        <v/>
      </c>
      <c r="R419" s="42" t="str">
        <f aca="false">IF($B419="","",G419*VLOOKUP(E419,Parametros!$B$18:$D$24,3,FALSE()))</f>
        <v/>
      </c>
      <c r="S419" s="42" t="str">
        <f aca="false">IF($B419="","",Q419-R419)</f>
        <v/>
      </c>
      <c r="T419" s="43" t="str">
        <f aca="false">IF($B419="","",IF(S419&gt;0,"G","P"))</f>
        <v/>
      </c>
      <c r="U419" s="44" t="str">
        <f aca="false">IF($B419="","",S419/Parametros!$C$8)</f>
        <v/>
      </c>
      <c r="V419" s="42" t="str">
        <f aca="false">IF($B419="","",Parametros!$C$6+SUM($S$7:S419))</f>
        <v/>
      </c>
      <c r="W419" s="42" t="str">
        <f aca="false">IF($B419="","",MAX(V419,W418))</f>
        <v/>
      </c>
      <c r="X419" s="42" t="str">
        <f aca="false">IF($B419="","",V419-W419)</f>
        <v/>
      </c>
      <c r="Y419" s="45" t="str">
        <f aca="false">IF($B419="","",X419/W419)</f>
        <v/>
      </c>
      <c r="Z419" s="36" t="str">
        <f aca="false">IF($B419="","",IF(T419="G",IF(N(Z418)&gt;0,Z418+1,1),IF(N(Z418)&lt;0,Z418-1,-1)))</f>
        <v/>
      </c>
      <c r="AA419" s="46" t="str">
        <f aca="false">IF($B419="","",B419-WEEKDAY(B419,2)+1)</f>
        <v/>
      </c>
      <c r="AB419" s="47" t="str">
        <f aca="false">IF($B419="","",DATE(YEAR(B419),MONTH(B419),1))</f>
        <v/>
      </c>
      <c r="AC419" s="41" t="str">
        <f aca="false">IF($B419="","",CHOOSE(WEEKDAY(B419,2),"Lunes","Martes","Miércoles","Jueves","Viernes","Sábado","Domingo"))</f>
        <v/>
      </c>
      <c r="AD419" s="36" t="str">
        <f aca="false">IF($B419="","",HOUR(C419))</f>
        <v/>
      </c>
      <c r="AE419" s="42" t="str">
        <f aca="false">IF($B419="","",IF(O419&lt;&gt;O418,MAX(V419-S419,V419),MAX(V419,AE418)))</f>
        <v/>
      </c>
      <c r="AF419" s="42" t="str">
        <f aca="false">IF($B419="","",V419-AE419)</f>
        <v/>
      </c>
      <c r="AG419" s="36" t="str">
        <f aca="false">IF($B419="","",IF(O419&lt;&gt;O418,IF(T419="G",1,-1),IF(T419="G",IF(N(AG418)&gt;0,AG418+1,1),IF(N(AG418)&lt;0,AG418-1,-1))))</f>
        <v/>
      </c>
    </row>
    <row r="420" customFormat="false" ht="15" hidden="false" customHeight="false" outlineLevel="0" collapsed="false">
      <c r="A420" s="36" t="str">
        <f aca="false">IF(B420="","",ROW()-6)</f>
        <v/>
      </c>
      <c r="B420" s="37"/>
      <c r="C420" s="38"/>
      <c r="D420" s="38"/>
      <c r="E420" s="39"/>
      <c r="F420" s="39"/>
      <c r="G420" s="39"/>
      <c r="H420" s="40"/>
      <c r="I420" s="40"/>
      <c r="J420" s="40"/>
      <c r="K420" s="40"/>
      <c r="L420" s="39"/>
      <c r="M420" s="40"/>
      <c r="N420" s="40"/>
      <c r="O420" s="36" t="str">
        <f aca="false">IF($B420="","",INT((A420-1)/Parametros!$C$10)+1)</f>
        <v/>
      </c>
      <c r="P420" s="41" t="str">
        <f aca="false">IF($B420="","",IF(OR(C420="",D420=""),"",ROUND((D420-C420)*1440,0)))</f>
        <v/>
      </c>
      <c r="Q420" s="42" t="str">
        <f aca="false">IF($B420="","",I420*VLOOKUP(E420,Parametros!$B$18:$D$24,2,FALSE()))</f>
        <v/>
      </c>
      <c r="R420" s="42" t="str">
        <f aca="false">IF($B420="","",G420*VLOOKUP(E420,Parametros!$B$18:$D$24,3,FALSE()))</f>
        <v/>
      </c>
      <c r="S420" s="42" t="str">
        <f aca="false">IF($B420="","",Q420-R420)</f>
        <v/>
      </c>
      <c r="T420" s="43" t="str">
        <f aca="false">IF($B420="","",IF(S420&gt;0,"G","P"))</f>
        <v/>
      </c>
      <c r="U420" s="44" t="str">
        <f aca="false">IF($B420="","",S420/Parametros!$C$8)</f>
        <v/>
      </c>
      <c r="V420" s="42" t="str">
        <f aca="false">IF($B420="","",Parametros!$C$6+SUM($S$7:S420))</f>
        <v/>
      </c>
      <c r="W420" s="42" t="str">
        <f aca="false">IF($B420="","",MAX(V420,W419))</f>
        <v/>
      </c>
      <c r="X420" s="42" t="str">
        <f aca="false">IF($B420="","",V420-W420)</f>
        <v/>
      </c>
      <c r="Y420" s="45" t="str">
        <f aca="false">IF($B420="","",X420/W420)</f>
        <v/>
      </c>
      <c r="Z420" s="36" t="str">
        <f aca="false">IF($B420="","",IF(T420="G",IF(N(Z419)&gt;0,Z419+1,1),IF(N(Z419)&lt;0,Z419-1,-1)))</f>
        <v/>
      </c>
      <c r="AA420" s="46" t="str">
        <f aca="false">IF($B420="","",B420-WEEKDAY(B420,2)+1)</f>
        <v/>
      </c>
      <c r="AB420" s="47" t="str">
        <f aca="false">IF($B420="","",DATE(YEAR(B420),MONTH(B420),1))</f>
        <v/>
      </c>
      <c r="AC420" s="41" t="str">
        <f aca="false">IF($B420="","",CHOOSE(WEEKDAY(B420,2),"Lunes","Martes","Miércoles","Jueves","Viernes","Sábado","Domingo"))</f>
        <v/>
      </c>
      <c r="AD420" s="36" t="str">
        <f aca="false">IF($B420="","",HOUR(C420))</f>
        <v/>
      </c>
      <c r="AE420" s="42" t="str">
        <f aca="false">IF($B420="","",IF(O420&lt;&gt;O419,MAX(V420-S420,V420),MAX(V420,AE419)))</f>
        <v/>
      </c>
      <c r="AF420" s="42" t="str">
        <f aca="false">IF($B420="","",V420-AE420)</f>
        <v/>
      </c>
      <c r="AG420" s="36" t="str">
        <f aca="false">IF($B420="","",IF(O420&lt;&gt;O419,IF(T420="G",1,-1),IF(T420="G",IF(N(AG419)&gt;0,AG419+1,1),IF(N(AG419)&lt;0,AG419-1,-1))))</f>
        <v/>
      </c>
    </row>
    <row r="421" customFormat="false" ht="15" hidden="false" customHeight="false" outlineLevel="0" collapsed="false">
      <c r="A421" s="36" t="str">
        <f aca="false">IF(B421="","",ROW()-6)</f>
        <v/>
      </c>
      <c r="B421" s="37"/>
      <c r="C421" s="38"/>
      <c r="D421" s="38"/>
      <c r="E421" s="39"/>
      <c r="F421" s="39"/>
      <c r="G421" s="39"/>
      <c r="H421" s="40"/>
      <c r="I421" s="40"/>
      <c r="J421" s="40"/>
      <c r="K421" s="40"/>
      <c r="L421" s="39"/>
      <c r="M421" s="40"/>
      <c r="N421" s="40"/>
      <c r="O421" s="36" t="str">
        <f aca="false">IF($B421="","",INT((A421-1)/Parametros!$C$10)+1)</f>
        <v/>
      </c>
      <c r="P421" s="41" t="str">
        <f aca="false">IF($B421="","",IF(OR(C421="",D421=""),"",ROUND((D421-C421)*1440,0)))</f>
        <v/>
      </c>
      <c r="Q421" s="42" t="str">
        <f aca="false">IF($B421="","",I421*VLOOKUP(E421,Parametros!$B$18:$D$24,2,FALSE()))</f>
        <v/>
      </c>
      <c r="R421" s="42" t="str">
        <f aca="false">IF($B421="","",G421*VLOOKUP(E421,Parametros!$B$18:$D$24,3,FALSE()))</f>
        <v/>
      </c>
      <c r="S421" s="42" t="str">
        <f aca="false">IF($B421="","",Q421-R421)</f>
        <v/>
      </c>
      <c r="T421" s="43" t="str">
        <f aca="false">IF($B421="","",IF(S421&gt;0,"G","P"))</f>
        <v/>
      </c>
      <c r="U421" s="44" t="str">
        <f aca="false">IF($B421="","",S421/Parametros!$C$8)</f>
        <v/>
      </c>
      <c r="V421" s="42" t="str">
        <f aca="false">IF($B421="","",Parametros!$C$6+SUM($S$7:S421))</f>
        <v/>
      </c>
      <c r="W421" s="42" t="str">
        <f aca="false">IF($B421="","",MAX(V421,W420))</f>
        <v/>
      </c>
      <c r="X421" s="42" t="str">
        <f aca="false">IF($B421="","",V421-W421)</f>
        <v/>
      </c>
      <c r="Y421" s="45" t="str">
        <f aca="false">IF($B421="","",X421/W421)</f>
        <v/>
      </c>
      <c r="Z421" s="36" t="str">
        <f aca="false">IF($B421="","",IF(T421="G",IF(N(Z420)&gt;0,Z420+1,1),IF(N(Z420)&lt;0,Z420-1,-1)))</f>
        <v/>
      </c>
      <c r="AA421" s="46" t="str">
        <f aca="false">IF($B421="","",B421-WEEKDAY(B421,2)+1)</f>
        <v/>
      </c>
      <c r="AB421" s="47" t="str">
        <f aca="false">IF($B421="","",DATE(YEAR(B421),MONTH(B421),1))</f>
        <v/>
      </c>
      <c r="AC421" s="41" t="str">
        <f aca="false">IF($B421="","",CHOOSE(WEEKDAY(B421,2),"Lunes","Martes","Miércoles","Jueves","Viernes","Sábado","Domingo"))</f>
        <v/>
      </c>
      <c r="AD421" s="36" t="str">
        <f aca="false">IF($B421="","",HOUR(C421))</f>
        <v/>
      </c>
      <c r="AE421" s="42" t="str">
        <f aca="false">IF($B421="","",IF(O421&lt;&gt;O420,MAX(V421-S421,V421),MAX(V421,AE420)))</f>
        <v/>
      </c>
      <c r="AF421" s="42" t="str">
        <f aca="false">IF($B421="","",V421-AE421)</f>
        <v/>
      </c>
      <c r="AG421" s="36" t="str">
        <f aca="false">IF($B421="","",IF(O421&lt;&gt;O420,IF(T421="G",1,-1),IF(T421="G",IF(N(AG420)&gt;0,AG420+1,1),IF(N(AG420)&lt;0,AG420-1,-1))))</f>
        <v/>
      </c>
    </row>
    <row r="422" customFormat="false" ht="15" hidden="false" customHeight="false" outlineLevel="0" collapsed="false">
      <c r="A422" s="36" t="str">
        <f aca="false">IF(B422="","",ROW()-6)</f>
        <v/>
      </c>
      <c r="B422" s="37"/>
      <c r="C422" s="38"/>
      <c r="D422" s="38"/>
      <c r="E422" s="39"/>
      <c r="F422" s="39"/>
      <c r="G422" s="39"/>
      <c r="H422" s="40"/>
      <c r="I422" s="40"/>
      <c r="J422" s="40"/>
      <c r="K422" s="40"/>
      <c r="L422" s="39"/>
      <c r="M422" s="40"/>
      <c r="N422" s="40"/>
      <c r="O422" s="36" t="str">
        <f aca="false">IF($B422="","",INT((A422-1)/Parametros!$C$10)+1)</f>
        <v/>
      </c>
      <c r="P422" s="41" t="str">
        <f aca="false">IF($B422="","",IF(OR(C422="",D422=""),"",ROUND((D422-C422)*1440,0)))</f>
        <v/>
      </c>
      <c r="Q422" s="42" t="str">
        <f aca="false">IF($B422="","",I422*VLOOKUP(E422,Parametros!$B$18:$D$24,2,FALSE()))</f>
        <v/>
      </c>
      <c r="R422" s="42" t="str">
        <f aca="false">IF($B422="","",G422*VLOOKUP(E422,Parametros!$B$18:$D$24,3,FALSE()))</f>
        <v/>
      </c>
      <c r="S422" s="42" t="str">
        <f aca="false">IF($B422="","",Q422-R422)</f>
        <v/>
      </c>
      <c r="T422" s="43" t="str">
        <f aca="false">IF($B422="","",IF(S422&gt;0,"G","P"))</f>
        <v/>
      </c>
      <c r="U422" s="44" t="str">
        <f aca="false">IF($B422="","",S422/Parametros!$C$8)</f>
        <v/>
      </c>
      <c r="V422" s="42" t="str">
        <f aca="false">IF($B422="","",Parametros!$C$6+SUM($S$7:S422))</f>
        <v/>
      </c>
      <c r="W422" s="42" t="str">
        <f aca="false">IF($B422="","",MAX(V422,W421))</f>
        <v/>
      </c>
      <c r="X422" s="42" t="str">
        <f aca="false">IF($B422="","",V422-W422)</f>
        <v/>
      </c>
      <c r="Y422" s="45" t="str">
        <f aca="false">IF($B422="","",X422/W422)</f>
        <v/>
      </c>
      <c r="Z422" s="36" t="str">
        <f aca="false">IF($B422="","",IF(T422="G",IF(N(Z421)&gt;0,Z421+1,1),IF(N(Z421)&lt;0,Z421-1,-1)))</f>
        <v/>
      </c>
      <c r="AA422" s="46" t="str">
        <f aca="false">IF($B422="","",B422-WEEKDAY(B422,2)+1)</f>
        <v/>
      </c>
      <c r="AB422" s="47" t="str">
        <f aca="false">IF($B422="","",DATE(YEAR(B422),MONTH(B422),1))</f>
        <v/>
      </c>
      <c r="AC422" s="41" t="str">
        <f aca="false">IF($B422="","",CHOOSE(WEEKDAY(B422,2),"Lunes","Martes","Miércoles","Jueves","Viernes","Sábado","Domingo"))</f>
        <v/>
      </c>
      <c r="AD422" s="36" t="str">
        <f aca="false">IF($B422="","",HOUR(C422))</f>
        <v/>
      </c>
      <c r="AE422" s="42" t="str">
        <f aca="false">IF($B422="","",IF(O422&lt;&gt;O421,MAX(V422-S422,V422),MAX(V422,AE421)))</f>
        <v/>
      </c>
      <c r="AF422" s="42" t="str">
        <f aca="false">IF($B422="","",V422-AE422)</f>
        <v/>
      </c>
      <c r="AG422" s="36" t="str">
        <f aca="false">IF($B422="","",IF(O422&lt;&gt;O421,IF(T422="G",1,-1),IF(T422="G",IF(N(AG421)&gt;0,AG421+1,1),IF(N(AG421)&lt;0,AG421-1,-1))))</f>
        <v/>
      </c>
    </row>
    <row r="423" customFormat="false" ht="15" hidden="false" customHeight="false" outlineLevel="0" collapsed="false">
      <c r="A423" s="36" t="str">
        <f aca="false">IF(B423="","",ROW()-6)</f>
        <v/>
      </c>
      <c r="B423" s="37"/>
      <c r="C423" s="38"/>
      <c r="D423" s="38"/>
      <c r="E423" s="39"/>
      <c r="F423" s="39"/>
      <c r="G423" s="39"/>
      <c r="H423" s="40"/>
      <c r="I423" s="40"/>
      <c r="J423" s="40"/>
      <c r="K423" s="40"/>
      <c r="L423" s="39"/>
      <c r="M423" s="40"/>
      <c r="N423" s="40"/>
      <c r="O423" s="36" t="str">
        <f aca="false">IF($B423="","",INT((A423-1)/Parametros!$C$10)+1)</f>
        <v/>
      </c>
      <c r="P423" s="41" t="str">
        <f aca="false">IF($B423="","",IF(OR(C423="",D423=""),"",ROUND((D423-C423)*1440,0)))</f>
        <v/>
      </c>
      <c r="Q423" s="42" t="str">
        <f aca="false">IF($B423="","",I423*VLOOKUP(E423,Parametros!$B$18:$D$24,2,FALSE()))</f>
        <v/>
      </c>
      <c r="R423" s="42" t="str">
        <f aca="false">IF($B423="","",G423*VLOOKUP(E423,Parametros!$B$18:$D$24,3,FALSE()))</f>
        <v/>
      </c>
      <c r="S423" s="42" t="str">
        <f aca="false">IF($B423="","",Q423-R423)</f>
        <v/>
      </c>
      <c r="T423" s="43" t="str">
        <f aca="false">IF($B423="","",IF(S423&gt;0,"G","P"))</f>
        <v/>
      </c>
      <c r="U423" s="44" t="str">
        <f aca="false">IF($B423="","",S423/Parametros!$C$8)</f>
        <v/>
      </c>
      <c r="V423" s="42" t="str">
        <f aca="false">IF($B423="","",Parametros!$C$6+SUM($S$7:S423))</f>
        <v/>
      </c>
      <c r="W423" s="42" t="str">
        <f aca="false">IF($B423="","",MAX(V423,W422))</f>
        <v/>
      </c>
      <c r="X423" s="42" t="str">
        <f aca="false">IF($B423="","",V423-W423)</f>
        <v/>
      </c>
      <c r="Y423" s="45" t="str">
        <f aca="false">IF($B423="","",X423/W423)</f>
        <v/>
      </c>
      <c r="Z423" s="36" t="str">
        <f aca="false">IF($B423="","",IF(T423="G",IF(N(Z422)&gt;0,Z422+1,1),IF(N(Z422)&lt;0,Z422-1,-1)))</f>
        <v/>
      </c>
      <c r="AA423" s="46" t="str">
        <f aca="false">IF($B423="","",B423-WEEKDAY(B423,2)+1)</f>
        <v/>
      </c>
      <c r="AB423" s="47" t="str">
        <f aca="false">IF($B423="","",DATE(YEAR(B423),MONTH(B423),1))</f>
        <v/>
      </c>
      <c r="AC423" s="41" t="str">
        <f aca="false">IF($B423="","",CHOOSE(WEEKDAY(B423,2),"Lunes","Martes","Miércoles","Jueves","Viernes","Sábado","Domingo"))</f>
        <v/>
      </c>
      <c r="AD423" s="36" t="str">
        <f aca="false">IF($B423="","",HOUR(C423))</f>
        <v/>
      </c>
      <c r="AE423" s="42" t="str">
        <f aca="false">IF($B423="","",IF(O423&lt;&gt;O422,MAX(V423-S423,V423),MAX(V423,AE422)))</f>
        <v/>
      </c>
      <c r="AF423" s="42" t="str">
        <f aca="false">IF($B423="","",V423-AE423)</f>
        <v/>
      </c>
      <c r="AG423" s="36" t="str">
        <f aca="false">IF($B423="","",IF(O423&lt;&gt;O422,IF(T423="G",1,-1),IF(T423="G",IF(N(AG422)&gt;0,AG422+1,1),IF(N(AG422)&lt;0,AG422-1,-1))))</f>
        <v/>
      </c>
    </row>
    <row r="424" customFormat="false" ht="15" hidden="false" customHeight="false" outlineLevel="0" collapsed="false">
      <c r="A424" s="36" t="str">
        <f aca="false">IF(B424="","",ROW()-6)</f>
        <v/>
      </c>
      <c r="B424" s="37"/>
      <c r="C424" s="38"/>
      <c r="D424" s="38"/>
      <c r="E424" s="39"/>
      <c r="F424" s="39"/>
      <c r="G424" s="39"/>
      <c r="H424" s="40"/>
      <c r="I424" s="40"/>
      <c r="J424" s="40"/>
      <c r="K424" s="40"/>
      <c r="L424" s="39"/>
      <c r="M424" s="40"/>
      <c r="N424" s="40"/>
      <c r="O424" s="36" t="str">
        <f aca="false">IF($B424="","",INT((A424-1)/Parametros!$C$10)+1)</f>
        <v/>
      </c>
      <c r="P424" s="41" t="str">
        <f aca="false">IF($B424="","",IF(OR(C424="",D424=""),"",ROUND((D424-C424)*1440,0)))</f>
        <v/>
      </c>
      <c r="Q424" s="42" t="str">
        <f aca="false">IF($B424="","",I424*VLOOKUP(E424,Parametros!$B$18:$D$24,2,FALSE()))</f>
        <v/>
      </c>
      <c r="R424" s="42" t="str">
        <f aca="false">IF($B424="","",G424*VLOOKUP(E424,Parametros!$B$18:$D$24,3,FALSE()))</f>
        <v/>
      </c>
      <c r="S424" s="42" t="str">
        <f aca="false">IF($B424="","",Q424-R424)</f>
        <v/>
      </c>
      <c r="T424" s="43" t="str">
        <f aca="false">IF($B424="","",IF(S424&gt;0,"G","P"))</f>
        <v/>
      </c>
      <c r="U424" s="44" t="str">
        <f aca="false">IF($B424="","",S424/Parametros!$C$8)</f>
        <v/>
      </c>
      <c r="V424" s="42" t="str">
        <f aca="false">IF($B424="","",Parametros!$C$6+SUM($S$7:S424))</f>
        <v/>
      </c>
      <c r="W424" s="42" t="str">
        <f aca="false">IF($B424="","",MAX(V424,W423))</f>
        <v/>
      </c>
      <c r="X424" s="42" t="str">
        <f aca="false">IF($B424="","",V424-W424)</f>
        <v/>
      </c>
      <c r="Y424" s="45" t="str">
        <f aca="false">IF($B424="","",X424/W424)</f>
        <v/>
      </c>
      <c r="Z424" s="36" t="str">
        <f aca="false">IF($B424="","",IF(T424="G",IF(N(Z423)&gt;0,Z423+1,1),IF(N(Z423)&lt;0,Z423-1,-1)))</f>
        <v/>
      </c>
      <c r="AA424" s="46" t="str">
        <f aca="false">IF($B424="","",B424-WEEKDAY(B424,2)+1)</f>
        <v/>
      </c>
      <c r="AB424" s="47" t="str">
        <f aca="false">IF($B424="","",DATE(YEAR(B424),MONTH(B424),1))</f>
        <v/>
      </c>
      <c r="AC424" s="41" t="str">
        <f aca="false">IF($B424="","",CHOOSE(WEEKDAY(B424,2),"Lunes","Martes","Miércoles","Jueves","Viernes","Sábado","Domingo"))</f>
        <v/>
      </c>
      <c r="AD424" s="36" t="str">
        <f aca="false">IF($B424="","",HOUR(C424))</f>
        <v/>
      </c>
      <c r="AE424" s="42" t="str">
        <f aca="false">IF($B424="","",IF(O424&lt;&gt;O423,MAX(V424-S424,V424),MAX(V424,AE423)))</f>
        <v/>
      </c>
      <c r="AF424" s="42" t="str">
        <f aca="false">IF($B424="","",V424-AE424)</f>
        <v/>
      </c>
      <c r="AG424" s="36" t="str">
        <f aca="false">IF($B424="","",IF(O424&lt;&gt;O423,IF(T424="G",1,-1),IF(T424="G",IF(N(AG423)&gt;0,AG423+1,1),IF(N(AG423)&lt;0,AG423-1,-1))))</f>
        <v/>
      </c>
    </row>
    <row r="425" customFormat="false" ht="15" hidden="false" customHeight="false" outlineLevel="0" collapsed="false">
      <c r="A425" s="36" t="str">
        <f aca="false">IF(B425="","",ROW()-6)</f>
        <v/>
      </c>
      <c r="B425" s="37"/>
      <c r="C425" s="38"/>
      <c r="D425" s="38"/>
      <c r="E425" s="39"/>
      <c r="F425" s="39"/>
      <c r="G425" s="39"/>
      <c r="H425" s="40"/>
      <c r="I425" s="40"/>
      <c r="J425" s="40"/>
      <c r="K425" s="40"/>
      <c r="L425" s="39"/>
      <c r="M425" s="40"/>
      <c r="N425" s="40"/>
      <c r="O425" s="36" t="str">
        <f aca="false">IF($B425="","",INT((A425-1)/Parametros!$C$10)+1)</f>
        <v/>
      </c>
      <c r="P425" s="41" t="str">
        <f aca="false">IF($B425="","",IF(OR(C425="",D425=""),"",ROUND((D425-C425)*1440,0)))</f>
        <v/>
      </c>
      <c r="Q425" s="42" t="str">
        <f aca="false">IF($B425="","",I425*VLOOKUP(E425,Parametros!$B$18:$D$24,2,FALSE()))</f>
        <v/>
      </c>
      <c r="R425" s="42" t="str">
        <f aca="false">IF($B425="","",G425*VLOOKUP(E425,Parametros!$B$18:$D$24,3,FALSE()))</f>
        <v/>
      </c>
      <c r="S425" s="42" t="str">
        <f aca="false">IF($B425="","",Q425-R425)</f>
        <v/>
      </c>
      <c r="T425" s="43" t="str">
        <f aca="false">IF($B425="","",IF(S425&gt;0,"G","P"))</f>
        <v/>
      </c>
      <c r="U425" s="44" t="str">
        <f aca="false">IF($B425="","",S425/Parametros!$C$8)</f>
        <v/>
      </c>
      <c r="V425" s="42" t="str">
        <f aca="false">IF($B425="","",Parametros!$C$6+SUM($S$7:S425))</f>
        <v/>
      </c>
      <c r="W425" s="42" t="str">
        <f aca="false">IF($B425="","",MAX(V425,W424))</f>
        <v/>
      </c>
      <c r="X425" s="42" t="str">
        <f aca="false">IF($B425="","",V425-W425)</f>
        <v/>
      </c>
      <c r="Y425" s="45" t="str">
        <f aca="false">IF($B425="","",X425/W425)</f>
        <v/>
      </c>
      <c r="Z425" s="36" t="str">
        <f aca="false">IF($B425="","",IF(T425="G",IF(N(Z424)&gt;0,Z424+1,1),IF(N(Z424)&lt;0,Z424-1,-1)))</f>
        <v/>
      </c>
      <c r="AA425" s="46" t="str">
        <f aca="false">IF($B425="","",B425-WEEKDAY(B425,2)+1)</f>
        <v/>
      </c>
      <c r="AB425" s="47" t="str">
        <f aca="false">IF($B425="","",DATE(YEAR(B425),MONTH(B425),1))</f>
        <v/>
      </c>
      <c r="AC425" s="41" t="str">
        <f aca="false">IF($B425="","",CHOOSE(WEEKDAY(B425,2),"Lunes","Martes","Miércoles","Jueves","Viernes","Sábado","Domingo"))</f>
        <v/>
      </c>
      <c r="AD425" s="36" t="str">
        <f aca="false">IF($B425="","",HOUR(C425))</f>
        <v/>
      </c>
      <c r="AE425" s="42" t="str">
        <f aca="false">IF($B425="","",IF(O425&lt;&gt;O424,MAX(V425-S425,V425),MAX(V425,AE424)))</f>
        <v/>
      </c>
      <c r="AF425" s="42" t="str">
        <f aca="false">IF($B425="","",V425-AE425)</f>
        <v/>
      </c>
      <c r="AG425" s="36" t="str">
        <f aca="false">IF($B425="","",IF(O425&lt;&gt;O424,IF(T425="G",1,-1),IF(T425="G",IF(N(AG424)&gt;0,AG424+1,1),IF(N(AG424)&lt;0,AG424-1,-1))))</f>
        <v/>
      </c>
    </row>
    <row r="426" customFormat="false" ht="15" hidden="false" customHeight="false" outlineLevel="0" collapsed="false">
      <c r="A426" s="36" t="str">
        <f aca="false">IF(B426="","",ROW()-6)</f>
        <v/>
      </c>
      <c r="B426" s="37"/>
      <c r="C426" s="38"/>
      <c r="D426" s="38"/>
      <c r="E426" s="39"/>
      <c r="F426" s="39"/>
      <c r="G426" s="39"/>
      <c r="H426" s="40"/>
      <c r="I426" s="40"/>
      <c r="J426" s="40"/>
      <c r="K426" s="40"/>
      <c r="L426" s="39"/>
      <c r="M426" s="40"/>
      <c r="N426" s="40"/>
      <c r="O426" s="36" t="str">
        <f aca="false">IF($B426="","",INT((A426-1)/Parametros!$C$10)+1)</f>
        <v/>
      </c>
      <c r="P426" s="41" t="str">
        <f aca="false">IF($B426="","",IF(OR(C426="",D426=""),"",ROUND((D426-C426)*1440,0)))</f>
        <v/>
      </c>
      <c r="Q426" s="42" t="str">
        <f aca="false">IF($B426="","",I426*VLOOKUP(E426,Parametros!$B$18:$D$24,2,FALSE()))</f>
        <v/>
      </c>
      <c r="R426" s="42" t="str">
        <f aca="false">IF($B426="","",G426*VLOOKUP(E426,Parametros!$B$18:$D$24,3,FALSE()))</f>
        <v/>
      </c>
      <c r="S426" s="42" t="str">
        <f aca="false">IF($B426="","",Q426-R426)</f>
        <v/>
      </c>
      <c r="T426" s="43" t="str">
        <f aca="false">IF($B426="","",IF(S426&gt;0,"G","P"))</f>
        <v/>
      </c>
      <c r="U426" s="44" t="str">
        <f aca="false">IF($B426="","",S426/Parametros!$C$8)</f>
        <v/>
      </c>
      <c r="V426" s="42" t="str">
        <f aca="false">IF($B426="","",Parametros!$C$6+SUM($S$7:S426))</f>
        <v/>
      </c>
      <c r="W426" s="42" t="str">
        <f aca="false">IF($B426="","",MAX(V426,W425))</f>
        <v/>
      </c>
      <c r="X426" s="42" t="str">
        <f aca="false">IF($B426="","",V426-W426)</f>
        <v/>
      </c>
      <c r="Y426" s="45" t="str">
        <f aca="false">IF($B426="","",X426/W426)</f>
        <v/>
      </c>
      <c r="Z426" s="36" t="str">
        <f aca="false">IF($B426="","",IF(T426="G",IF(N(Z425)&gt;0,Z425+1,1),IF(N(Z425)&lt;0,Z425-1,-1)))</f>
        <v/>
      </c>
      <c r="AA426" s="46" t="str">
        <f aca="false">IF($B426="","",B426-WEEKDAY(B426,2)+1)</f>
        <v/>
      </c>
      <c r="AB426" s="47" t="str">
        <f aca="false">IF($B426="","",DATE(YEAR(B426),MONTH(B426),1))</f>
        <v/>
      </c>
      <c r="AC426" s="41" t="str">
        <f aca="false">IF($B426="","",CHOOSE(WEEKDAY(B426,2),"Lunes","Martes","Miércoles","Jueves","Viernes","Sábado","Domingo"))</f>
        <v/>
      </c>
      <c r="AD426" s="36" t="str">
        <f aca="false">IF($B426="","",HOUR(C426))</f>
        <v/>
      </c>
      <c r="AE426" s="42" t="str">
        <f aca="false">IF($B426="","",IF(O426&lt;&gt;O425,MAX(V426-S426,V426),MAX(V426,AE425)))</f>
        <v/>
      </c>
      <c r="AF426" s="42" t="str">
        <f aca="false">IF($B426="","",V426-AE426)</f>
        <v/>
      </c>
      <c r="AG426" s="36" t="str">
        <f aca="false">IF($B426="","",IF(O426&lt;&gt;O425,IF(T426="G",1,-1),IF(T426="G",IF(N(AG425)&gt;0,AG425+1,1),IF(N(AG425)&lt;0,AG425-1,-1))))</f>
        <v/>
      </c>
    </row>
    <row r="427" customFormat="false" ht="15" hidden="false" customHeight="false" outlineLevel="0" collapsed="false">
      <c r="A427" s="36" t="str">
        <f aca="false">IF(B427="","",ROW()-6)</f>
        <v/>
      </c>
      <c r="B427" s="37"/>
      <c r="C427" s="38"/>
      <c r="D427" s="38"/>
      <c r="E427" s="39"/>
      <c r="F427" s="39"/>
      <c r="G427" s="39"/>
      <c r="H427" s="40"/>
      <c r="I427" s="40"/>
      <c r="J427" s="40"/>
      <c r="K427" s="40"/>
      <c r="L427" s="39"/>
      <c r="M427" s="40"/>
      <c r="N427" s="40"/>
      <c r="O427" s="36" t="str">
        <f aca="false">IF($B427="","",INT((A427-1)/Parametros!$C$10)+1)</f>
        <v/>
      </c>
      <c r="P427" s="41" t="str">
        <f aca="false">IF($B427="","",IF(OR(C427="",D427=""),"",ROUND((D427-C427)*1440,0)))</f>
        <v/>
      </c>
      <c r="Q427" s="42" t="str">
        <f aca="false">IF($B427="","",I427*VLOOKUP(E427,Parametros!$B$18:$D$24,2,FALSE()))</f>
        <v/>
      </c>
      <c r="R427" s="42" t="str">
        <f aca="false">IF($B427="","",G427*VLOOKUP(E427,Parametros!$B$18:$D$24,3,FALSE()))</f>
        <v/>
      </c>
      <c r="S427" s="42" t="str">
        <f aca="false">IF($B427="","",Q427-R427)</f>
        <v/>
      </c>
      <c r="T427" s="43" t="str">
        <f aca="false">IF($B427="","",IF(S427&gt;0,"G","P"))</f>
        <v/>
      </c>
      <c r="U427" s="44" t="str">
        <f aca="false">IF($B427="","",S427/Parametros!$C$8)</f>
        <v/>
      </c>
      <c r="V427" s="42" t="str">
        <f aca="false">IF($B427="","",Parametros!$C$6+SUM($S$7:S427))</f>
        <v/>
      </c>
      <c r="W427" s="42" t="str">
        <f aca="false">IF($B427="","",MAX(V427,W426))</f>
        <v/>
      </c>
      <c r="X427" s="42" t="str">
        <f aca="false">IF($B427="","",V427-W427)</f>
        <v/>
      </c>
      <c r="Y427" s="45" t="str">
        <f aca="false">IF($B427="","",X427/W427)</f>
        <v/>
      </c>
      <c r="Z427" s="36" t="str">
        <f aca="false">IF($B427="","",IF(T427="G",IF(N(Z426)&gt;0,Z426+1,1),IF(N(Z426)&lt;0,Z426-1,-1)))</f>
        <v/>
      </c>
      <c r="AA427" s="46" t="str">
        <f aca="false">IF($B427="","",B427-WEEKDAY(B427,2)+1)</f>
        <v/>
      </c>
      <c r="AB427" s="47" t="str">
        <f aca="false">IF($B427="","",DATE(YEAR(B427),MONTH(B427),1))</f>
        <v/>
      </c>
      <c r="AC427" s="41" t="str">
        <f aca="false">IF($B427="","",CHOOSE(WEEKDAY(B427,2),"Lunes","Martes","Miércoles","Jueves","Viernes","Sábado","Domingo"))</f>
        <v/>
      </c>
      <c r="AD427" s="36" t="str">
        <f aca="false">IF($B427="","",HOUR(C427))</f>
        <v/>
      </c>
      <c r="AE427" s="42" t="str">
        <f aca="false">IF($B427="","",IF(O427&lt;&gt;O426,MAX(V427-S427,V427),MAX(V427,AE426)))</f>
        <v/>
      </c>
      <c r="AF427" s="42" t="str">
        <f aca="false">IF($B427="","",V427-AE427)</f>
        <v/>
      </c>
      <c r="AG427" s="36" t="str">
        <f aca="false">IF($B427="","",IF(O427&lt;&gt;O426,IF(T427="G",1,-1),IF(T427="G",IF(N(AG426)&gt;0,AG426+1,1),IF(N(AG426)&lt;0,AG426-1,-1))))</f>
        <v/>
      </c>
    </row>
    <row r="428" customFormat="false" ht="15" hidden="false" customHeight="false" outlineLevel="0" collapsed="false">
      <c r="A428" s="36" t="str">
        <f aca="false">IF(B428="","",ROW()-6)</f>
        <v/>
      </c>
      <c r="B428" s="37"/>
      <c r="C428" s="38"/>
      <c r="D428" s="38"/>
      <c r="E428" s="39"/>
      <c r="F428" s="39"/>
      <c r="G428" s="39"/>
      <c r="H428" s="40"/>
      <c r="I428" s="40"/>
      <c r="J428" s="40"/>
      <c r="K428" s="40"/>
      <c r="L428" s="39"/>
      <c r="M428" s="40"/>
      <c r="N428" s="40"/>
      <c r="O428" s="36" t="str">
        <f aca="false">IF($B428="","",INT((A428-1)/Parametros!$C$10)+1)</f>
        <v/>
      </c>
      <c r="P428" s="41" t="str">
        <f aca="false">IF($B428="","",IF(OR(C428="",D428=""),"",ROUND((D428-C428)*1440,0)))</f>
        <v/>
      </c>
      <c r="Q428" s="42" t="str">
        <f aca="false">IF($B428="","",I428*VLOOKUP(E428,Parametros!$B$18:$D$24,2,FALSE()))</f>
        <v/>
      </c>
      <c r="R428" s="42" t="str">
        <f aca="false">IF($B428="","",G428*VLOOKUP(E428,Parametros!$B$18:$D$24,3,FALSE()))</f>
        <v/>
      </c>
      <c r="S428" s="42" t="str">
        <f aca="false">IF($B428="","",Q428-R428)</f>
        <v/>
      </c>
      <c r="T428" s="43" t="str">
        <f aca="false">IF($B428="","",IF(S428&gt;0,"G","P"))</f>
        <v/>
      </c>
      <c r="U428" s="44" t="str">
        <f aca="false">IF($B428="","",S428/Parametros!$C$8)</f>
        <v/>
      </c>
      <c r="V428" s="42" t="str">
        <f aca="false">IF($B428="","",Parametros!$C$6+SUM($S$7:S428))</f>
        <v/>
      </c>
      <c r="W428" s="42" t="str">
        <f aca="false">IF($B428="","",MAX(V428,W427))</f>
        <v/>
      </c>
      <c r="X428" s="42" t="str">
        <f aca="false">IF($B428="","",V428-W428)</f>
        <v/>
      </c>
      <c r="Y428" s="45" t="str">
        <f aca="false">IF($B428="","",X428/W428)</f>
        <v/>
      </c>
      <c r="Z428" s="36" t="str">
        <f aca="false">IF($B428="","",IF(T428="G",IF(N(Z427)&gt;0,Z427+1,1),IF(N(Z427)&lt;0,Z427-1,-1)))</f>
        <v/>
      </c>
      <c r="AA428" s="46" t="str">
        <f aca="false">IF($B428="","",B428-WEEKDAY(B428,2)+1)</f>
        <v/>
      </c>
      <c r="AB428" s="47" t="str">
        <f aca="false">IF($B428="","",DATE(YEAR(B428),MONTH(B428),1))</f>
        <v/>
      </c>
      <c r="AC428" s="41" t="str">
        <f aca="false">IF($B428="","",CHOOSE(WEEKDAY(B428,2),"Lunes","Martes","Miércoles","Jueves","Viernes","Sábado","Domingo"))</f>
        <v/>
      </c>
      <c r="AD428" s="36" t="str">
        <f aca="false">IF($B428="","",HOUR(C428))</f>
        <v/>
      </c>
      <c r="AE428" s="42" t="str">
        <f aca="false">IF($B428="","",IF(O428&lt;&gt;O427,MAX(V428-S428,V428),MAX(V428,AE427)))</f>
        <v/>
      </c>
      <c r="AF428" s="42" t="str">
        <f aca="false">IF($B428="","",V428-AE428)</f>
        <v/>
      </c>
      <c r="AG428" s="36" t="str">
        <f aca="false">IF($B428="","",IF(O428&lt;&gt;O427,IF(T428="G",1,-1),IF(T428="G",IF(N(AG427)&gt;0,AG427+1,1),IF(N(AG427)&lt;0,AG427-1,-1))))</f>
        <v/>
      </c>
    </row>
    <row r="429" customFormat="false" ht="15" hidden="false" customHeight="false" outlineLevel="0" collapsed="false">
      <c r="A429" s="36" t="str">
        <f aca="false">IF(B429="","",ROW()-6)</f>
        <v/>
      </c>
      <c r="B429" s="37"/>
      <c r="C429" s="38"/>
      <c r="D429" s="38"/>
      <c r="E429" s="39"/>
      <c r="F429" s="39"/>
      <c r="G429" s="39"/>
      <c r="H429" s="40"/>
      <c r="I429" s="40"/>
      <c r="J429" s="40"/>
      <c r="K429" s="40"/>
      <c r="L429" s="39"/>
      <c r="M429" s="40"/>
      <c r="N429" s="40"/>
      <c r="O429" s="36" t="str">
        <f aca="false">IF($B429="","",INT((A429-1)/Parametros!$C$10)+1)</f>
        <v/>
      </c>
      <c r="P429" s="41" t="str">
        <f aca="false">IF($B429="","",IF(OR(C429="",D429=""),"",ROUND((D429-C429)*1440,0)))</f>
        <v/>
      </c>
      <c r="Q429" s="42" t="str">
        <f aca="false">IF($B429="","",I429*VLOOKUP(E429,Parametros!$B$18:$D$24,2,FALSE()))</f>
        <v/>
      </c>
      <c r="R429" s="42" t="str">
        <f aca="false">IF($B429="","",G429*VLOOKUP(E429,Parametros!$B$18:$D$24,3,FALSE()))</f>
        <v/>
      </c>
      <c r="S429" s="42" t="str">
        <f aca="false">IF($B429="","",Q429-R429)</f>
        <v/>
      </c>
      <c r="T429" s="43" t="str">
        <f aca="false">IF($B429="","",IF(S429&gt;0,"G","P"))</f>
        <v/>
      </c>
      <c r="U429" s="44" t="str">
        <f aca="false">IF($B429="","",S429/Parametros!$C$8)</f>
        <v/>
      </c>
      <c r="V429" s="42" t="str">
        <f aca="false">IF($B429="","",Parametros!$C$6+SUM($S$7:S429))</f>
        <v/>
      </c>
      <c r="W429" s="42" t="str">
        <f aca="false">IF($B429="","",MAX(V429,W428))</f>
        <v/>
      </c>
      <c r="X429" s="42" t="str">
        <f aca="false">IF($B429="","",V429-W429)</f>
        <v/>
      </c>
      <c r="Y429" s="45" t="str">
        <f aca="false">IF($B429="","",X429/W429)</f>
        <v/>
      </c>
      <c r="Z429" s="36" t="str">
        <f aca="false">IF($B429="","",IF(T429="G",IF(N(Z428)&gt;0,Z428+1,1),IF(N(Z428)&lt;0,Z428-1,-1)))</f>
        <v/>
      </c>
      <c r="AA429" s="46" t="str">
        <f aca="false">IF($B429="","",B429-WEEKDAY(B429,2)+1)</f>
        <v/>
      </c>
      <c r="AB429" s="47" t="str">
        <f aca="false">IF($B429="","",DATE(YEAR(B429),MONTH(B429),1))</f>
        <v/>
      </c>
      <c r="AC429" s="41" t="str">
        <f aca="false">IF($B429="","",CHOOSE(WEEKDAY(B429,2),"Lunes","Martes","Miércoles","Jueves","Viernes","Sábado","Domingo"))</f>
        <v/>
      </c>
      <c r="AD429" s="36" t="str">
        <f aca="false">IF($B429="","",HOUR(C429))</f>
        <v/>
      </c>
      <c r="AE429" s="42" t="str">
        <f aca="false">IF($B429="","",IF(O429&lt;&gt;O428,MAX(V429-S429,V429),MAX(V429,AE428)))</f>
        <v/>
      </c>
      <c r="AF429" s="42" t="str">
        <f aca="false">IF($B429="","",V429-AE429)</f>
        <v/>
      </c>
      <c r="AG429" s="36" t="str">
        <f aca="false">IF($B429="","",IF(O429&lt;&gt;O428,IF(T429="G",1,-1),IF(T429="G",IF(N(AG428)&gt;0,AG428+1,1),IF(N(AG428)&lt;0,AG428-1,-1))))</f>
        <v/>
      </c>
    </row>
    <row r="430" customFormat="false" ht="15" hidden="false" customHeight="false" outlineLevel="0" collapsed="false">
      <c r="A430" s="36" t="str">
        <f aca="false">IF(B430="","",ROW()-6)</f>
        <v/>
      </c>
      <c r="B430" s="37"/>
      <c r="C430" s="38"/>
      <c r="D430" s="38"/>
      <c r="E430" s="39"/>
      <c r="F430" s="39"/>
      <c r="G430" s="39"/>
      <c r="H430" s="40"/>
      <c r="I430" s="40"/>
      <c r="J430" s="40"/>
      <c r="K430" s="40"/>
      <c r="L430" s="39"/>
      <c r="M430" s="40"/>
      <c r="N430" s="40"/>
      <c r="O430" s="36" t="str">
        <f aca="false">IF($B430="","",INT((A430-1)/Parametros!$C$10)+1)</f>
        <v/>
      </c>
      <c r="P430" s="41" t="str">
        <f aca="false">IF($B430="","",IF(OR(C430="",D430=""),"",ROUND((D430-C430)*1440,0)))</f>
        <v/>
      </c>
      <c r="Q430" s="42" t="str">
        <f aca="false">IF($B430="","",I430*VLOOKUP(E430,Parametros!$B$18:$D$24,2,FALSE()))</f>
        <v/>
      </c>
      <c r="R430" s="42" t="str">
        <f aca="false">IF($B430="","",G430*VLOOKUP(E430,Parametros!$B$18:$D$24,3,FALSE()))</f>
        <v/>
      </c>
      <c r="S430" s="42" t="str">
        <f aca="false">IF($B430="","",Q430-R430)</f>
        <v/>
      </c>
      <c r="T430" s="43" t="str">
        <f aca="false">IF($B430="","",IF(S430&gt;0,"G","P"))</f>
        <v/>
      </c>
      <c r="U430" s="44" t="str">
        <f aca="false">IF($B430="","",S430/Parametros!$C$8)</f>
        <v/>
      </c>
      <c r="V430" s="42" t="str">
        <f aca="false">IF($B430="","",Parametros!$C$6+SUM($S$7:S430))</f>
        <v/>
      </c>
      <c r="W430" s="42" t="str">
        <f aca="false">IF($B430="","",MAX(V430,W429))</f>
        <v/>
      </c>
      <c r="X430" s="42" t="str">
        <f aca="false">IF($B430="","",V430-W430)</f>
        <v/>
      </c>
      <c r="Y430" s="45" t="str">
        <f aca="false">IF($B430="","",X430/W430)</f>
        <v/>
      </c>
      <c r="Z430" s="36" t="str">
        <f aca="false">IF($B430="","",IF(T430="G",IF(N(Z429)&gt;0,Z429+1,1),IF(N(Z429)&lt;0,Z429-1,-1)))</f>
        <v/>
      </c>
      <c r="AA430" s="46" t="str">
        <f aca="false">IF($B430="","",B430-WEEKDAY(B430,2)+1)</f>
        <v/>
      </c>
      <c r="AB430" s="47" t="str">
        <f aca="false">IF($B430="","",DATE(YEAR(B430),MONTH(B430),1))</f>
        <v/>
      </c>
      <c r="AC430" s="41" t="str">
        <f aca="false">IF($B430="","",CHOOSE(WEEKDAY(B430,2),"Lunes","Martes","Miércoles","Jueves","Viernes","Sábado","Domingo"))</f>
        <v/>
      </c>
      <c r="AD430" s="36" t="str">
        <f aca="false">IF($B430="","",HOUR(C430))</f>
        <v/>
      </c>
      <c r="AE430" s="42" t="str">
        <f aca="false">IF($B430="","",IF(O430&lt;&gt;O429,MAX(V430-S430,V430),MAX(V430,AE429)))</f>
        <v/>
      </c>
      <c r="AF430" s="42" t="str">
        <f aca="false">IF($B430="","",V430-AE430)</f>
        <v/>
      </c>
      <c r="AG430" s="36" t="str">
        <f aca="false">IF($B430="","",IF(O430&lt;&gt;O429,IF(T430="G",1,-1),IF(T430="G",IF(N(AG429)&gt;0,AG429+1,1),IF(N(AG429)&lt;0,AG429-1,-1))))</f>
        <v/>
      </c>
    </row>
    <row r="431" customFormat="false" ht="15" hidden="false" customHeight="false" outlineLevel="0" collapsed="false">
      <c r="A431" s="36" t="str">
        <f aca="false">IF(B431="","",ROW()-6)</f>
        <v/>
      </c>
      <c r="B431" s="37"/>
      <c r="C431" s="38"/>
      <c r="D431" s="38"/>
      <c r="E431" s="39"/>
      <c r="F431" s="39"/>
      <c r="G431" s="39"/>
      <c r="H431" s="40"/>
      <c r="I431" s="40"/>
      <c r="J431" s="40"/>
      <c r="K431" s="40"/>
      <c r="L431" s="39"/>
      <c r="M431" s="40"/>
      <c r="N431" s="40"/>
      <c r="O431" s="36" t="str">
        <f aca="false">IF($B431="","",INT((A431-1)/Parametros!$C$10)+1)</f>
        <v/>
      </c>
      <c r="P431" s="41" t="str">
        <f aca="false">IF($B431="","",IF(OR(C431="",D431=""),"",ROUND((D431-C431)*1440,0)))</f>
        <v/>
      </c>
      <c r="Q431" s="42" t="str">
        <f aca="false">IF($B431="","",I431*VLOOKUP(E431,Parametros!$B$18:$D$24,2,FALSE()))</f>
        <v/>
      </c>
      <c r="R431" s="42" t="str">
        <f aca="false">IF($B431="","",G431*VLOOKUP(E431,Parametros!$B$18:$D$24,3,FALSE()))</f>
        <v/>
      </c>
      <c r="S431" s="42" t="str">
        <f aca="false">IF($B431="","",Q431-R431)</f>
        <v/>
      </c>
      <c r="T431" s="43" t="str">
        <f aca="false">IF($B431="","",IF(S431&gt;0,"G","P"))</f>
        <v/>
      </c>
      <c r="U431" s="44" t="str">
        <f aca="false">IF($B431="","",S431/Parametros!$C$8)</f>
        <v/>
      </c>
      <c r="V431" s="42" t="str">
        <f aca="false">IF($B431="","",Parametros!$C$6+SUM($S$7:S431))</f>
        <v/>
      </c>
      <c r="W431" s="42" t="str">
        <f aca="false">IF($B431="","",MAX(V431,W430))</f>
        <v/>
      </c>
      <c r="X431" s="42" t="str">
        <f aca="false">IF($B431="","",V431-W431)</f>
        <v/>
      </c>
      <c r="Y431" s="45" t="str">
        <f aca="false">IF($B431="","",X431/W431)</f>
        <v/>
      </c>
      <c r="Z431" s="36" t="str">
        <f aca="false">IF($B431="","",IF(T431="G",IF(N(Z430)&gt;0,Z430+1,1),IF(N(Z430)&lt;0,Z430-1,-1)))</f>
        <v/>
      </c>
      <c r="AA431" s="46" t="str">
        <f aca="false">IF($B431="","",B431-WEEKDAY(B431,2)+1)</f>
        <v/>
      </c>
      <c r="AB431" s="47" t="str">
        <f aca="false">IF($B431="","",DATE(YEAR(B431),MONTH(B431),1))</f>
        <v/>
      </c>
      <c r="AC431" s="41" t="str">
        <f aca="false">IF($B431="","",CHOOSE(WEEKDAY(B431,2),"Lunes","Martes","Miércoles","Jueves","Viernes","Sábado","Domingo"))</f>
        <v/>
      </c>
      <c r="AD431" s="36" t="str">
        <f aca="false">IF($B431="","",HOUR(C431))</f>
        <v/>
      </c>
      <c r="AE431" s="42" t="str">
        <f aca="false">IF($B431="","",IF(O431&lt;&gt;O430,MAX(V431-S431,V431),MAX(V431,AE430)))</f>
        <v/>
      </c>
      <c r="AF431" s="42" t="str">
        <f aca="false">IF($B431="","",V431-AE431)</f>
        <v/>
      </c>
      <c r="AG431" s="36" t="str">
        <f aca="false">IF($B431="","",IF(O431&lt;&gt;O430,IF(T431="G",1,-1),IF(T431="G",IF(N(AG430)&gt;0,AG430+1,1),IF(N(AG430)&lt;0,AG430-1,-1))))</f>
        <v/>
      </c>
    </row>
    <row r="432" customFormat="false" ht="15" hidden="false" customHeight="false" outlineLevel="0" collapsed="false">
      <c r="A432" s="36" t="str">
        <f aca="false">IF(B432="","",ROW()-6)</f>
        <v/>
      </c>
      <c r="B432" s="37"/>
      <c r="C432" s="38"/>
      <c r="D432" s="38"/>
      <c r="E432" s="39"/>
      <c r="F432" s="39"/>
      <c r="G432" s="39"/>
      <c r="H432" s="40"/>
      <c r="I432" s="40"/>
      <c r="J432" s="40"/>
      <c r="K432" s="40"/>
      <c r="L432" s="39"/>
      <c r="M432" s="40"/>
      <c r="N432" s="40"/>
      <c r="O432" s="36" t="str">
        <f aca="false">IF($B432="","",INT((A432-1)/Parametros!$C$10)+1)</f>
        <v/>
      </c>
      <c r="P432" s="41" t="str">
        <f aca="false">IF($B432="","",IF(OR(C432="",D432=""),"",ROUND((D432-C432)*1440,0)))</f>
        <v/>
      </c>
      <c r="Q432" s="42" t="str">
        <f aca="false">IF($B432="","",I432*VLOOKUP(E432,Parametros!$B$18:$D$24,2,FALSE()))</f>
        <v/>
      </c>
      <c r="R432" s="42" t="str">
        <f aca="false">IF($B432="","",G432*VLOOKUP(E432,Parametros!$B$18:$D$24,3,FALSE()))</f>
        <v/>
      </c>
      <c r="S432" s="42" t="str">
        <f aca="false">IF($B432="","",Q432-R432)</f>
        <v/>
      </c>
      <c r="T432" s="43" t="str">
        <f aca="false">IF($B432="","",IF(S432&gt;0,"G","P"))</f>
        <v/>
      </c>
      <c r="U432" s="44" t="str">
        <f aca="false">IF($B432="","",S432/Parametros!$C$8)</f>
        <v/>
      </c>
      <c r="V432" s="42" t="str">
        <f aca="false">IF($B432="","",Parametros!$C$6+SUM($S$7:S432))</f>
        <v/>
      </c>
      <c r="W432" s="42" t="str">
        <f aca="false">IF($B432="","",MAX(V432,W431))</f>
        <v/>
      </c>
      <c r="X432" s="42" t="str">
        <f aca="false">IF($B432="","",V432-W432)</f>
        <v/>
      </c>
      <c r="Y432" s="45" t="str">
        <f aca="false">IF($B432="","",X432/W432)</f>
        <v/>
      </c>
      <c r="Z432" s="36" t="str">
        <f aca="false">IF($B432="","",IF(T432="G",IF(N(Z431)&gt;0,Z431+1,1),IF(N(Z431)&lt;0,Z431-1,-1)))</f>
        <v/>
      </c>
      <c r="AA432" s="46" t="str">
        <f aca="false">IF($B432="","",B432-WEEKDAY(B432,2)+1)</f>
        <v/>
      </c>
      <c r="AB432" s="47" t="str">
        <f aca="false">IF($B432="","",DATE(YEAR(B432),MONTH(B432),1))</f>
        <v/>
      </c>
      <c r="AC432" s="41" t="str">
        <f aca="false">IF($B432="","",CHOOSE(WEEKDAY(B432,2),"Lunes","Martes","Miércoles","Jueves","Viernes","Sábado","Domingo"))</f>
        <v/>
      </c>
      <c r="AD432" s="36" t="str">
        <f aca="false">IF($B432="","",HOUR(C432))</f>
        <v/>
      </c>
      <c r="AE432" s="42" t="str">
        <f aca="false">IF($B432="","",IF(O432&lt;&gt;O431,MAX(V432-S432,V432),MAX(V432,AE431)))</f>
        <v/>
      </c>
      <c r="AF432" s="42" t="str">
        <f aca="false">IF($B432="","",V432-AE432)</f>
        <v/>
      </c>
      <c r="AG432" s="36" t="str">
        <f aca="false">IF($B432="","",IF(O432&lt;&gt;O431,IF(T432="G",1,-1),IF(T432="G",IF(N(AG431)&gt;0,AG431+1,1),IF(N(AG431)&lt;0,AG431-1,-1))))</f>
        <v/>
      </c>
    </row>
    <row r="433" customFormat="false" ht="15" hidden="false" customHeight="false" outlineLevel="0" collapsed="false">
      <c r="A433" s="36" t="str">
        <f aca="false">IF(B433="","",ROW()-6)</f>
        <v/>
      </c>
      <c r="B433" s="37"/>
      <c r="C433" s="38"/>
      <c r="D433" s="38"/>
      <c r="E433" s="39"/>
      <c r="F433" s="39"/>
      <c r="G433" s="39"/>
      <c r="H433" s="40"/>
      <c r="I433" s="40"/>
      <c r="J433" s="40"/>
      <c r="K433" s="40"/>
      <c r="L433" s="39"/>
      <c r="M433" s="40"/>
      <c r="N433" s="40"/>
      <c r="O433" s="36" t="str">
        <f aca="false">IF($B433="","",INT((A433-1)/Parametros!$C$10)+1)</f>
        <v/>
      </c>
      <c r="P433" s="41" t="str">
        <f aca="false">IF($B433="","",IF(OR(C433="",D433=""),"",ROUND((D433-C433)*1440,0)))</f>
        <v/>
      </c>
      <c r="Q433" s="42" t="str">
        <f aca="false">IF($B433="","",I433*VLOOKUP(E433,Parametros!$B$18:$D$24,2,FALSE()))</f>
        <v/>
      </c>
      <c r="R433" s="42" t="str">
        <f aca="false">IF($B433="","",G433*VLOOKUP(E433,Parametros!$B$18:$D$24,3,FALSE()))</f>
        <v/>
      </c>
      <c r="S433" s="42" t="str">
        <f aca="false">IF($B433="","",Q433-R433)</f>
        <v/>
      </c>
      <c r="T433" s="43" t="str">
        <f aca="false">IF($B433="","",IF(S433&gt;0,"G","P"))</f>
        <v/>
      </c>
      <c r="U433" s="44" t="str">
        <f aca="false">IF($B433="","",S433/Parametros!$C$8)</f>
        <v/>
      </c>
      <c r="V433" s="42" t="str">
        <f aca="false">IF($B433="","",Parametros!$C$6+SUM($S$7:S433))</f>
        <v/>
      </c>
      <c r="W433" s="42" t="str">
        <f aca="false">IF($B433="","",MAX(V433,W432))</f>
        <v/>
      </c>
      <c r="X433" s="42" t="str">
        <f aca="false">IF($B433="","",V433-W433)</f>
        <v/>
      </c>
      <c r="Y433" s="45" t="str">
        <f aca="false">IF($B433="","",X433/W433)</f>
        <v/>
      </c>
      <c r="Z433" s="36" t="str">
        <f aca="false">IF($B433="","",IF(T433="G",IF(N(Z432)&gt;0,Z432+1,1),IF(N(Z432)&lt;0,Z432-1,-1)))</f>
        <v/>
      </c>
      <c r="AA433" s="46" t="str">
        <f aca="false">IF($B433="","",B433-WEEKDAY(B433,2)+1)</f>
        <v/>
      </c>
      <c r="AB433" s="47" t="str">
        <f aca="false">IF($B433="","",DATE(YEAR(B433),MONTH(B433),1))</f>
        <v/>
      </c>
      <c r="AC433" s="41" t="str">
        <f aca="false">IF($B433="","",CHOOSE(WEEKDAY(B433,2),"Lunes","Martes","Miércoles","Jueves","Viernes","Sábado","Domingo"))</f>
        <v/>
      </c>
      <c r="AD433" s="36" t="str">
        <f aca="false">IF($B433="","",HOUR(C433))</f>
        <v/>
      </c>
      <c r="AE433" s="42" t="str">
        <f aca="false">IF($B433="","",IF(O433&lt;&gt;O432,MAX(V433-S433,V433),MAX(V433,AE432)))</f>
        <v/>
      </c>
      <c r="AF433" s="42" t="str">
        <f aca="false">IF($B433="","",V433-AE433)</f>
        <v/>
      </c>
      <c r="AG433" s="36" t="str">
        <f aca="false">IF($B433="","",IF(O433&lt;&gt;O432,IF(T433="G",1,-1),IF(T433="G",IF(N(AG432)&gt;0,AG432+1,1),IF(N(AG432)&lt;0,AG432-1,-1))))</f>
        <v/>
      </c>
    </row>
    <row r="434" customFormat="false" ht="15" hidden="false" customHeight="false" outlineLevel="0" collapsed="false">
      <c r="A434" s="36" t="str">
        <f aca="false">IF(B434="","",ROW()-6)</f>
        <v/>
      </c>
      <c r="B434" s="37"/>
      <c r="C434" s="38"/>
      <c r="D434" s="38"/>
      <c r="E434" s="39"/>
      <c r="F434" s="39"/>
      <c r="G434" s="39"/>
      <c r="H434" s="40"/>
      <c r="I434" s="40"/>
      <c r="J434" s="40"/>
      <c r="K434" s="40"/>
      <c r="L434" s="39"/>
      <c r="M434" s="40"/>
      <c r="N434" s="40"/>
      <c r="O434" s="36" t="str">
        <f aca="false">IF($B434="","",INT((A434-1)/Parametros!$C$10)+1)</f>
        <v/>
      </c>
      <c r="P434" s="41" t="str">
        <f aca="false">IF($B434="","",IF(OR(C434="",D434=""),"",ROUND((D434-C434)*1440,0)))</f>
        <v/>
      </c>
      <c r="Q434" s="42" t="str">
        <f aca="false">IF($B434="","",I434*VLOOKUP(E434,Parametros!$B$18:$D$24,2,FALSE()))</f>
        <v/>
      </c>
      <c r="R434" s="42" t="str">
        <f aca="false">IF($B434="","",G434*VLOOKUP(E434,Parametros!$B$18:$D$24,3,FALSE()))</f>
        <v/>
      </c>
      <c r="S434" s="42" t="str">
        <f aca="false">IF($B434="","",Q434-R434)</f>
        <v/>
      </c>
      <c r="T434" s="43" t="str">
        <f aca="false">IF($B434="","",IF(S434&gt;0,"G","P"))</f>
        <v/>
      </c>
      <c r="U434" s="44" t="str">
        <f aca="false">IF($B434="","",S434/Parametros!$C$8)</f>
        <v/>
      </c>
      <c r="V434" s="42" t="str">
        <f aca="false">IF($B434="","",Parametros!$C$6+SUM($S$7:S434))</f>
        <v/>
      </c>
      <c r="W434" s="42" t="str">
        <f aca="false">IF($B434="","",MAX(V434,W433))</f>
        <v/>
      </c>
      <c r="X434" s="42" t="str">
        <f aca="false">IF($B434="","",V434-W434)</f>
        <v/>
      </c>
      <c r="Y434" s="45" t="str">
        <f aca="false">IF($B434="","",X434/W434)</f>
        <v/>
      </c>
      <c r="Z434" s="36" t="str">
        <f aca="false">IF($B434="","",IF(T434="G",IF(N(Z433)&gt;0,Z433+1,1),IF(N(Z433)&lt;0,Z433-1,-1)))</f>
        <v/>
      </c>
      <c r="AA434" s="46" t="str">
        <f aca="false">IF($B434="","",B434-WEEKDAY(B434,2)+1)</f>
        <v/>
      </c>
      <c r="AB434" s="47" t="str">
        <f aca="false">IF($B434="","",DATE(YEAR(B434),MONTH(B434),1))</f>
        <v/>
      </c>
      <c r="AC434" s="41" t="str">
        <f aca="false">IF($B434="","",CHOOSE(WEEKDAY(B434,2),"Lunes","Martes","Miércoles","Jueves","Viernes","Sábado","Domingo"))</f>
        <v/>
      </c>
      <c r="AD434" s="36" t="str">
        <f aca="false">IF($B434="","",HOUR(C434))</f>
        <v/>
      </c>
      <c r="AE434" s="42" t="str">
        <f aca="false">IF($B434="","",IF(O434&lt;&gt;O433,MAX(V434-S434,V434),MAX(V434,AE433)))</f>
        <v/>
      </c>
      <c r="AF434" s="42" t="str">
        <f aca="false">IF($B434="","",V434-AE434)</f>
        <v/>
      </c>
      <c r="AG434" s="36" t="str">
        <f aca="false">IF($B434="","",IF(O434&lt;&gt;O433,IF(T434="G",1,-1),IF(T434="G",IF(N(AG433)&gt;0,AG433+1,1),IF(N(AG433)&lt;0,AG433-1,-1))))</f>
        <v/>
      </c>
    </row>
    <row r="435" customFormat="false" ht="15" hidden="false" customHeight="false" outlineLevel="0" collapsed="false">
      <c r="A435" s="36" t="str">
        <f aca="false">IF(B435="","",ROW()-6)</f>
        <v/>
      </c>
      <c r="B435" s="37"/>
      <c r="C435" s="38"/>
      <c r="D435" s="38"/>
      <c r="E435" s="39"/>
      <c r="F435" s="39"/>
      <c r="G435" s="39"/>
      <c r="H435" s="40"/>
      <c r="I435" s="40"/>
      <c r="J435" s="40"/>
      <c r="K435" s="40"/>
      <c r="L435" s="39"/>
      <c r="M435" s="40"/>
      <c r="N435" s="40"/>
      <c r="O435" s="36" t="str">
        <f aca="false">IF($B435="","",INT((A435-1)/Parametros!$C$10)+1)</f>
        <v/>
      </c>
      <c r="P435" s="41" t="str">
        <f aca="false">IF($B435="","",IF(OR(C435="",D435=""),"",ROUND((D435-C435)*1440,0)))</f>
        <v/>
      </c>
      <c r="Q435" s="42" t="str">
        <f aca="false">IF($B435="","",I435*VLOOKUP(E435,Parametros!$B$18:$D$24,2,FALSE()))</f>
        <v/>
      </c>
      <c r="R435" s="42" t="str">
        <f aca="false">IF($B435="","",G435*VLOOKUP(E435,Parametros!$B$18:$D$24,3,FALSE()))</f>
        <v/>
      </c>
      <c r="S435" s="42" t="str">
        <f aca="false">IF($B435="","",Q435-R435)</f>
        <v/>
      </c>
      <c r="T435" s="43" t="str">
        <f aca="false">IF($B435="","",IF(S435&gt;0,"G","P"))</f>
        <v/>
      </c>
      <c r="U435" s="44" t="str">
        <f aca="false">IF($B435="","",S435/Parametros!$C$8)</f>
        <v/>
      </c>
      <c r="V435" s="42" t="str">
        <f aca="false">IF($B435="","",Parametros!$C$6+SUM($S$7:S435))</f>
        <v/>
      </c>
      <c r="W435" s="42" t="str">
        <f aca="false">IF($B435="","",MAX(V435,W434))</f>
        <v/>
      </c>
      <c r="X435" s="42" t="str">
        <f aca="false">IF($B435="","",V435-W435)</f>
        <v/>
      </c>
      <c r="Y435" s="45" t="str">
        <f aca="false">IF($B435="","",X435/W435)</f>
        <v/>
      </c>
      <c r="Z435" s="36" t="str">
        <f aca="false">IF($B435="","",IF(T435="G",IF(N(Z434)&gt;0,Z434+1,1),IF(N(Z434)&lt;0,Z434-1,-1)))</f>
        <v/>
      </c>
      <c r="AA435" s="46" t="str">
        <f aca="false">IF($B435="","",B435-WEEKDAY(B435,2)+1)</f>
        <v/>
      </c>
      <c r="AB435" s="47" t="str">
        <f aca="false">IF($B435="","",DATE(YEAR(B435),MONTH(B435),1))</f>
        <v/>
      </c>
      <c r="AC435" s="41" t="str">
        <f aca="false">IF($B435="","",CHOOSE(WEEKDAY(B435,2),"Lunes","Martes","Miércoles","Jueves","Viernes","Sábado","Domingo"))</f>
        <v/>
      </c>
      <c r="AD435" s="36" t="str">
        <f aca="false">IF($B435="","",HOUR(C435))</f>
        <v/>
      </c>
      <c r="AE435" s="42" t="str">
        <f aca="false">IF($B435="","",IF(O435&lt;&gt;O434,MAX(V435-S435,V435),MAX(V435,AE434)))</f>
        <v/>
      </c>
      <c r="AF435" s="42" t="str">
        <f aca="false">IF($B435="","",V435-AE435)</f>
        <v/>
      </c>
      <c r="AG435" s="36" t="str">
        <f aca="false">IF($B435="","",IF(O435&lt;&gt;O434,IF(T435="G",1,-1),IF(T435="G",IF(N(AG434)&gt;0,AG434+1,1),IF(N(AG434)&lt;0,AG434-1,-1))))</f>
        <v/>
      </c>
    </row>
    <row r="436" customFormat="false" ht="15" hidden="false" customHeight="false" outlineLevel="0" collapsed="false">
      <c r="A436" s="36" t="str">
        <f aca="false">IF(B436="","",ROW()-6)</f>
        <v/>
      </c>
      <c r="B436" s="37"/>
      <c r="C436" s="38"/>
      <c r="D436" s="38"/>
      <c r="E436" s="39"/>
      <c r="F436" s="39"/>
      <c r="G436" s="39"/>
      <c r="H436" s="40"/>
      <c r="I436" s="40"/>
      <c r="J436" s="40"/>
      <c r="K436" s="40"/>
      <c r="L436" s="39"/>
      <c r="M436" s="40"/>
      <c r="N436" s="40"/>
      <c r="O436" s="36" t="str">
        <f aca="false">IF($B436="","",INT((A436-1)/Parametros!$C$10)+1)</f>
        <v/>
      </c>
      <c r="P436" s="41" t="str">
        <f aca="false">IF($B436="","",IF(OR(C436="",D436=""),"",ROUND((D436-C436)*1440,0)))</f>
        <v/>
      </c>
      <c r="Q436" s="42" t="str">
        <f aca="false">IF($B436="","",I436*VLOOKUP(E436,Parametros!$B$18:$D$24,2,FALSE()))</f>
        <v/>
      </c>
      <c r="R436" s="42" t="str">
        <f aca="false">IF($B436="","",G436*VLOOKUP(E436,Parametros!$B$18:$D$24,3,FALSE()))</f>
        <v/>
      </c>
      <c r="S436" s="42" t="str">
        <f aca="false">IF($B436="","",Q436-R436)</f>
        <v/>
      </c>
      <c r="T436" s="43" t="str">
        <f aca="false">IF($B436="","",IF(S436&gt;0,"G","P"))</f>
        <v/>
      </c>
      <c r="U436" s="44" t="str">
        <f aca="false">IF($B436="","",S436/Parametros!$C$8)</f>
        <v/>
      </c>
      <c r="V436" s="42" t="str">
        <f aca="false">IF($B436="","",Parametros!$C$6+SUM($S$7:S436))</f>
        <v/>
      </c>
      <c r="W436" s="42" t="str">
        <f aca="false">IF($B436="","",MAX(V436,W435))</f>
        <v/>
      </c>
      <c r="X436" s="42" t="str">
        <f aca="false">IF($B436="","",V436-W436)</f>
        <v/>
      </c>
      <c r="Y436" s="45" t="str">
        <f aca="false">IF($B436="","",X436/W436)</f>
        <v/>
      </c>
      <c r="Z436" s="36" t="str">
        <f aca="false">IF($B436="","",IF(T436="G",IF(N(Z435)&gt;0,Z435+1,1),IF(N(Z435)&lt;0,Z435-1,-1)))</f>
        <v/>
      </c>
      <c r="AA436" s="46" t="str">
        <f aca="false">IF($B436="","",B436-WEEKDAY(B436,2)+1)</f>
        <v/>
      </c>
      <c r="AB436" s="47" t="str">
        <f aca="false">IF($B436="","",DATE(YEAR(B436),MONTH(B436),1))</f>
        <v/>
      </c>
      <c r="AC436" s="41" t="str">
        <f aca="false">IF($B436="","",CHOOSE(WEEKDAY(B436,2),"Lunes","Martes","Miércoles","Jueves","Viernes","Sábado","Domingo"))</f>
        <v/>
      </c>
      <c r="AD436" s="36" t="str">
        <f aca="false">IF($B436="","",HOUR(C436))</f>
        <v/>
      </c>
      <c r="AE436" s="42" t="str">
        <f aca="false">IF($B436="","",IF(O436&lt;&gt;O435,MAX(V436-S436,V436),MAX(V436,AE435)))</f>
        <v/>
      </c>
      <c r="AF436" s="42" t="str">
        <f aca="false">IF($B436="","",V436-AE436)</f>
        <v/>
      </c>
      <c r="AG436" s="36" t="str">
        <f aca="false">IF($B436="","",IF(O436&lt;&gt;O435,IF(T436="G",1,-1),IF(T436="G",IF(N(AG435)&gt;0,AG435+1,1),IF(N(AG435)&lt;0,AG435-1,-1))))</f>
        <v/>
      </c>
    </row>
    <row r="437" customFormat="false" ht="15" hidden="false" customHeight="false" outlineLevel="0" collapsed="false">
      <c r="A437" s="36" t="str">
        <f aca="false">IF(B437="","",ROW()-6)</f>
        <v/>
      </c>
      <c r="B437" s="37"/>
      <c r="C437" s="38"/>
      <c r="D437" s="38"/>
      <c r="E437" s="39"/>
      <c r="F437" s="39"/>
      <c r="G437" s="39"/>
      <c r="H437" s="40"/>
      <c r="I437" s="40"/>
      <c r="J437" s="40"/>
      <c r="K437" s="40"/>
      <c r="L437" s="39"/>
      <c r="M437" s="40"/>
      <c r="N437" s="40"/>
      <c r="O437" s="36" t="str">
        <f aca="false">IF($B437="","",INT((A437-1)/Parametros!$C$10)+1)</f>
        <v/>
      </c>
      <c r="P437" s="41" t="str">
        <f aca="false">IF($B437="","",IF(OR(C437="",D437=""),"",ROUND((D437-C437)*1440,0)))</f>
        <v/>
      </c>
      <c r="Q437" s="42" t="str">
        <f aca="false">IF($B437="","",I437*VLOOKUP(E437,Parametros!$B$18:$D$24,2,FALSE()))</f>
        <v/>
      </c>
      <c r="R437" s="42" t="str">
        <f aca="false">IF($B437="","",G437*VLOOKUP(E437,Parametros!$B$18:$D$24,3,FALSE()))</f>
        <v/>
      </c>
      <c r="S437" s="42" t="str">
        <f aca="false">IF($B437="","",Q437-R437)</f>
        <v/>
      </c>
      <c r="T437" s="43" t="str">
        <f aca="false">IF($B437="","",IF(S437&gt;0,"G","P"))</f>
        <v/>
      </c>
      <c r="U437" s="44" t="str">
        <f aca="false">IF($B437="","",S437/Parametros!$C$8)</f>
        <v/>
      </c>
      <c r="V437" s="42" t="str">
        <f aca="false">IF($B437="","",Parametros!$C$6+SUM($S$7:S437))</f>
        <v/>
      </c>
      <c r="W437" s="42" t="str">
        <f aca="false">IF($B437="","",MAX(V437,W436))</f>
        <v/>
      </c>
      <c r="X437" s="42" t="str">
        <f aca="false">IF($B437="","",V437-W437)</f>
        <v/>
      </c>
      <c r="Y437" s="45" t="str">
        <f aca="false">IF($B437="","",X437/W437)</f>
        <v/>
      </c>
      <c r="Z437" s="36" t="str">
        <f aca="false">IF($B437="","",IF(T437="G",IF(N(Z436)&gt;0,Z436+1,1),IF(N(Z436)&lt;0,Z436-1,-1)))</f>
        <v/>
      </c>
      <c r="AA437" s="46" t="str">
        <f aca="false">IF($B437="","",B437-WEEKDAY(B437,2)+1)</f>
        <v/>
      </c>
      <c r="AB437" s="47" t="str">
        <f aca="false">IF($B437="","",DATE(YEAR(B437),MONTH(B437),1))</f>
        <v/>
      </c>
      <c r="AC437" s="41" t="str">
        <f aca="false">IF($B437="","",CHOOSE(WEEKDAY(B437,2),"Lunes","Martes","Miércoles","Jueves","Viernes","Sábado","Domingo"))</f>
        <v/>
      </c>
      <c r="AD437" s="36" t="str">
        <f aca="false">IF($B437="","",HOUR(C437))</f>
        <v/>
      </c>
      <c r="AE437" s="42" t="str">
        <f aca="false">IF($B437="","",IF(O437&lt;&gt;O436,MAX(V437-S437,V437),MAX(V437,AE436)))</f>
        <v/>
      </c>
      <c r="AF437" s="42" t="str">
        <f aca="false">IF($B437="","",V437-AE437)</f>
        <v/>
      </c>
      <c r="AG437" s="36" t="str">
        <f aca="false">IF($B437="","",IF(O437&lt;&gt;O436,IF(T437="G",1,-1),IF(T437="G",IF(N(AG436)&gt;0,AG436+1,1),IF(N(AG436)&lt;0,AG436-1,-1))))</f>
        <v/>
      </c>
    </row>
    <row r="438" customFormat="false" ht="15" hidden="false" customHeight="false" outlineLevel="0" collapsed="false">
      <c r="A438" s="36" t="str">
        <f aca="false">IF(B438="","",ROW()-6)</f>
        <v/>
      </c>
      <c r="B438" s="37"/>
      <c r="C438" s="38"/>
      <c r="D438" s="38"/>
      <c r="E438" s="39"/>
      <c r="F438" s="39"/>
      <c r="G438" s="39"/>
      <c r="H438" s="40"/>
      <c r="I438" s="40"/>
      <c r="J438" s="40"/>
      <c r="K438" s="40"/>
      <c r="L438" s="39"/>
      <c r="M438" s="40"/>
      <c r="N438" s="40"/>
      <c r="O438" s="36" t="str">
        <f aca="false">IF($B438="","",INT((A438-1)/Parametros!$C$10)+1)</f>
        <v/>
      </c>
      <c r="P438" s="41" t="str">
        <f aca="false">IF($B438="","",IF(OR(C438="",D438=""),"",ROUND((D438-C438)*1440,0)))</f>
        <v/>
      </c>
      <c r="Q438" s="42" t="str">
        <f aca="false">IF($B438="","",I438*VLOOKUP(E438,Parametros!$B$18:$D$24,2,FALSE()))</f>
        <v/>
      </c>
      <c r="R438" s="42" t="str">
        <f aca="false">IF($B438="","",G438*VLOOKUP(E438,Parametros!$B$18:$D$24,3,FALSE()))</f>
        <v/>
      </c>
      <c r="S438" s="42" t="str">
        <f aca="false">IF($B438="","",Q438-R438)</f>
        <v/>
      </c>
      <c r="T438" s="43" t="str">
        <f aca="false">IF($B438="","",IF(S438&gt;0,"G","P"))</f>
        <v/>
      </c>
      <c r="U438" s="44" t="str">
        <f aca="false">IF($B438="","",S438/Parametros!$C$8)</f>
        <v/>
      </c>
      <c r="V438" s="42" t="str">
        <f aca="false">IF($B438="","",Parametros!$C$6+SUM($S$7:S438))</f>
        <v/>
      </c>
      <c r="W438" s="42" t="str">
        <f aca="false">IF($B438="","",MAX(V438,W437))</f>
        <v/>
      </c>
      <c r="X438" s="42" t="str">
        <f aca="false">IF($B438="","",V438-W438)</f>
        <v/>
      </c>
      <c r="Y438" s="45" t="str">
        <f aca="false">IF($B438="","",X438/W438)</f>
        <v/>
      </c>
      <c r="Z438" s="36" t="str">
        <f aca="false">IF($B438="","",IF(T438="G",IF(N(Z437)&gt;0,Z437+1,1),IF(N(Z437)&lt;0,Z437-1,-1)))</f>
        <v/>
      </c>
      <c r="AA438" s="46" t="str">
        <f aca="false">IF($B438="","",B438-WEEKDAY(B438,2)+1)</f>
        <v/>
      </c>
      <c r="AB438" s="47" t="str">
        <f aca="false">IF($B438="","",DATE(YEAR(B438),MONTH(B438),1))</f>
        <v/>
      </c>
      <c r="AC438" s="41" t="str">
        <f aca="false">IF($B438="","",CHOOSE(WEEKDAY(B438,2),"Lunes","Martes","Miércoles","Jueves","Viernes","Sábado","Domingo"))</f>
        <v/>
      </c>
      <c r="AD438" s="36" t="str">
        <f aca="false">IF($B438="","",HOUR(C438))</f>
        <v/>
      </c>
      <c r="AE438" s="42" t="str">
        <f aca="false">IF($B438="","",IF(O438&lt;&gt;O437,MAX(V438-S438,V438),MAX(V438,AE437)))</f>
        <v/>
      </c>
      <c r="AF438" s="42" t="str">
        <f aca="false">IF($B438="","",V438-AE438)</f>
        <v/>
      </c>
      <c r="AG438" s="36" t="str">
        <f aca="false">IF($B438="","",IF(O438&lt;&gt;O437,IF(T438="G",1,-1),IF(T438="G",IF(N(AG437)&gt;0,AG437+1,1),IF(N(AG437)&lt;0,AG437-1,-1))))</f>
        <v/>
      </c>
    </row>
    <row r="439" customFormat="false" ht="15" hidden="false" customHeight="false" outlineLevel="0" collapsed="false">
      <c r="A439" s="36" t="str">
        <f aca="false">IF(B439="","",ROW()-6)</f>
        <v/>
      </c>
      <c r="B439" s="37"/>
      <c r="C439" s="38"/>
      <c r="D439" s="38"/>
      <c r="E439" s="39"/>
      <c r="F439" s="39"/>
      <c r="G439" s="39"/>
      <c r="H439" s="40"/>
      <c r="I439" s="40"/>
      <c r="J439" s="40"/>
      <c r="K439" s="40"/>
      <c r="L439" s="39"/>
      <c r="M439" s="40"/>
      <c r="N439" s="40"/>
      <c r="O439" s="36" t="str">
        <f aca="false">IF($B439="","",INT((A439-1)/Parametros!$C$10)+1)</f>
        <v/>
      </c>
      <c r="P439" s="41" t="str">
        <f aca="false">IF($B439="","",IF(OR(C439="",D439=""),"",ROUND((D439-C439)*1440,0)))</f>
        <v/>
      </c>
      <c r="Q439" s="42" t="str">
        <f aca="false">IF($B439="","",I439*VLOOKUP(E439,Parametros!$B$18:$D$24,2,FALSE()))</f>
        <v/>
      </c>
      <c r="R439" s="42" t="str">
        <f aca="false">IF($B439="","",G439*VLOOKUP(E439,Parametros!$B$18:$D$24,3,FALSE()))</f>
        <v/>
      </c>
      <c r="S439" s="42" t="str">
        <f aca="false">IF($B439="","",Q439-R439)</f>
        <v/>
      </c>
      <c r="T439" s="43" t="str">
        <f aca="false">IF($B439="","",IF(S439&gt;0,"G","P"))</f>
        <v/>
      </c>
      <c r="U439" s="44" t="str">
        <f aca="false">IF($B439="","",S439/Parametros!$C$8)</f>
        <v/>
      </c>
      <c r="V439" s="42" t="str">
        <f aca="false">IF($B439="","",Parametros!$C$6+SUM($S$7:S439))</f>
        <v/>
      </c>
      <c r="W439" s="42" t="str">
        <f aca="false">IF($B439="","",MAX(V439,W438))</f>
        <v/>
      </c>
      <c r="X439" s="42" t="str">
        <f aca="false">IF($B439="","",V439-W439)</f>
        <v/>
      </c>
      <c r="Y439" s="45" t="str">
        <f aca="false">IF($B439="","",X439/W439)</f>
        <v/>
      </c>
      <c r="Z439" s="36" t="str">
        <f aca="false">IF($B439="","",IF(T439="G",IF(N(Z438)&gt;0,Z438+1,1),IF(N(Z438)&lt;0,Z438-1,-1)))</f>
        <v/>
      </c>
      <c r="AA439" s="46" t="str">
        <f aca="false">IF($B439="","",B439-WEEKDAY(B439,2)+1)</f>
        <v/>
      </c>
      <c r="AB439" s="47" t="str">
        <f aca="false">IF($B439="","",DATE(YEAR(B439),MONTH(B439),1))</f>
        <v/>
      </c>
      <c r="AC439" s="41" t="str">
        <f aca="false">IF($B439="","",CHOOSE(WEEKDAY(B439,2),"Lunes","Martes","Miércoles","Jueves","Viernes","Sábado","Domingo"))</f>
        <v/>
      </c>
      <c r="AD439" s="36" t="str">
        <f aca="false">IF($B439="","",HOUR(C439))</f>
        <v/>
      </c>
      <c r="AE439" s="42" t="str">
        <f aca="false">IF($B439="","",IF(O439&lt;&gt;O438,MAX(V439-S439,V439),MAX(V439,AE438)))</f>
        <v/>
      </c>
      <c r="AF439" s="42" t="str">
        <f aca="false">IF($B439="","",V439-AE439)</f>
        <v/>
      </c>
      <c r="AG439" s="36" t="str">
        <f aca="false">IF($B439="","",IF(O439&lt;&gt;O438,IF(T439="G",1,-1),IF(T439="G",IF(N(AG438)&gt;0,AG438+1,1),IF(N(AG438)&lt;0,AG438-1,-1))))</f>
        <v/>
      </c>
    </row>
    <row r="440" customFormat="false" ht="15" hidden="false" customHeight="false" outlineLevel="0" collapsed="false">
      <c r="A440" s="36" t="str">
        <f aca="false">IF(B440="","",ROW()-6)</f>
        <v/>
      </c>
      <c r="B440" s="37"/>
      <c r="C440" s="38"/>
      <c r="D440" s="38"/>
      <c r="E440" s="39"/>
      <c r="F440" s="39"/>
      <c r="G440" s="39"/>
      <c r="H440" s="40"/>
      <c r="I440" s="40"/>
      <c r="J440" s="40"/>
      <c r="K440" s="40"/>
      <c r="L440" s="39"/>
      <c r="M440" s="40"/>
      <c r="N440" s="40"/>
      <c r="O440" s="36" t="str">
        <f aca="false">IF($B440="","",INT((A440-1)/Parametros!$C$10)+1)</f>
        <v/>
      </c>
      <c r="P440" s="41" t="str">
        <f aca="false">IF($B440="","",IF(OR(C440="",D440=""),"",ROUND((D440-C440)*1440,0)))</f>
        <v/>
      </c>
      <c r="Q440" s="42" t="str">
        <f aca="false">IF($B440="","",I440*VLOOKUP(E440,Parametros!$B$18:$D$24,2,FALSE()))</f>
        <v/>
      </c>
      <c r="R440" s="42" t="str">
        <f aca="false">IF($B440="","",G440*VLOOKUP(E440,Parametros!$B$18:$D$24,3,FALSE()))</f>
        <v/>
      </c>
      <c r="S440" s="42" t="str">
        <f aca="false">IF($B440="","",Q440-R440)</f>
        <v/>
      </c>
      <c r="T440" s="43" t="str">
        <f aca="false">IF($B440="","",IF(S440&gt;0,"G","P"))</f>
        <v/>
      </c>
      <c r="U440" s="44" t="str">
        <f aca="false">IF($B440="","",S440/Parametros!$C$8)</f>
        <v/>
      </c>
      <c r="V440" s="42" t="str">
        <f aca="false">IF($B440="","",Parametros!$C$6+SUM($S$7:S440))</f>
        <v/>
      </c>
      <c r="W440" s="42" t="str">
        <f aca="false">IF($B440="","",MAX(V440,W439))</f>
        <v/>
      </c>
      <c r="X440" s="42" t="str">
        <f aca="false">IF($B440="","",V440-W440)</f>
        <v/>
      </c>
      <c r="Y440" s="45" t="str">
        <f aca="false">IF($B440="","",X440/W440)</f>
        <v/>
      </c>
      <c r="Z440" s="36" t="str">
        <f aca="false">IF($B440="","",IF(T440="G",IF(N(Z439)&gt;0,Z439+1,1),IF(N(Z439)&lt;0,Z439-1,-1)))</f>
        <v/>
      </c>
      <c r="AA440" s="46" t="str">
        <f aca="false">IF($B440="","",B440-WEEKDAY(B440,2)+1)</f>
        <v/>
      </c>
      <c r="AB440" s="47" t="str">
        <f aca="false">IF($B440="","",DATE(YEAR(B440),MONTH(B440),1))</f>
        <v/>
      </c>
      <c r="AC440" s="41" t="str">
        <f aca="false">IF($B440="","",CHOOSE(WEEKDAY(B440,2),"Lunes","Martes","Miércoles","Jueves","Viernes","Sábado","Domingo"))</f>
        <v/>
      </c>
      <c r="AD440" s="36" t="str">
        <f aca="false">IF($B440="","",HOUR(C440))</f>
        <v/>
      </c>
      <c r="AE440" s="42" t="str">
        <f aca="false">IF($B440="","",IF(O440&lt;&gt;O439,MAX(V440-S440,V440),MAX(V440,AE439)))</f>
        <v/>
      </c>
      <c r="AF440" s="42" t="str">
        <f aca="false">IF($B440="","",V440-AE440)</f>
        <v/>
      </c>
      <c r="AG440" s="36" t="str">
        <f aca="false">IF($B440="","",IF(O440&lt;&gt;O439,IF(T440="G",1,-1),IF(T440="G",IF(N(AG439)&gt;0,AG439+1,1),IF(N(AG439)&lt;0,AG439-1,-1))))</f>
        <v/>
      </c>
    </row>
    <row r="441" customFormat="false" ht="15" hidden="false" customHeight="false" outlineLevel="0" collapsed="false">
      <c r="A441" s="36" t="str">
        <f aca="false">IF(B441="","",ROW()-6)</f>
        <v/>
      </c>
      <c r="B441" s="37"/>
      <c r="C441" s="38"/>
      <c r="D441" s="38"/>
      <c r="E441" s="39"/>
      <c r="F441" s="39"/>
      <c r="G441" s="39"/>
      <c r="H441" s="40"/>
      <c r="I441" s="40"/>
      <c r="J441" s="40"/>
      <c r="K441" s="40"/>
      <c r="L441" s="39"/>
      <c r="M441" s="40"/>
      <c r="N441" s="40"/>
      <c r="O441" s="36" t="str">
        <f aca="false">IF($B441="","",INT((A441-1)/Parametros!$C$10)+1)</f>
        <v/>
      </c>
      <c r="P441" s="41" t="str">
        <f aca="false">IF($B441="","",IF(OR(C441="",D441=""),"",ROUND((D441-C441)*1440,0)))</f>
        <v/>
      </c>
      <c r="Q441" s="42" t="str">
        <f aca="false">IF($B441="","",I441*VLOOKUP(E441,Parametros!$B$18:$D$24,2,FALSE()))</f>
        <v/>
      </c>
      <c r="R441" s="42" t="str">
        <f aca="false">IF($B441="","",G441*VLOOKUP(E441,Parametros!$B$18:$D$24,3,FALSE()))</f>
        <v/>
      </c>
      <c r="S441" s="42" t="str">
        <f aca="false">IF($B441="","",Q441-R441)</f>
        <v/>
      </c>
      <c r="T441" s="43" t="str">
        <f aca="false">IF($B441="","",IF(S441&gt;0,"G","P"))</f>
        <v/>
      </c>
      <c r="U441" s="44" t="str">
        <f aca="false">IF($B441="","",S441/Parametros!$C$8)</f>
        <v/>
      </c>
      <c r="V441" s="42" t="str">
        <f aca="false">IF($B441="","",Parametros!$C$6+SUM($S$7:S441))</f>
        <v/>
      </c>
      <c r="W441" s="42" t="str">
        <f aca="false">IF($B441="","",MAX(V441,W440))</f>
        <v/>
      </c>
      <c r="X441" s="42" t="str">
        <f aca="false">IF($B441="","",V441-W441)</f>
        <v/>
      </c>
      <c r="Y441" s="45" t="str">
        <f aca="false">IF($B441="","",X441/W441)</f>
        <v/>
      </c>
      <c r="Z441" s="36" t="str">
        <f aca="false">IF($B441="","",IF(T441="G",IF(N(Z440)&gt;0,Z440+1,1),IF(N(Z440)&lt;0,Z440-1,-1)))</f>
        <v/>
      </c>
      <c r="AA441" s="46" t="str">
        <f aca="false">IF($B441="","",B441-WEEKDAY(B441,2)+1)</f>
        <v/>
      </c>
      <c r="AB441" s="47" t="str">
        <f aca="false">IF($B441="","",DATE(YEAR(B441),MONTH(B441),1))</f>
        <v/>
      </c>
      <c r="AC441" s="41" t="str">
        <f aca="false">IF($B441="","",CHOOSE(WEEKDAY(B441,2),"Lunes","Martes","Miércoles","Jueves","Viernes","Sábado","Domingo"))</f>
        <v/>
      </c>
      <c r="AD441" s="36" t="str">
        <f aca="false">IF($B441="","",HOUR(C441))</f>
        <v/>
      </c>
      <c r="AE441" s="42" t="str">
        <f aca="false">IF($B441="","",IF(O441&lt;&gt;O440,MAX(V441-S441,V441),MAX(V441,AE440)))</f>
        <v/>
      </c>
      <c r="AF441" s="42" t="str">
        <f aca="false">IF($B441="","",V441-AE441)</f>
        <v/>
      </c>
      <c r="AG441" s="36" t="str">
        <f aca="false">IF($B441="","",IF(O441&lt;&gt;O440,IF(T441="G",1,-1),IF(T441="G",IF(N(AG440)&gt;0,AG440+1,1),IF(N(AG440)&lt;0,AG440-1,-1))))</f>
        <v/>
      </c>
    </row>
    <row r="442" customFormat="false" ht="15" hidden="false" customHeight="false" outlineLevel="0" collapsed="false">
      <c r="A442" s="36" t="str">
        <f aca="false">IF(B442="","",ROW()-6)</f>
        <v/>
      </c>
      <c r="B442" s="37"/>
      <c r="C442" s="38"/>
      <c r="D442" s="38"/>
      <c r="E442" s="39"/>
      <c r="F442" s="39"/>
      <c r="G442" s="39"/>
      <c r="H442" s="40"/>
      <c r="I442" s="40"/>
      <c r="J442" s="40"/>
      <c r="K442" s="40"/>
      <c r="L442" s="39"/>
      <c r="M442" s="40"/>
      <c r="N442" s="40"/>
      <c r="O442" s="36" t="str">
        <f aca="false">IF($B442="","",INT((A442-1)/Parametros!$C$10)+1)</f>
        <v/>
      </c>
      <c r="P442" s="41" t="str">
        <f aca="false">IF($B442="","",IF(OR(C442="",D442=""),"",ROUND((D442-C442)*1440,0)))</f>
        <v/>
      </c>
      <c r="Q442" s="42" t="str">
        <f aca="false">IF($B442="","",I442*VLOOKUP(E442,Parametros!$B$18:$D$24,2,FALSE()))</f>
        <v/>
      </c>
      <c r="R442" s="42" t="str">
        <f aca="false">IF($B442="","",G442*VLOOKUP(E442,Parametros!$B$18:$D$24,3,FALSE()))</f>
        <v/>
      </c>
      <c r="S442" s="42" t="str">
        <f aca="false">IF($B442="","",Q442-R442)</f>
        <v/>
      </c>
      <c r="T442" s="43" t="str">
        <f aca="false">IF($B442="","",IF(S442&gt;0,"G","P"))</f>
        <v/>
      </c>
      <c r="U442" s="44" t="str">
        <f aca="false">IF($B442="","",S442/Parametros!$C$8)</f>
        <v/>
      </c>
      <c r="V442" s="42" t="str">
        <f aca="false">IF($B442="","",Parametros!$C$6+SUM($S$7:S442))</f>
        <v/>
      </c>
      <c r="W442" s="42" t="str">
        <f aca="false">IF($B442="","",MAX(V442,W441))</f>
        <v/>
      </c>
      <c r="X442" s="42" t="str">
        <f aca="false">IF($B442="","",V442-W442)</f>
        <v/>
      </c>
      <c r="Y442" s="45" t="str">
        <f aca="false">IF($B442="","",X442/W442)</f>
        <v/>
      </c>
      <c r="Z442" s="36" t="str">
        <f aca="false">IF($B442="","",IF(T442="G",IF(N(Z441)&gt;0,Z441+1,1),IF(N(Z441)&lt;0,Z441-1,-1)))</f>
        <v/>
      </c>
      <c r="AA442" s="46" t="str">
        <f aca="false">IF($B442="","",B442-WEEKDAY(B442,2)+1)</f>
        <v/>
      </c>
      <c r="AB442" s="47" t="str">
        <f aca="false">IF($B442="","",DATE(YEAR(B442),MONTH(B442),1))</f>
        <v/>
      </c>
      <c r="AC442" s="41" t="str">
        <f aca="false">IF($B442="","",CHOOSE(WEEKDAY(B442,2),"Lunes","Martes","Miércoles","Jueves","Viernes","Sábado","Domingo"))</f>
        <v/>
      </c>
      <c r="AD442" s="36" t="str">
        <f aca="false">IF($B442="","",HOUR(C442))</f>
        <v/>
      </c>
      <c r="AE442" s="42" t="str">
        <f aca="false">IF($B442="","",IF(O442&lt;&gt;O441,MAX(V442-S442,V442),MAX(V442,AE441)))</f>
        <v/>
      </c>
      <c r="AF442" s="42" t="str">
        <f aca="false">IF($B442="","",V442-AE442)</f>
        <v/>
      </c>
      <c r="AG442" s="36" t="str">
        <f aca="false">IF($B442="","",IF(O442&lt;&gt;O441,IF(T442="G",1,-1),IF(T442="G",IF(N(AG441)&gt;0,AG441+1,1),IF(N(AG441)&lt;0,AG441-1,-1))))</f>
        <v/>
      </c>
    </row>
    <row r="443" customFormat="false" ht="15" hidden="false" customHeight="false" outlineLevel="0" collapsed="false">
      <c r="A443" s="36" t="str">
        <f aca="false">IF(B443="","",ROW()-6)</f>
        <v/>
      </c>
      <c r="B443" s="37"/>
      <c r="C443" s="38"/>
      <c r="D443" s="38"/>
      <c r="E443" s="39"/>
      <c r="F443" s="39"/>
      <c r="G443" s="39"/>
      <c r="H443" s="40"/>
      <c r="I443" s="40"/>
      <c r="J443" s="40"/>
      <c r="K443" s="40"/>
      <c r="L443" s="39"/>
      <c r="M443" s="40"/>
      <c r="N443" s="40"/>
      <c r="O443" s="36" t="str">
        <f aca="false">IF($B443="","",INT((A443-1)/Parametros!$C$10)+1)</f>
        <v/>
      </c>
      <c r="P443" s="41" t="str">
        <f aca="false">IF($B443="","",IF(OR(C443="",D443=""),"",ROUND((D443-C443)*1440,0)))</f>
        <v/>
      </c>
      <c r="Q443" s="42" t="str">
        <f aca="false">IF($B443="","",I443*VLOOKUP(E443,Parametros!$B$18:$D$24,2,FALSE()))</f>
        <v/>
      </c>
      <c r="R443" s="42" t="str">
        <f aca="false">IF($B443="","",G443*VLOOKUP(E443,Parametros!$B$18:$D$24,3,FALSE()))</f>
        <v/>
      </c>
      <c r="S443" s="42" t="str">
        <f aca="false">IF($B443="","",Q443-R443)</f>
        <v/>
      </c>
      <c r="T443" s="43" t="str">
        <f aca="false">IF($B443="","",IF(S443&gt;0,"G","P"))</f>
        <v/>
      </c>
      <c r="U443" s="44" t="str">
        <f aca="false">IF($B443="","",S443/Parametros!$C$8)</f>
        <v/>
      </c>
      <c r="V443" s="42" t="str">
        <f aca="false">IF($B443="","",Parametros!$C$6+SUM($S$7:S443))</f>
        <v/>
      </c>
      <c r="W443" s="42" t="str">
        <f aca="false">IF($B443="","",MAX(V443,W442))</f>
        <v/>
      </c>
      <c r="X443" s="42" t="str">
        <f aca="false">IF($B443="","",V443-W443)</f>
        <v/>
      </c>
      <c r="Y443" s="45" t="str">
        <f aca="false">IF($B443="","",X443/W443)</f>
        <v/>
      </c>
      <c r="Z443" s="36" t="str">
        <f aca="false">IF($B443="","",IF(T443="G",IF(N(Z442)&gt;0,Z442+1,1),IF(N(Z442)&lt;0,Z442-1,-1)))</f>
        <v/>
      </c>
      <c r="AA443" s="46" t="str">
        <f aca="false">IF($B443="","",B443-WEEKDAY(B443,2)+1)</f>
        <v/>
      </c>
      <c r="AB443" s="47" t="str">
        <f aca="false">IF($B443="","",DATE(YEAR(B443),MONTH(B443),1))</f>
        <v/>
      </c>
      <c r="AC443" s="41" t="str">
        <f aca="false">IF($B443="","",CHOOSE(WEEKDAY(B443,2),"Lunes","Martes","Miércoles","Jueves","Viernes","Sábado","Domingo"))</f>
        <v/>
      </c>
      <c r="AD443" s="36" t="str">
        <f aca="false">IF($B443="","",HOUR(C443))</f>
        <v/>
      </c>
      <c r="AE443" s="42" t="str">
        <f aca="false">IF($B443="","",IF(O443&lt;&gt;O442,MAX(V443-S443,V443),MAX(V443,AE442)))</f>
        <v/>
      </c>
      <c r="AF443" s="42" t="str">
        <f aca="false">IF($B443="","",V443-AE443)</f>
        <v/>
      </c>
      <c r="AG443" s="36" t="str">
        <f aca="false">IF($B443="","",IF(O443&lt;&gt;O442,IF(T443="G",1,-1),IF(T443="G",IF(N(AG442)&gt;0,AG442+1,1),IF(N(AG442)&lt;0,AG442-1,-1))))</f>
        <v/>
      </c>
    </row>
    <row r="444" customFormat="false" ht="15" hidden="false" customHeight="false" outlineLevel="0" collapsed="false">
      <c r="A444" s="36" t="str">
        <f aca="false">IF(B444="","",ROW()-6)</f>
        <v/>
      </c>
      <c r="B444" s="37"/>
      <c r="C444" s="38"/>
      <c r="D444" s="38"/>
      <c r="E444" s="39"/>
      <c r="F444" s="39"/>
      <c r="G444" s="39"/>
      <c r="H444" s="40"/>
      <c r="I444" s="40"/>
      <c r="J444" s="40"/>
      <c r="K444" s="40"/>
      <c r="L444" s="39"/>
      <c r="M444" s="40"/>
      <c r="N444" s="40"/>
      <c r="O444" s="36" t="str">
        <f aca="false">IF($B444="","",INT((A444-1)/Parametros!$C$10)+1)</f>
        <v/>
      </c>
      <c r="P444" s="41" t="str">
        <f aca="false">IF($B444="","",IF(OR(C444="",D444=""),"",ROUND((D444-C444)*1440,0)))</f>
        <v/>
      </c>
      <c r="Q444" s="42" t="str">
        <f aca="false">IF($B444="","",I444*VLOOKUP(E444,Parametros!$B$18:$D$24,2,FALSE()))</f>
        <v/>
      </c>
      <c r="R444" s="42" t="str">
        <f aca="false">IF($B444="","",G444*VLOOKUP(E444,Parametros!$B$18:$D$24,3,FALSE()))</f>
        <v/>
      </c>
      <c r="S444" s="42" t="str">
        <f aca="false">IF($B444="","",Q444-R444)</f>
        <v/>
      </c>
      <c r="T444" s="43" t="str">
        <f aca="false">IF($B444="","",IF(S444&gt;0,"G","P"))</f>
        <v/>
      </c>
      <c r="U444" s="44" t="str">
        <f aca="false">IF($B444="","",S444/Parametros!$C$8)</f>
        <v/>
      </c>
      <c r="V444" s="42" t="str">
        <f aca="false">IF($B444="","",Parametros!$C$6+SUM($S$7:S444))</f>
        <v/>
      </c>
      <c r="W444" s="42" t="str">
        <f aca="false">IF($B444="","",MAX(V444,W443))</f>
        <v/>
      </c>
      <c r="X444" s="42" t="str">
        <f aca="false">IF($B444="","",V444-W444)</f>
        <v/>
      </c>
      <c r="Y444" s="45" t="str">
        <f aca="false">IF($B444="","",X444/W444)</f>
        <v/>
      </c>
      <c r="Z444" s="36" t="str">
        <f aca="false">IF($B444="","",IF(T444="G",IF(N(Z443)&gt;0,Z443+1,1),IF(N(Z443)&lt;0,Z443-1,-1)))</f>
        <v/>
      </c>
      <c r="AA444" s="46" t="str">
        <f aca="false">IF($B444="","",B444-WEEKDAY(B444,2)+1)</f>
        <v/>
      </c>
      <c r="AB444" s="47" t="str">
        <f aca="false">IF($B444="","",DATE(YEAR(B444),MONTH(B444),1))</f>
        <v/>
      </c>
      <c r="AC444" s="41" t="str">
        <f aca="false">IF($B444="","",CHOOSE(WEEKDAY(B444,2),"Lunes","Martes","Miércoles","Jueves","Viernes","Sábado","Domingo"))</f>
        <v/>
      </c>
      <c r="AD444" s="36" t="str">
        <f aca="false">IF($B444="","",HOUR(C444))</f>
        <v/>
      </c>
      <c r="AE444" s="42" t="str">
        <f aca="false">IF($B444="","",IF(O444&lt;&gt;O443,MAX(V444-S444,V444),MAX(V444,AE443)))</f>
        <v/>
      </c>
      <c r="AF444" s="42" t="str">
        <f aca="false">IF($B444="","",V444-AE444)</f>
        <v/>
      </c>
      <c r="AG444" s="36" t="str">
        <f aca="false">IF($B444="","",IF(O444&lt;&gt;O443,IF(T444="G",1,-1),IF(T444="G",IF(N(AG443)&gt;0,AG443+1,1),IF(N(AG443)&lt;0,AG443-1,-1))))</f>
        <v/>
      </c>
    </row>
    <row r="445" customFormat="false" ht="15" hidden="false" customHeight="false" outlineLevel="0" collapsed="false">
      <c r="A445" s="36" t="str">
        <f aca="false">IF(B445="","",ROW()-6)</f>
        <v/>
      </c>
      <c r="B445" s="37"/>
      <c r="C445" s="38"/>
      <c r="D445" s="38"/>
      <c r="E445" s="39"/>
      <c r="F445" s="39"/>
      <c r="G445" s="39"/>
      <c r="H445" s="40"/>
      <c r="I445" s="40"/>
      <c r="J445" s="40"/>
      <c r="K445" s="40"/>
      <c r="L445" s="39"/>
      <c r="M445" s="40"/>
      <c r="N445" s="40"/>
      <c r="O445" s="36" t="str">
        <f aca="false">IF($B445="","",INT((A445-1)/Parametros!$C$10)+1)</f>
        <v/>
      </c>
      <c r="P445" s="41" t="str">
        <f aca="false">IF($B445="","",IF(OR(C445="",D445=""),"",ROUND((D445-C445)*1440,0)))</f>
        <v/>
      </c>
      <c r="Q445" s="42" t="str">
        <f aca="false">IF($B445="","",I445*VLOOKUP(E445,Parametros!$B$18:$D$24,2,FALSE()))</f>
        <v/>
      </c>
      <c r="R445" s="42" t="str">
        <f aca="false">IF($B445="","",G445*VLOOKUP(E445,Parametros!$B$18:$D$24,3,FALSE()))</f>
        <v/>
      </c>
      <c r="S445" s="42" t="str">
        <f aca="false">IF($B445="","",Q445-R445)</f>
        <v/>
      </c>
      <c r="T445" s="43" t="str">
        <f aca="false">IF($B445="","",IF(S445&gt;0,"G","P"))</f>
        <v/>
      </c>
      <c r="U445" s="44" t="str">
        <f aca="false">IF($B445="","",S445/Parametros!$C$8)</f>
        <v/>
      </c>
      <c r="V445" s="42" t="str">
        <f aca="false">IF($B445="","",Parametros!$C$6+SUM($S$7:S445))</f>
        <v/>
      </c>
      <c r="W445" s="42" t="str">
        <f aca="false">IF($B445="","",MAX(V445,W444))</f>
        <v/>
      </c>
      <c r="X445" s="42" t="str">
        <f aca="false">IF($B445="","",V445-W445)</f>
        <v/>
      </c>
      <c r="Y445" s="45" t="str">
        <f aca="false">IF($B445="","",X445/W445)</f>
        <v/>
      </c>
      <c r="Z445" s="36" t="str">
        <f aca="false">IF($B445="","",IF(T445="G",IF(N(Z444)&gt;0,Z444+1,1),IF(N(Z444)&lt;0,Z444-1,-1)))</f>
        <v/>
      </c>
      <c r="AA445" s="46" t="str">
        <f aca="false">IF($B445="","",B445-WEEKDAY(B445,2)+1)</f>
        <v/>
      </c>
      <c r="AB445" s="47" t="str">
        <f aca="false">IF($B445="","",DATE(YEAR(B445),MONTH(B445),1))</f>
        <v/>
      </c>
      <c r="AC445" s="41" t="str">
        <f aca="false">IF($B445="","",CHOOSE(WEEKDAY(B445,2),"Lunes","Martes","Miércoles","Jueves","Viernes","Sábado","Domingo"))</f>
        <v/>
      </c>
      <c r="AD445" s="36" t="str">
        <f aca="false">IF($B445="","",HOUR(C445))</f>
        <v/>
      </c>
      <c r="AE445" s="42" t="str">
        <f aca="false">IF($B445="","",IF(O445&lt;&gt;O444,MAX(V445-S445,V445),MAX(V445,AE444)))</f>
        <v/>
      </c>
      <c r="AF445" s="42" t="str">
        <f aca="false">IF($B445="","",V445-AE445)</f>
        <v/>
      </c>
      <c r="AG445" s="36" t="str">
        <f aca="false">IF($B445="","",IF(O445&lt;&gt;O444,IF(T445="G",1,-1),IF(T445="G",IF(N(AG444)&gt;0,AG444+1,1),IF(N(AG444)&lt;0,AG444-1,-1))))</f>
        <v/>
      </c>
    </row>
    <row r="446" customFormat="false" ht="15" hidden="false" customHeight="false" outlineLevel="0" collapsed="false">
      <c r="A446" s="36" t="str">
        <f aca="false">IF(B446="","",ROW()-6)</f>
        <v/>
      </c>
      <c r="B446" s="37"/>
      <c r="C446" s="38"/>
      <c r="D446" s="38"/>
      <c r="E446" s="39"/>
      <c r="F446" s="39"/>
      <c r="G446" s="39"/>
      <c r="H446" s="40"/>
      <c r="I446" s="40"/>
      <c r="J446" s="40"/>
      <c r="K446" s="40"/>
      <c r="L446" s="39"/>
      <c r="M446" s="40"/>
      <c r="N446" s="40"/>
      <c r="O446" s="36" t="str">
        <f aca="false">IF($B446="","",INT((A446-1)/Parametros!$C$10)+1)</f>
        <v/>
      </c>
      <c r="P446" s="41" t="str">
        <f aca="false">IF($B446="","",IF(OR(C446="",D446=""),"",ROUND((D446-C446)*1440,0)))</f>
        <v/>
      </c>
      <c r="Q446" s="42" t="str">
        <f aca="false">IF($B446="","",I446*VLOOKUP(E446,Parametros!$B$18:$D$24,2,FALSE()))</f>
        <v/>
      </c>
      <c r="R446" s="42" t="str">
        <f aca="false">IF($B446="","",G446*VLOOKUP(E446,Parametros!$B$18:$D$24,3,FALSE()))</f>
        <v/>
      </c>
      <c r="S446" s="42" t="str">
        <f aca="false">IF($B446="","",Q446-R446)</f>
        <v/>
      </c>
      <c r="T446" s="43" t="str">
        <f aca="false">IF($B446="","",IF(S446&gt;0,"G","P"))</f>
        <v/>
      </c>
      <c r="U446" s="44" t="str">
        <f aca="false">IF($B446="","",S446/Parametros!$C$8)</f>
        <v/>
      </c>
      <c r="V446" s="42" t="str">
        <f aca="false">IF($B446="","",Parametros!$C$6+SUM($S$7:S446))</f>
        <v/>
      </c>
      <c r="W446" s="42" t="str">
        <f aca="false">IF($B446="","",MAX(V446,W445))</f>
        <v/>
      </c>
      <c r="X446" s="42" t="str">
        <f aca="false">IF($B446="","",V446-W446)</f>
        <v/>
      </c>
      <c r="Y446" s="45" t="str">
        <f aca="false">IF($B446="","",X446/W446)</f>
        <v/>
      </c>
      <c r="Z446" s="36" t="str">
        <f aca="false">IF($B446="","",IF(T446="G",IF(N(Z445)&gt;0,Z445+1,1),IF(N(Z445)&lt;0,Z445-1,-1)))</f>
        <v/>
      </c>
      <c r="AA446" s="46" t="str">
        <f aca="false">IF($B446="","",B446-WEEKDAY(B446,2)+1)</f>
        <v/>
      </c>
      <c r="AB446" s="47" t="str">
        <f aca="false">IF($B446="","",DATE(YEAR(B446),MONTH(B446),1))</f>
        <v/>
      </c>
      <c r="AC446" s="41" t="str">
        <f aca="false">IF($B446="","",CHOOSE(WEEKDAY(B446,2),"Lunes","Martes","Miércoles","Jueves","Viernes","Sábado","Domingo"))</f>
        <v/>
      </c>
      <c r="AD446" s="36" t="str">
        <f aca="false">IF($B446="","",HOUR(C446))</f>
        <v/>
      </c>
      <c r="AE446" s="42" t="str">
        <f aca="false">IF($B446="","",IF(O446&lt;&gt;O445,MAX(V446-S446,V446),MAX(V446,AE445)))</f>
        <v/>
      </c>
      <c r="AF446" s="42" t="str">
        <f aca="false">IF($B446="","",V446-AE446)</f>
        <v/>
      </c>
      <c r="AG446" s="36" t="str">
        <f aca="false">IF($B446="","",IF(O446&lt;&gt;O445,IF(T446="G",1,-1),IF(T446="G",IF(N(AG445)&gt;0,AG445+1,1),IF(N(AG445)&lt;0,AG445-1,-1))))</f>
        <v/>
      </c>
    </row>
    <row r="447" customFormat="false" ht="15" hidden="false" customHeight="false" outlineLevel="0" collapsed="false">
      <c r="A447" s="36" t="str">
        <f aca="false">IF(B447="","",ROW()-6)</f>
        <v/>
      </c>
      <c r="B447" s="37"/>
      <c r="C447" s="38"/>
      <c r="D447" s="38"/>
      <c r="E447" s="39"/>
      <c r="F447" s="39"/>
      <c r="G447" s="39"/>
      <c r="H447" s="40"/>
      <c r="I447" s="40"/>
      <c r="J447" s="40"/>
      <c r="K447" s="40"/>
      <c r="L447" s="39"/>
      <c r="M447" s="40"/>
      <c r="N447" s="40"/>
      <c r="O447" s="36" t="str">
        <f aca="false">IF($B447="","",INT((A447-1)/Parametros!$C$10)+1)</f>
        <v/>
      </c>
      <c r="P447" s="41" t="str">
        <f aca="false">IF($B447="","",IF(OR(C447="",D447=""),"",ROUND((D447-C447)*1440,0)))</f>
        <v/>
      </c>
      <c r="Q447" s="42" t="str">
        <f aca="false">IF($B447="","",I447*VLOOKUP(E447,Parametros!$B$18:$D$24,2,FALSE()))</f>
        <v/>
      </c>
      <c r="R447" s="42" t="str">
        <f aca="false">IF($B447="","",G447*VLOOKUP(E447,Parametros!$B$18:$D$24,3,FALSE()))</f>
        <v/>
      </c>
      <c r="S447" s="42" t="str">
        <f aca="false">IF($B447="","",Q447-R447)</f>
        <v/>
      </c>
      <c r="T447" s="43" t="str">
        <f aca="false">IF($B447="","",IF(S447&gt;0,"G","P"))</f>
        <v/>
      </c>
      <c r="U447" s="44" t="str">
        <f aca="false">IF($B447="","",S447/Parametros!$C$8)</f>
        <v/>
      </c>
      <c r="V447" s="42" t="str">
        <f aca="false">IF($B447="","",Parametros!$C$6+SUM($S$7:S447))</f>
        <v/>
      </c>
      <c r="W447" s="42" t="str">
        <f aca="false">IF($B447="","",MAX(V447,W446))</f>
        <v/>
      </c>
      <c r="X447" s="42" t="str">
        <f aca="false">IF($B447="","",V447-W447)</f>
        <v/>
      </c>
      <c r="Y447" s="45" t="str">
        <f aca="false">IF($B447="","",X447/W447)</f>
        <v/>
      </c>
      <c r="Z447" s="36" t="str">
        <f aca="false">IF($B447="","",IF(T447="G",IF(N(Z446)&gt;0,Z446+1,1),IF(N(Z446)&lt;0,Z446-1,-1)))</f>
        <v/>
      </c>
      <c r="AA447" s="46" t="str">
        <f aca="false">IF($B447="","",B447-WEEKDAY(B447,2)+1)</f>
        <v/>
      </c>
      <c r="AB447" s="47" t="str">
        <f aca="false">IF($B447="","",DATE(YEAR(B447),MONTH(B447),1))</f>
        <v/>
      </c>
      <c r="AC447" s="41" t="str">
        <f aca="false">IF($B447="","",CHOOSE(WEEKDAY(B447,2),"Lunes","Martes","Miércoles","Jueves","Viernes","Sábado","Domingo"))</f>
        <v/>
      </c>
      <c r="AD447" s="36" t="str">
        <f aca="false">IF($B447="","",HOUR(C447))</f>
        <v/>
      </c>
      <c r="AE447" s="42" t="str">
        <f aca="false">IF($B447="","",IF(O447&lt;&gt;O446,MAX(V447-S447,V447),MAX(V447,AE446)))</f>
        <v/>
      </c>
      <c r="AF447" s="42" t="str">
        <f aca="false">IF($B447="","",V447-AE447)</f>
        <v/>
      </c>
      <c r="AG447" s="36" t="str">
        <f aca="false">IF($B447="","",IF(O447&lt;&gt;O446,IF(T447="G",1,-1),IF(T447="G",IF(N(AG446)&gt;0,AG446+1,1),IF(N(AG446)&lt;0,AG446-1,-1))))</f>
        <v/>
      </c>
    </row>
    <row r="448" customFormat="false" ht="15" hidden="false" customHeight="false" outlineLevel="0" collapsed="false">
      <c r="A448" s="36" t="str">
        <f aca="false">IF(B448="","",ROW()-6)</f>
        <v/>
      </c>
      <c r="B448" s="37"/>
      <c r="C448" s="38"/>
      <c r="D448" s="38"/>
      <c r="E448" s="39"/>
      <c r="F448" s="39"/>
      <c r="G448" s="39"/>
      <c r="H448" s="40"/>
      <c r="I448" s="40"/>
      <c r="J448" s="40"/>
      <c r="K448" s="40"/>
      <c r="L448" s="39"/>
      <c r="M448" s="40"/>
      <c r="N448" s="40"/>
      <c r="O448" s="36" t="str">
        <f aca="false">IF($B448="","",INT((A448-1)/Parametros!$C$10)+1)</f>
        <v/>
      </c>
      <c r="P448" s="41" t="str">
        <f aca="false">IF($B448="","",IF(OR(C448="",D448=""),"",ROUND((D448-C448)*1440,0)))</f>
        <v/>
      </c>
      <c r="Q448" s="42" t="str">
        <f aca="false">IF($B448="","",I448*VLOOKUP(E448,Parametros!$B$18:$D$24,2,FALSE()))</f>
        <v/>
      </c>
      <c r="R448" s="42" t="str">
        <f aca="false">IF($B448="","",G448*VLOOKUP(E448,Parametros!$B$18:$D$24,3,FALSE()))</f>
        <v/>
      </c>
      <c r="S448" s="42" t="str">
        <f aca="false">IF($B448="","",Q448-R448)</f>
        <v/>
      </c>
      <c r="T448" s="43" t="str">
        <f aca="false">IF($B448="","",IF(S448&gt;0,"G","P"))</f>
        <v/>
      </c>
      <c r="U448" s="44" t="str">
        <f aca="false">IF($B448="","",S448/Parametros!$C$8)</f>
        <v/>
      </c>
      <c r="V448" s="42" t="str">
        <f aca="false">IF($B448="","",Parametros!$C$6+SUM($S$7:S448))</f>
        <v/>
      </c>
      <c r="W448" s="42" t="str">
        <f aca="false">IF($B448="","",MAX(V448,W447))</f>
        <v/>
      </c>
      <c r="X448" s="42" t="str">
        <f aca="false">IF($B448="","",V448-W448)</f>
        <v/>
      </c>
      <c r="Y448" s="45" t="str">
        <f aca="false">IF($B448="","",X448/W448)</f>
        <v/>
      </c>
      <c r="Z448" s="36" t="str">
        <f aca="false">IF($B448="","",IF(T448="G",IF(N(Z447)&gt;0,Z447+1,1),IF(N(Z447)&lt;0,Z447-1,-1)))</f>
        <v/>
      </c>
      <c r="AA448" s="46" t="str">
        <f aca="false">IF($B448="","",B448-WEEKDAY(B448,2)+1)</f>
        <v/>
      </c>
      <c r="AB448" s="47" t="str">
        <f aca="false">IF($B448="","",DATE(YEAR(B448),MONTH(B448),1))</f>
        <v/>
      </c>
      <c r="AC448" s="41" t="str">
        <f aca="false">IF($B448="","",CHOOSE(WEEKDAY(B448,2),"Lunes","Martes","Miércoles","Jueves","Viernes","Sábado","Domingo"))</f>
        <v/>
      </c>
      <c r="AD448" s="36" t="str">
        <f aca="false">IF($B448="","",HOUR(C448))</f>
        <v/>
      </c>
      <c r="AE448" s="42" t="str">
        <f aca="false">IF($B448="","",IF(O448&lt;&gt;O447,MAX(V448-S448,V448),MAX(V448,AE447)))</f>
        <v/>
      </c>
      <c r="AF448" s="42" t="str">
        <f aca="false">IF($B448="","",V448-AE448)</f>
        <v/>
      </c>
      <c r="AG448" s="36" t="str">
        <f aca="false">IF($B448="","",IF(O448&lt;&gt;O447,IF(T448="G",1,-1),IF(T448="G",IF(N(AG447)&gt;0,AG447+1,1),IF(N(AG447)&lt;0,AG447-1,-1))))</f>
        <v/>
      </c>
    </row>
    <row r="449" customFormat="false" ht="15" hidden="false" customHeight="false" outlineLevel="0" collapsed="false">
      <c r="A449" s="36" t="str">
        <f aca="false">IF(B449="","",ROW()-6)</f>
        <v/>
      </c>
      <c r="B449" s="37"/>
      <c r="C449" s="38"/>
      <c r="D449" s="38"/>
      <c r="E449" s="39"/>
      <c r="F449" s="39"/>
      <c r="G449" s="39"/>
      <c r="H449" s="40"/>
      <c r="I449" s="40"/>
      <c r="J449" s="40"/>
      <c r="K449" s="40"/>
      <c r="L449" s="39"/>
      <c r="M449" s="40"/>
      <c r="N449" s="40"/>
      <c r="O449" s="36" t="str">
        <f aca="false">IF($B449="","",INT((A449-1)/Parametros!$C$10)+1)</f>
        <v/>
      </c>
      <c r="P449" s="41" t="str">
        <f aca="false">IF($B449="","",IF(OR(C449="",D449=""),"",ROUND((D449-C449)*1440,0)))</f>
        <v/>
      </c>
      <c r="Q449" s="42" t="str">
        <f aca="false">IF($B449="","",I449*VLOOKUP(E449,Parametros!$B$18:$D$24,2,FALSE()))</f>
        <v/>
      </c>
      <c r="R449" s="42" t="str">
        <f aca="false">IF($B449="","",G449*VLOOKUP(E449,Parametros!$B$18:$D$24,3,FALSE()))</f>
        <v/>
      </c>
      <c r="S449" s="42" t="str">
        <f aca="false">IF($B449="","",Q449-R449)</f>
        <v/>
      </c>
      <c r="T449" s="43" t="str">
        <f aca="false">IF($B449="","",IF(S449&gt;0,"G","P"))</f>
        <v/>
      </c>
      <c r="U449" s="44" t="str">
        <f aca="false">IF($B449="","",S449/Parametros!$C$8)</f>
        <v/>
      </c>
      <c r="V449" s="42" t="str">
        <f aca="false">IF($B449="","",Parametros!$C$6+SUM($S$7:S449))</f>
        <v/>
      </c>
      <c r="W449" s="42" t="str">
        <f aca="false">IF($B449="","",MAX(V449,W448))</f>
        <v/>
      </c>
      <c r="X449" s="42" t="str">
        <f aca="false">IF($B449="","",V449-W449)</f>
        <v/>
      </c>
      <c r="Y449" s="45" t="str">
        <f aca="false">IF($B449="","",X449/W449)</f>
        <v/>
      </c>
      <c r="Z449" s="36" t="str">
        <f aca="false">IF($B449="","",IF(T449="G",IF(N(Z448)&gt;0,Z448+1,1),IF(N(Z448)&lt;0,Z448-1,-1)))</f>
        <v/>
      </c>
      <c r="AA449" s="46" t="str">
        <f aca="false">IF($B449="","",B449-WEEKDAY(B449,2)+1)</f>
        <v/>
      </c>
      <c r="AB449" s="47" t="str">
        <f aca="false">IF($B449="","",DATE(YEAR(B449),MONTH(B449),1))</f>
        <v/>
      </c>
      <c r="AC449" s="41" t="str">
        <f aca="false">IF($B449="","",CHOOSE(WEEKDAY(B449,2),"Lunes","Martes","Miércoles","Jueves","Viernes","Sábado","Domingo"))</f>
        <v/>
      </c>
      <c r="AD449" s="36" t="str">
        <f aca="false">IF($B449="","",HOUR(C449))</f>
        <v/>
      </c>
      <c r="AE449" s="42" t="str">
        <f aca="false">IF($B449="","",IF(O449&lt;&gt;O448,MAX(V449-S449,V449),MAX(V449,AE448)))</f>
        <v/>
      </c>
      <c r="AF449" s="42" t="str">
        <f aca="false">IF($B449="","",V449-AE449)</f>
        <v/>
      </c>
      <c r="AG449" s="36" t="str">
        <f aca="false">IF($B449="","",IF(O449&lt;&gt;O448,IF(T449="G",1,-1),IF(T449="G",IF(N(AG448)&gt;0,AG448+1,1),IF(N(AG448)&lt;0,AG448-1,-1))))</f>
        <v/>
      </c>
    </row>
    <row r="450" customFormat="false" ht="15" hidden="false" customHeight="false" outlineLevel="0" collapsed="false">
      <c r="A450" s="36" t="str">
        <f aca="false">IF(B450="","",ROW()-6)</f>
        <v/>
      </c>
      <c r="B450" s="37"/>
      <c r="C450" s="38"/>
      <c r="D450" s="38"/>
      <c r="E450" s="39"/>
      <c r="F450" s="39"/>
      <c r="G450" s="39"/>
      <c r="H450" s="40"/>
      <c r="I450" s="40"/>
      <c r="J450" s="40"/>
      <c r="K450" s="40"/>
      <c r="L450" s="39"/>
      <c r="M450" s="40"/>
      <c r="N450" s="40"/>
      <c r="O450" s="36" t="str">
        <f aca="false">IF($B450="","",INT((A450-1)/Parametros!$C$10)+1)</f>
        <v/>
      </c>
      <c r="P450" s="41" t="str">
        <f aca="false">IF($B450="","",IF(OR(C450="",D450=""),"",ROUND((D450-C450)*1440,0)))</f>
        <v/>
      </c>
      <c r="Q450" s="42" t="str">
        <f aca="false">IF($B450="","",I450*VLOOKUP(E450,Parametros!$B$18:$D$24,2,FALSE()))</f>
        <v/>
      </c>
      <c r="R450" s="42" t="str">
        <f aca="false">IF($B450="","",G450*VLOOKUP(E450,Parametros!$B$18:$D$24,3,FALSE()))</f>
        <v/>
      </c>
      <c r="S450" s="42" t="str">
        <f aca="false">IF($B450="","",Q450-R450)</f>
        <v/>
      </c>
      <c r="T450" s="43" t="str">
        <f aca="false">IF($B450="","",IF(S450&gt;0,"G","P"))</f>
        <v/>
      </c>
      <c r="U450" s="44" t="str">
        <f aca="false">IF($B450="","",S450/Parametros!$C$8)</f>
        <v/>
      </c>
      <c r="V450" s="42" t="str">
        <f aca="false">IF($B450="","",Parametros!$C$6+SUM($S$7:S450))</f>
        <v/>
      </c>
      <c r="W450" s="42" t="str">
        <f aca="false">IF($B450="","",MAX(V450,W449))</f>
        <v/>
      </c>
      <c r="X450" s="42" t="str">
        <f aca="false">IF($B450="","",V450-W450)</f>
        <v/>
      </c>
      <c r="Y450" s="45" t="str">
        <f aca="false">IF($B450="","",X450/W450)</f>
        <v/>
      </c>
      <c r="Z450" s="36" t="str">
        <f aca="false">IF($B450="","",IF(T450="G",IF(N(Z449)&gt;0,Z449+1,1),IF(N(Z449)&lt;0,Z449-1,-1)))</f>
        <v/>
      </c>
      <c r="AA450" s="46" t="str">
        <f aca="false">IF($B450="","",B450-WEEKDAY(B450,2)+1)</f>
        <v/>
      </c>
      <c r="AB450" s="47" t="str">
        <f aca="false">IF($B450="","",DATE(YEAR(B450),MONTH(B450),1))</f>
        <v/>
      </c>
      <c r="AC450" s="41" t="str">
        <f aca="false">IF($B450="","",CHOOSE(WEEKDAY(B450,2),"Lunes","Martes","Miércoles","Jueves","Viernes","Sábado","Domingo"))</f>
        <v/>
      </c>
      <c r="AD450" s="36" t="str">
        <f aca="false">IF($B450="","",HOUR(C450))</f>
        <v/>
      </c>
      <c r="AE450" s="42" t="str">
        <f aca="false">IF($B450="","",IF(O450&lt;&gt;O449,MAX(V450-S450,V450),MAX(V450,AE449)))</f>
        <v/>
      </c>
      <c r="AF450" s="42" t="str">
        <f aca="false">IF($B450="","",V450-AE450)</f>
        <v/>
      </c>
      <c r="AG450" s="36" t="str">
        <f aca="false">IF($B450="","",IF(O450&lt;&gt;O449,IF(T450="G",1,-1),IF(T450="G",IF(N(AG449)&gt;0,AG449+1,1),IF(N(AG449)&lt;0,AG449-1,-1))))</f>
        <v/>
      </c>
    </row>
    <row r="451" customFormat="false" ht="15" hidden="false" customHeight="false" outlineLevel="0" collapsed="false">
      <c r="A451" s="36" t="str">
        <f aca="false">IF(B451="","",ROW()-6)</f>
        <v/>
      </c>
      <c r="B451" s="37"/>
      <c r="C451" s="38"/>
      <c r="D451" s="38"/>
      <c r="E451" s="39"/>
      <c r="F451" s="39"/>
      <c r="G451" s="39"/>
      <c r="H451" s="40"/>
      <c r="I451" s="40"/>
      <c r="J451" s="40"/>
      <c r="K451" s="40"/>
      <c r="L451" s="39"/>
      <c r="M451" s="40"/>
      <c r="N451" s="40"/>
      <c r="O451" s="36" t="str">
        <f aca="false">IF($B451="","",INT((A451-1)/Parametros!$C$10)+1)</f>
        <v/>
      </c>
      <c r="P451" s="41" t="str">
        <f aca="false">IF($B451="","",IF(OR(C451="",D451=""),"",ROUND((D451-C451)*1440,0)))</f>
        <v/>
      </c>
      <c r="Q451" s="42" t="str">
        <f aca="false">IF($B451="","",I451*VLOOKUP(E451,Parametros!$B$18:$D$24,2,FALSE()))</f>
        <v/>
      </c>
      <c r="R451" s="42" t="str">
        <f aca="false">IF($B451="","",G451*VLOOKUP(E451,Parametros!$B$18:$D$24,3,FALSE()))</f>
        <v/>
      </c>
      <c r="S451" s="42" t="str">
        <f aca="false">IF($B451="","",Q451-R451)</f>
        <v/>
      </c>
      <c r="T451" s="43" t="str">
        <f aca="false">IF($B451="","",IF(S451&gt;0,"G","P"))</f>
        <v/>
      </c>
      <c r="U451" s="44" t="str">
        <f aca="false">IF($B451="","",S451/Parametros!$C$8)</f>
        <v/>
      </c>
      <c r="V451" s="42" t="str">
        <f aca="false">IF($B451="","",Parametros!$C$6+SUM($S$7:S451))</f>
        <v/>
      </c>
      <c r="W451" s="42" t="str">
        <f aca="false">IF($B451="","",MAX(V451,W450))</f>
        <v/>
      </c>
      <c r="X451" s="42" t="str">
        <f aca="false">IF($B451="","",V451-W451)</f>
        <v/>
      </c>
      <c r="Y451" s="45" t="str">
        <f aca="false">IF($B451="","",X451/W451)</f>
        <v/>
      </c>
      <c r="Z451" s="36" t="str">
        <f aca="false">IF($B451="","",IF(T451="G",IF(N(Z450)&gt;0,Z450+1,1),IF(N(Z450)&lt;0,Z450-1,-1)))</f>
        <v/>
      </c>
      <c r="AA451" s="46" t="str">
        <f aca="false">IF($B451="","",B451-WEEKDAY(B451,2)+1)</f>
        <v/>
      </c>
      <c r="AB451" s="47" t="str">
        <f aca="false">IF($B451="","",DATE(YEAR(B451),MONTH(B451),1))</f>
        <v/>
      </c>
      <c r="AC451" s="41" t="str">
        <f aca="false">IF($B451="","",CHOOSE(WEEKDAY(B451,2),"Lunes","Martes","Miércoles","Jueves","Viernes","Sábado","Domingo"))</f>
        <v/>
      </c>
      <c r="AD451" s="36" t="str">
        <f aca="false">IF($B451="","",HOUR(C451))</f>
        <v/>
      </c>
      <c r="AE451" s="42" t="str">
        <f aca="false">IF($B451="","",IF(O451&lt;&gt;O450,MAX(V451-S451,V451),MAX(V451,AE450)))</f>
        <v/>
      </c>
      <c r="AF451" s="42" t="str">
        <f aca="false">IF($B451="","",V451-AE451)</f>
        <v/>
      </c>
      <c r="AG451" s="36" t="str">
        <f aca="false">IF($B451="","",IF(O451&lt;&gt;O450,IF(T451="G",1,-1),IF(T451="G",IF(N(AG450)&gt;0,AG450+1,1),IF(N(AG450)&lt;0,AG450-1,-1))))</f>
        <v/>
      </c>
    </row>
    <row r="452" customFormat="false" ht="15" hidden="false" customHeight="false" outlineLevel="0" collapsed="false">
      <c r="A452" s="36" t="str">
        <f aca="false">IF(B452="","",ROW()-6)</f>
        <v/>
      </c>
      <c r="B452" s="37"/>
      <c r="C452" s="38"/>
      <c r="D452" s="38"/>
      <c r="E452" s="39"/>
      <c r="F452" s="39"/>
      <c r="G452" s="39"/>
      <c r="H452" s="40"/>
      <c r="I452" s="40"/>
      <c r="J452" s="40"/>
      <c r="K452" s="40"/>
      <c r="L452" s="39"/>
      <c r="M452" s="40"/>
      <c r="N452" s="40"/>
      <c r="O452" s="36" t="str">
        <f aca="false">IF($B452="","",INT((A452-1)/Parametros!$C$10)+1)</f>
        <v/>
      </c>
      <c r="P452" s="41" t="str">
        <f aca="false">IF($B452="","",IF(OR(C452="",D452=""),"",ROUND((D452-C452)*1440,0)))</f>
        <v/>
      </c>
      <c r="Q452" s="42" t="str">
        <f aca="false">IF($B452="","",I452*VLOOKUP(E452,Parametros!$B$18:$D$24,2,FALSE()))</f>
        <v/>
      </c>
      <c r="R452" s="42" t="str">
        <f aca="false">IF($B452="","",G452*VLOOKUP(E452,Parametros!$B$18:$D$24,3,FALSE()))</f>
        <v/>
      </c>
      <c r="S452" s="42" t="str">
        <f aca="false">IF($B452="","",Q452-R452)</f>
        <v/>
      </c>
      <c r="T452" s="43" t="str">
        <f aca="false">IF($B452="","",IF(S452&gt;0,"G","P"))</f>
        <v/>
      </c>
      <c r="U452" s="44" t="str">
        <f aca="false">IF($B452="","",S452/Parametros!$C$8)</f>
        <v/>
      </c>
      <c r="V452" s="42" t="str">
        <f aca="false">IF($B452="","",Parametros!$C$6+SUM($S$7:S452))</f>
        <v/>
      </c>
      <c r="W452" s="42" t="str">
        <f aca="false">IF($B452="","",MAX(V452,W451))</f>
        <v/>
      </c>
      <c r="X452" s="42" t="str">
        <f aca="false">IF($B452="","",V452-W452)</f>
        <v/>
      </c>
      <c r="Y452" s="45" t="str">
        <f aca="false">IF($B452="","",X452/W452)</f>
        <v/>
      </c>
      <c r="Z452" s="36" t="str">
        <f aca="false">IF($B452="","",IF(T452="G",IF(N(Z451)&gt;0,Z451+1,1),IF(N(Z451)&lt;0,Z451-1,-1)))</f>
        <v/>
      </c>
      <c r="AA452" s="46" t="str">
        <f aca="false">IF($B452="","",B452-WEEKDAY(B452,2)+1)</f>
        <v/>
      </c>
      <c r="AB452" s="47" t="str">
        <f aca="false">IF($B452="","",DATE(YEAR(B452),MONTH(B452),1))</f>
        <v/>
      </c>
      <c r="AC452" s="41" t="str">
        <f aca="false">IF($B452="","",CHOOSE(WEEKDAY(B452,2),"Lunes","Martes","Miércoles","Jueves","Viernes","Sábado","Domingo"))</f>
        <v/>
      </c>
      <c r="AD452" s="36" t="str">
        <f aca="false">IF($B452="","",HOUR(C452))</f>
        <v/>
      </c>
      <c r="AE452" s="42" t="str">
        <f aca="false">IF($B452="","",IF(O452&lt;&gt;O451,MAX(V452-S452,V452),MAX(V452,AE451)))</f>
        <v/>
      </c>
      <c r="AF452" s="42" t="str">
        <f aca="false">IF($B452="","",V452-AE452)</f>
        <v/>
      </c>
      <c r="AG452" s="36" t="str">
        <f aca="false">IF($B452="","",IF(O452&lt;&gt;O451,IF(T452="G",1,-1),IF(T452="G",IF(N(AG451)&gt;0,AG451+1,1),IF(N(AG451)&lt;0,AG451-1,-1))))</f>
        <v/>
      </c>
    </row>
    <row r="453" customFormat="false" ht="15" hidden="false" customHeight="false" outlineLevel="0" collapsed="false">
      <c r="A453" s="36" t="str">
        <f aca="false">IF(B453="","",ROW()-6)</f>
        <v/>
      </c>
      <c r="B453" s="37"/>
      <c r="C453" s="38"/>
      <c r="D453" s="38"/>
      <c r="E453" s="39"/>
      <c r="F453" s="39"/>
      <c r="G453" s="39"/>
      <c r="H453" s="40"/>
      <c r="I453" s="40"/>
      <c r="J453" s="40"/>
      <c r="K453" s="40"/>
      <c r="L453" s="39"/>
      <c r="M453" s="40"/>
      <c r="N453" s="40"/>
      <c r="O453" s="36" t="str">
        <f aca="false">IF($B453="","",INT((A453-1)/Parametros!$C$10)+1)</f>
        <v/>
      </c>
      <c r="P453" s="41" t="str">
        <f aca="false">IF($B453="","",IF(OR(C453="",D453=""),"",ROUND((D453-C453)*1440,0)))</f>
        <v/>
      </c>
      <c r="Q453" s="42" t="str">
        <f aca="false">IF($B453="","",I453*VLOOKUP(E453,Parametros!$B$18:$D$24,2,FALSE()))</f>
        <v/>
      </c>
      <c r="R453" s="42" t="str">
        <f aca="false">IF($B453="","",G453*VLOOKUP(E453,Parametros!$B$18:$D$24,3,FALSE()))</f>
        <v/>
      </c>
      <c r="S453" s="42" t="str">
        <f aca="false">IF($B453="","",Q453-R453)</f>
        <v/>
      </c>
      <c r="T453" s="43" t="str">
        <f aca="false">IF($B453="","",IF(S453&gt;0,"G","P"))</f>
        <v/>
      </c>
      <c r="U453" s="44" t="str">
        <f aca="false">IF($B453="","",S453/Parametros!$C$8)</f>
        <v/>
      </c>
      <c r="V453" s="42" t="str">
        <f aca="false">IF($B453="","",Parametros!$C$6+SUM($S$7:S453))</f>
        <v/>
      </c>
      <c r="W453" s="42" t="str">
        <f aca="false">IF($B453="","",MAX(V453,W452))</f>
        <v/>
      </c>
      <c r="X453" s="42" t="str">
        <f aca="false">IF($B453="","",V453-W453)</f>
        <v/>
      </c>
      <c r="Y453" s="45" t="str">
        <f aca="false">IF($B453="","",X453/W453)</f>
        <v/>
      </c>
      <c r="Z453" s="36" t="str">
        <f aca="false">IF($B453="","",IF(T453="G",IF(N(Z452)&gt;0,Z452+1,1),IF(N(Z452)&lt;0,Z452-1,-1)))</f>
        <v/>
      </c>
      <c r="AA453" s="46" t="str">
        <f aca="false">IF($B453="","",B453-WEEKDAY(B453,2)+1)</f>
        <v/>
      </c>
      <c r="AB453" s="47" t="str">
        <f aca="false">IF($B453="","",DATE(YEAR(B453),MONTH(B453),1))</f>
        <v/>
      </c>
      <c r="AC453" s="41" t="str">
        <f aca="false">IF($B453="","",CHOOSE(WEEKDAY(B453,2),"Lunes","Martes","Miércoles","Jueves","Viernes","Sábado","Domingo"))</f>
        <v/>
      </c>
      <c r="AD453" s="36" t="str">
        <f aca="false">IF($B453="","",HOUR(C453))</f>
        <v/>
      </c>
      <c r="AE453" s="42" t="str">
        <f aca="false">IF($B453="","",IF(O453&lt;&gt;O452,MAX(V453-S453,V453),MAX(V453,AE452)))</f>
        <v/>
      </c>
      <c r="AF453" s="42" t="str">
        <f aca="false">IF($B453="","",V453-AE453)</f>
        <v/>
      </c>
      <c r="AG453" s="36" t="str">
        <f aca="false">IF($B453="","",IF(O453&lt;&gt;O452,IF(T453="G",1,-1),IF(T453="G",IF(N(AG452)&gt;0,AG452+1,1),IF(N(AG452)&lt;0,AG452-1,-1))))</f>
        <v/>
      </c>
    </row>
    <row r="454" customFormat="false" ht="15" hidden="false" customHeight="false" outlineLevel="0" collapsed="false">
      <c r="A454" s="36" t="str">
        <f aca="false">IF(B454="","",ROW()-6)</f>
        <v/>
      </c>
      <c r="B454" s="37"/>
      <c r="C454" s="38"/>
      <c r="D454" s="38"/>
      <c r="E454" s="39"/>
      <c r="F454" s="39"/>
      <c r="G454" s="39"/>
      <c r="H454" s="40"/>
      <c r="I454" s="40"/>
      <c r="J454" s="40"/>
      <c r="K454" s="40"/>
      <c r="L454" s="39"/>
      <c r="M454" s="40"/>
      <c r="N454" s="40"/>
      <c r="O454" s="36" t="str">
        <f aca="false">IF($B454="","",INT((A454-1)/Parametros!$C$10)+1)</f>
        <v/>
      </c>
      <c r="P454" s="41" t="str">
        <f aca="false">IF($B454="","",IF(OR(C454="",D454=""),"",ROUND((D454-C454)*1440,0)))</f>
        <v/>
      </c>
      <c r="Q454" s="42" t="str">
        <f aca="false">IF($B454="","",I454*VLOOKUP(E454,Parametros!$B$18:$D$24,2,FALSE()))</f>
        <v/>
      </c>
      <c r="R454" s="42" t="str">
        <f aca="false">IF($B454="","",G454*VLOOKUP(E454,Parametros!$B$18:$D$24,3,FALSE()))</f>
        <v/>
      </c>
      <c r="S454" s="42" t="str">
        <f aca="false">IF($B454="","",Q454-R454)</f>
        <v/>
      </c>
      <c r="T454" s="43" t="str">
        <f aca="false">IF($B454="","",IF(S454&gt;0,"G","P"))</f>
        <v/>
      </c>
      <c r="U454" s="44" t="str">
        <f aca="false">IF($B454="","",S454/Parametros!$C$8)</f>
        <v/>
      </c>
      <c r="V454" s="42" t="str">
        <f aca="false">IF($B454="","",Parametros!$C$6+SUM($S$7:S454))</f>
        <v/>
      </c>
      <c r="W454" s="42" t="str">
        <f aca="false">IF($B454="","",MAX(V454,W453))</f>
        <v/>
      </c>
      <c r="X454" s="42" t="str">
        <f aca="false">IF($B454="","",V454-W454)</f>
        <v/>
      </c>
      <c r="Y454" s="45" t="str">
        <f aca="false">IF($B454="","",X454/W454)</f>
        <v/>
      </c>
      <c r="Z454" s="36" t="str">
        <f aca="false">IF($B454="","",IF(T454="G",IF(N(Z453)&gt;0,Z453+1,1),IF(N(Z453)&lt;0,Z453-1,-1)))</f>
        <v/>
      </c>
      <c r="AA454" s="46" t="str">
        <f aca="false">IF($B454="","",B454-WEEKDAY(B454,2)+1)</f>
        <v/>
      </c>
      <c r="AB454" s="47" t="str">
        <f aca="false">IF($B454="","",DATE(YEAR(B454),MONTH(B454),1))</f>
        <v/>
      </c>
      <c r="AC454" s="41" t="str">
        <f aca="false">IF($B454="","",CHOOSE(WEEKDAY(B454,2),"Lunes","Martes","Miércoles","Jueves","Viernes","Sábado","Domingo"))</f>
        <v/>
      </c>
      <c r="AD454" s="36" t="str">
        <f aca="false">IF($B454="","",HOUR(C454))</f>
        <v/>
      </c>
      <c r="AE454" s="42" t="str">
        <f aca="false">IF($B454="","",IF(O454&lt;&gt;O453,MAX(V454-S454,V454),MAX(V454,AE453)))</f>
        <v/>
      </c>
      <c r="AF454" s="42" t="str">
        <f aca="false">IF($B454="","",V454-AE454)</f>
        <v/>
      </c>
      <c r="AG454" s="36" t="str">
        <f aca="false">IF($B454="","",IF(O454&lt;&gt;O453,IF(T454="G",1,-1),IF(T454="G",IF(N(AG453)&gt;0,AG453+1,1),IF(N(AG453)&lt;0,AG453-1,-1))))</f>
        <v/>
      </c>
    </row>
    <row r="455" customFormat="false" ht="15" hidden="false" customHeight="false" outlineLevel="0" collapsed="false">
      <c r="A455" s="36" t="str">
        <f aca="false">IF(B455="","",ROW()-6)</f>
        <v/>
      </c>
      <c r="B455" s="37"/>
      <c r="C455" s="38"/>
      <c r="D455" s="38"/>
      <c r="E455" s="39"/>
      <c r="F455" s="39"/>
      <c r="G455" s="39"/>
      <c r="H455" s="40"/>
      <c r="I455" s="40"/>
      <c r="J455" s="40"/>
      <c r="K455" s="40"/>
      <c r="L455" s="39"/>
      <c r="M455" s="40"/>
      <c r="N455" s="40"/>
      <c r="O455" s="36" t="str">
        <f aca="false">IF($B455="","",INT((A455-1)/Parametros!$C$10)+1)</f>
        <v/>
      </c>
      <c r="P455" s="41" t="str">
        <f aca="false">IF($B455="","",IF(OR(C455="",D455=""),"",ROUND((D455-C455)*1440,0)))</f>
        <v/>
      </c>
      <c r="Q455" s="42" t="str">
        <f aca="false">IF($B455="","",I455*VLOOKUP(E455,Parametros!$B$18:$D$24,2,FALSE()))</f>
        <v/>
      </c>
      <c r="R455" s="42" t="str">
        <f aca="false">IF($B455="","",G455*VLOOKUP(E455,Parametros!$B$18:$D$24,3,FALSE()))</f>
        <v/>
      </c>
      <c r="S455" s="42" t="str">
        <f aca="false">IF($B455="","",Q455-R455)</f>
        <v/>
      </c>
      <c r="T455" s="43" t="str">
        <f aca="false">IF($B455="","",IF(S455&gt;0,"G","P"))</f>
        <v/>
      </c>
      <c r="U455" s="44" t="str">
        <f aca="false">IF($B455="","",S455/Parametros!$C$8)</f>
        <v/>
      </c>
      <c r="V455" s="42" t="str">
        <f aca="false">IF($B455="","",Parametros!$C$6+SUM($S$7:S455))</f>
        <v/>
      </c>
      <c r="W455" s="42" t="str">
        <f aca="false">IF($B455="","",MAX(V455,W454))</f>
        <v/>
      </c>
      <c r="X455" s="42" t="str">
        <f aca="false">IF($B455="","",V455-W455)</f>
        <v/>
      </c>
      <c r="Y455" s="45" t="str">
        <f aca="false">IF($B455="","",X455/W455)</f>
        <v/>
      </c>
      <c r="Z455" s="36" t="str">
        <f aca="false">IF($B455="","",IF(T455="G",IF(N(Z454)&gt;0,Z454+1,1),IF(N(Z454)&lt;0,Z454-1,-1)))</f>
        <v/>
      </c>
      <c r="AA455" s="46" t="str">
        <f aca="false">IF($B455="","",B455-WEEKDAY(B455,2)+1)</f>
        <v/>
      </c>
      <c r="AB455" s="47" t="str">
        <f aca="false">IF($B455="","",DATE(YEAR(B455),MONTH(B455),1))</f>
        <v/>
      </c>
      <c r="AC455" s="41" t="str">
        <f aca="false">IF($B455="","",CHOOSE(WEEKDAY(B455,2),"Lunes","Martes","Miércoles","Jueves","Viernes","Sábado","Domingo"))</f>
        <v/>
      </c>
      <c r="AD455" s="36" t="str">
        <f aca="false">IF($B455="","",HOUR(C455))</f>
        <v/>
      </c>
      <c r="AE455" s="42" t="str">
        <f aca="false">IF($B455="","",IF(O455&lt;&gt;O454,MAX(V455-S455,V455),MAX(V455,AE454)))</f>
        <v/>
      </c>
      <c r="AF455" s="42" t="str">
        <f aca="false">IF($B455="","",V455-AE455)</f>
        <v/>
      </c>
      <c r="AG455" s="36" t="str">
        <f aca="false">IF($B455="","",IF(O455&lt;&gt;O454,IF(T455="G",1,-1),IF(T455="G",IF(N(AG454)&gt;0,AG454+1,1),IF(N(AG454)&lt;0,AG454-1,-1))))</f>
        <v/>
      </c>
    </row>
    <row r="456" customFormat="false" ht="15" hidden="false" customHeight="false" outlineLevel="0" collapsed="false">
      <c r="A456" s="36" t="str">
        <f aca="false">IF(B456="","",ROW()-6)</f>
        <v/>
      </c>
      <c r="B456" s="37"/>
      <c r="C456" s="38"/>
      <c r="D456" s="38"/>
      <c r="E456" s="39"/>
      <c r="F456" s="39"/>
      <c r="G456" s="39"/>
      <c r="H456" s="40"/>
      <c r="I456" s="40"/>
      <c r="J456" s="40"/>
      <c r="K456" s="40"/>
      <c r="L456" s="39"/>
      <c r="M456" s="40"/>
      <c r="N456" s="40"/>
      <c r="O456" s="36" t="str">
        <f aca="false">IF($B456="","",INT((A456-1)/Parametros!$C$10)+1)</f>
        <v/>
      </c>
      <c r="P456" s="41" t="str">
        <f aca="false">IF($B456="","",IF(OR(C456="",D456=""),"",ROUND((D456-C456)*1440,0)))</f>
        <v/>
      </c>
      <c r="Q456" s="42" t="str">
        <f aca="false">IF($B456="","",I456*VLOOKUP(E456,Parametros!$B$18:$D$24,2,FALSE()))</f>
        <v/>
      </c>
      <c r="R456" s="42" t="str">
        <f aca="false">IF($B456="","",G456*VLOOKUP(E456,Parametros!$B$18:$D$24,3,FALSE()))</f>
        <v/>
      </c>
      <c r="S456" s="42" t="str">
        <f aca="false">IF($B456="","",Q456-R456)</f>
        <v/>
      </c>
      <c r="T456" s="43" t="str">
        <f aca="false">IF($B456="","",IF(S456&gt;0,"G","P"))</f>
        <v/>
      </c>
      <c r="U456" s="44" t="str">
        <f aca="false">IF($B456="","",S456/Parametros!$C$8)</f>
        <v/>
      </c>
      <c r="V456" s="42" t="str">
        <f aca="false">IF($B456="","",Parametros!$C$6+SUM($S$7:S456))</f>
        <v/>
      </c>
      <c r="W456" s="42" t="str">
        <f aca="false">IF($B456="","",MAX(V456,W455))</f>
        <v/>
      </c>
      <c r="X456" s="42" t="str">
        <f aca="false">IF($B456="","",V456-W456)</f>
        <v/>
      </c>
      <c r="Y456" s="45" t="str">
        <f aca="false">IF($B456="","",X456/W456)</f>
        <v/>
      </c>
      <c r="Z456" s="36" t="str">
        <f aca="false">IF($B456="","",IF(T456="G",IF(N(Z455)&gt;0,Z455+1,1),IF(N(Z455)&lt;0,Z455-1,-1)))</f>
        <v/>
      </c>
      <c r="AA456" s="46" t="str">
        <f aca="false">IF($B456="","",B456-WEEKDAY(B456,2)+1)</f>
        <v/>
      </c>
      <c r="AB456" s="47" t="str">
        <f aca="false">IF($B456="","",DATE(YEAR(B456),MONTH(B456),1))</f>
        <v/>
      </c>
      <c r="AC456" s="41" t="str">
        <f aca="false">IF($B456="","",CHOOSE(WEEKDAY(B456,2),"Lunes","Martes","Miércoles","Jueves","Viernes","Sábado","Domingo"))</f>
        <v/>
      </c>
      <c r="AD456" s="36" t="str">
        <f aca="false">IF($B456="","",HOUR(C456))</f>
        <v/>
      </c>
      <c r="AE456" s="42" t="str">
        <f aca="false">IF($B456="","",IF(O456&lt;&gt;O455,MAX(V456-S456,V456),MAX(V456,AE455)))</f>
        <v/>
      </c>
      <c r="AF456" s="42" t="str">
        <f aca="false">IF($B456="","",V456-AE456)</f>
        <v/>
      </c>
      <c r="AG456" s="36" t="str">
        <f aca="false">IF($B456="","",IF(O456&lt;&gt;O455,IF(T456="G",1,-1),IF(T456="G",IF(N(AG455)&gt;0,AG455+1,1),IF(N(AG455)&lt;0,AG455-1,-1))))</f>
        <v/>
      </c>
    </row>
    <row r="457" customFormat="false" ht="15" hidden="false" customHeight="false" outlineLevel="0" collapsed="false">
      <c r="A457" s="36" t="str">
        <f aca="false">IF(B457="","",ROW()-6)</f>
        <v/>
      </c>
      <c r="B457" s="37"/>
      <c r="C457" s="38"/>
      <c r="D457" s="38"/>
      <c r="E457" s="39"/>
      <c r="F457" s="39"/>
      <c r="G457" s="39"/>
      <c r="H457" s="40"/>
      <c r="I457" s="40"/>
      <c r="J457" s="40"/>
      <c r="K457" s="40"/>
      <c r="L457" s="39"/>
      <c r="M457" s="40"/>
      <c r="N457" s="40"/>
      <c r="O457" s="36" t="str">
        <f aca="false">IF($B457="","",INT((A457-1)/Parametros!$C$10)+1)</f>
        <v/>
      </c>
      <c r="P457" s="41" t="str">
        <f aca="false">IF($B457="","",IF(OR(C457="",D457=""),"",ROUND((D457-C457)*1440,0)))</f>
        <v/>
      </c>
      <c r="Q457" s="42" t="str">
        <f aca="false">IF($B457="","",I457*VLOOKUP(E457,Parametros!$B$18:$D$24,2,FALSE()))</f>
        <v/>
      </c>
      <c r="R457" s="42" t="str">
        <f aca="false">IF($B457="","",G457*VLOOKUP(E457,Parametros!$B$18:$D$24,3,FALSE()))</f>
        <v/>
      </c>
      <c r="S457" s="42" t="str">
        <f aca="false">IF($B457="","",Q457-R457)</f>
        <v/>
      </c>
      <c r="T457" s="43" t="str">
        <f aca="false">IF($B457="","",IF(S457&gt;0,"G","P"))</f>
        <v/>
      </c>
      <c r="U457" s="44" t="str">
        <f aca="false">IF($B457="","",S457/Parametros!$C$8)</f>
        <v/>
      </c>
      <c r="V457" s="42" t="str">
        <f aca="false">IF($B457="","",Parametros!$C$6+SUM($S$7:S457))</f>
        <v/>
      </c>
      <c r="W457" s="42" t="str">
        <f aca="false">IF($B457="","",MAX(V457,W456))</f>
        <v/>
      </c>
      <c r="X457" s="42" t="str">
        <f aca="false">IF($B457="","",V457-W457)</f>
        <v/>
      </c>
      <c r="Y457" s="45" t="str">
        <f aca="false">IF($B457="","",X457/W457)</f>
        <v/>
      </c>
      <c r="Z457" s="36" t="str">
        <f aca="false">IF($B457="","",IF(T457="G",IF(N(Z456)&gt;0,Z456+1,1),IF(N(Z456)&lt;0,Z456-1,-1)))</f>
        <v/>
      </c>
      <c r="AA457" s="46" t="str">
        <f aca="false">IF($B457="","",B457-WEEKDAY(B457,2)+1)</f>
        <v/>
      </c>
      <c r="AB457" s="47" t="str">
        <f aca="false">IF($B457="","",DATE(YEAR(B457),MONTH(B457),1))</f>
        <v/>
      </c>
      <c r="AC457" s="41" t="str">
        <f aca="false">IF($B457="","",CHOOSE(WEEKDAY(B457,2),"Lunes","Martes","Miércoles","Jueves","Viernes","Sábado","Domingo"))</f>
        <v/>
      </c>
      <c r="AD457" s="36" t="str">
        <f aca="false">IF($B457="","",HOUR(C457))</f>
        <v/>
      </c>
      <c r="AE457" s="42" t="str">
        <f aca="false">IF($B457="","",IF(O457&lt;&gt;O456,MAX(V457-S457,V457),MAX(V457,AE456)))</f>
        <v/>
      </c>
      <c r="AF457" s="42" t="str">
        <f aca="false">IF($B457="","",V457-AE457)</f>
        <v/>
      </c>
      <c r="AG457" s="36" t="str">
        <f aca="false">IF($B457="","",IF(O457&lt;&gt;O456,IF(T457="G",1,-1),IF(T457="G",IF(N(AG456)&gt;0,AG456+1,1),IF(N(AG456)&lt;0,AG456-1,-1))))</f>
        <v/>
      </c>
    </row>
    <row r="458" customFormat="false" ht="15" hidden="false" customHeight="false" outlineLevel="0" collapsed="false">
      <c r="A458" s="36" t="str">
        <f aca="false">IF(B458="","",ROW()-6)</f>
        <v/>
      </c>
      <c r="B458" s="37"/>
      <c r="C458" s="38"/>
      <c r="D458" s="38"/>
      <c r="E458" s="39"/>
      <c r="F458" s="39"/>
      <c r="G458" s="39"/>
      <c r="H458" s="40"/>
      <c r="I458" s="40"/>
      <c r="J458" s="40"/>
      <c r="K458" s="40"/>
      <c r="L458" s="39"/>
      <c r="M458" s="40"/>
      <c r="N458" s="40"/>
      <c r="O458" s="36" t="str">
        <f aca="false">IF($B458="","",INT((A458-1)/Parametros!$C$10)+1)</f>
        <v/>
      </c>
      <c r="P458" s="41" t="str">
        <f aca="false">IF($B458="","",IF(OR(C458="",D458=""),"",ROUND((D458-C458)*1440,0)))</f>
        <v/>
      </c>
      <c r="Q458" s="42" t="str">
        <f aca="false">IF($B458="","",I458*VLOOKUP(E458,Parametros!$B$18:$D$24,2,FALSE()))</f>
        <v/>
      </c>
      <c r="R458" s="42" t="str">
        <f aca="false">IF($B458="","",G458*VLOOKUP(E458,Parametros!$B$18:$D$24,3,FALSE()))</f>
        <v/>
      </c>
      <c r="S458" s="42" t="str">
        <f aca="false">IF($B458="","",Q458-R458)</f>
        <v/>
      </c>
      <c r="T458" s="43" t="str">
        <f aca="false">IF($B458="","",IF(S458&gt;0,"G","P"))</f>
        <v/>
      </c>
      <c r="U458" s="44" t="str">
        <f aca="false">IF($B458="","",S458/Parametros!$C$8)</f>
        <v/>
      </c>
      <c r="V458" s="42" t="str">
        <f aca="false">IF($B458="","",Parametros!$C$6+SUM($S$7:S458))</f>
        <v/>
      </c>
      <c r="W458" s="42" t="str">
        <f aca="false">IF($B458="","",MAX(V458,W457))</f>
        <v/>
      </c>
      <c r="X458" s="42" t="str">
        <f aca="false">IF($B458="","",V458-W458)</f>
        <v/>
      </c>
      <c r="Y458" s="45" t="str">
        <f aca="false">IF($B458="","",X458/W458)</f>
        <v/>
      </c>
      <c r="Z458" s="36" t="str">
        <f aca="false">IF($B458="","",IF(T458="G",IF(N(Z457)&gt;0,Z457+1,1),IF(N(Z457)&lt;0,Z457-1,-1)))</f>
        <v/>
      </c>
      <c r="AA458" s="46" t="str">
        <f aca="false">IF($B458="","",B458-WEEKDAY(B458,2)+1)</f>
        <v/>
      </c>
      <c r="AB458" s="47" t="str">
        <f aca="false">IF($B458="","",DATE(YEAR(B458),MONTH(B458),1))</f>
        <v/>
      </c>
      <c r="AC458" s="41" t="str">
        <f aca="false">IF($B458="","",CHOOSE(WEEKDAY(B458,2),"Lunes","Martes","Miércoles","Jueves","Viernes","Sábado","Domingo"))</f>
        <v/>
      </c>
      <c r="AD458" s="36" t="str">
        <f aca="false">IF($B458="","",HOUR(C458))</f>
        <v/>
      </c>
      <c r="AE458" s="42" t="str">
        <f aca="false">IF($B458="","",IF(O458&lt;&gt;O457,MAX(V458-S458,V458),MAX(V458,AE457)))</f>
        <v/>
      </c>
      <c r="AF458" s="42" t="str">
        <f aca="false">IF($B458="","",V458-AE458)</f>
        <v/>
      </c>
      <c r="AG458" s="36" t="str">
        <f aca="false">IF($B458="","",IF(O458&lt;&gt;O457,IF(T458="G",1,-1),IF(T458="G",IF(N(AG457)&gt;0,AG457+1,1),IF(N(AG457)&lt;0,AG457-1,-1))))</f>
        <v/>
      </c>
    </row>
    <row r="459" customFormat="false" ht="15" hidden="false" customHeight="false" outlineLevel="0" collapsed="false">
      <c r="A459" s="36" t="str">
        <f aca="false">IF(B459="","",ROW()-6)</f>
        <v/>
      </c>
      <c r="B459" s="37"/>
      <c r="C459" s="38"/>
      <c r="D459" s="38"/>
      <c r="E459" s="39"/>
      <c r="F459" s="39"/>
      <c r="G459" s="39"/>
      <c r="H459" s="40"/>
      <c r="I459" s="40"/>
      <c r="J459" s="40"/>
      <c r="K459" s="40"/>
      <c r="L459" s="39"/>
      <c r="M459" s="40"/>
      <c r="N459" s="40"/>
      <c r="O459" s="36" t="str">
        <f aca="false">IF($B459="","",INT((A459-1)/Parametros!$C$10)+1)</f>
        <v/>
      </c>
      <c r="P459" s="41" t="str">
        <f aca="false">IF($B459="","",IF(OR(C459="",D459=""),"",ROUND((D459-C459)*1440,0)))</f>
        <v/>
      </c>
      <c r="Q459" s="42" t="str">
        <f aca="false">IF($B459="","",I459*VLOOKUP(E459,Parametros!$B$18:$D$24,2,FALSE()))</f>
        <v/>
      </c>
      <c r="R459" s="42" t="str">
        <f aca="false">IF($B459="","",G459*VLOOKUP(E459,Parametros!$B$18:$D$24,3,FALSE()))</f>
        <v/>
      </c>
      <c r="S459" s="42" t="str">
        <f aca="false">IF($B459="","",Q459-R459)</f>
        <v/>
      </c>
      <c r="T459" s="43" t="str">
        <f aca="false">IF($B459="","",IF(S459&gt;0,"G","P"))</f>
        <v/>
      </c>
      <c r="U459" s="44" t="str">
        <f aca="false">IF($B459="","",S459/Parametros!$C$8)</f>
        <v/>
      </c>
      <c r="V459" s="42" t="str">
        <f aca="false">IF($B459="","",Parametros!$C$6+SUM($S$7:S459))</f>
        <v/>
      </c>
      <c r="W459" s="42" t="str">
        <f aca="false">IF($B459="","",MAX(V459,W458))</f>
        <v/>
      </c>
      <c r="X459" s="42" t="str">
        <f aca="false">IF($B459="","",V459-W459)</f>
        <v/>
      </c>
      <c r="Y459" s="45" t="str">
        <f aca="false">IF($B459="","",X459/W459)</f>
        <v/>
      </c>
      <c r="Z459" s="36" t="str">
        <f aca="false">IF($B459="","",IF(T459="G",IF(N(Z458)&gt;0,Z458+1,1),IF(N(Z458)&lt;0,Z458-1,-1)))</f>
        <v/>
      </c>
      <c r="AA459" s="46" t="str">
        <f aca="false">IF($B459="","",B459-WEEKDAY(B459,2)+1)</f>
        <v/>
      </c>
      <c r="AB459" s="47" t="str">
        <f aca="false">IF($B459="","",DATE(YEAR(B459),MONTH(B459),1))</f>
        <v/>
      </c>
      <c r="AC459" s="41" t="str">
        <f aca="false">IF($B459="","",CHOOSE(WEEKDAY(B459,2),"Lunes","Martes","Miércoles","Jueves","Viernes","Sábado","Domingo"))</f>
        <v/>
      </c>
      <c r="AD459" s="36" t="str">
        <f aca="false">IF($B459="","",HOUR(C459))</f>
        <v/>
      </c>
      <c r="AE459" s="42" t="str">
        <f aca="false">IF($B459="","",IF(O459&lt;&gt;O458,MAX(V459-S459,V459),MAX(V459,AE458)))</f>
        <v/>
      </c>
      <c r="AF459" s="42" t="str">
        <f aca="false">IF($B459="","",V459-AE459)</f>
        <v/>
      </c>
      <c r="AG459" s="36" t="str">
        <f aca="false">IF($B459="","",IF(O459&lt;&gt;O458,IF(T459="G",1,-1),IF(T459="G",IF(N(AG458)&gt;0,AG458+1,1),IF(N(AG458)&lt;0,AG458-1,-1))))</f>
        <v/>
      </c>
    </row>
    <row r="460" customFormat="false" ht="15" hidden="false" customHeight="false" outlineLevel="0" collapsed="false">
      <c r="A460" s="36" t="str">
        <f aca="false">IF(B460="","",ROW()-6)</f>
        <v/>
      </c>
      <c r="B460" s="37"/>
      <c r="C460" s="38"/>
      <c r="D460" s="38"/>
      <c r="E460" s="39"/>
      <c r="F460" s="39"/>
      <c r="G460" s="39"/>
      <c r="H460" s="40"/>
      <c r="I460" s="40"/>
      <c r="J460" s="40"/>
      <c r="K460" s="40"/>
      <c r="L460" s="39"/>
      <c r="M460" s="40"/>
      <c r="N460" s="40"/>
      <c r="O460" s="36" t="str">
        <f aca="false">IF($B460="","",INT((A460-1)/Parametros!$C$10)+1)</f>
        <v/>
      </c>
      <c r="P460" s="41" t="str">
        <f aca="false">IF($B460="","",IF(OR(C460="",D460=""),"",ROUND((D460-C460)*1440,0)))</f>
        <v/>
      </c>
      <c r="Q460" s="42" t="str">
        <f aca="false">IF($B460="","",I460*VLOOKUP(E460,Parametros!$B$18:$D$24,2,FALSE()))</f>
        <v/>
      </c>
      <c r="R460" s="42" t="str">
        <f aca="false">IF($B460="","",G460*VLOOKUP(E460,Parametros!$B$18:$D$24,3,FALSE()))</f>
        <v/>
      </c>
      <c r="S460" s="42" t="str">
        <f aca="false">IF($B460="","",Q460-R460)</f>
        <v/>
      </c>
      <c r="T460" s="43" t="str">
        <f aca="false">IF($B460="","",IF(S460&gt;0,"G","P"))</f>
        <v/>
      </c>
      <c r="U460" s="44" t="str">
        <f aca="false">IF($B460="","",S460/Parametros!$C$8)</f>
        <v/>
      </c>
      <c r="V460" s="42" t="str">
        <f aca="false">IF($B460="","",Parametros!$C$6+SUM($S$7:S460))</f>
        <v/>
      </c>
      <c r="W460" s="42" t="str">
        <f aca="false">IF($B460="","",MAX(V460,W459))</f>
        <v/>
      </c>
      <c r="X460" s="42" t="str">
        <f aca="false">IF($B460="","",V460-W460)</f>
        <v/>
      </c>
      <c r="Y460" s="45" t="str">
        <f aca="false">IF($B460="","",X460/W460)</f>
        <v/>
      </c>
      <c r="Z460" s="36" t="str">
        <f aca="false">IF($B460="","",IF(T460="G",IF(N(Z459)&gt;0,Z459+1,1),IF(N(Z459)&lt;0,Z459-1,-1)))</f>
        <v/>
      </c>
      <c r="AA460" s="46" t="str">
        <f aca="false">IF($B460="","",B460-WEEKDAY(B460,2)+1)</f>
        <v/>
      </c>
      <c r="AB460" s="47" t="str">
        <f aca="false">IF($B460="","",DATE(YEAR(B460),MONTH(B460),1))</f>
        <v/>
      </c>
      <c r="AC460" s="41" t="str">
        <f aca="false">IF($B460="","",CHOOSE(WEEKDAY(B460,2),"Lunes","Martes","Miércoles","Jueves","Viernes","Sábado","Domingo"))</f>
        <v/>
      </c>
      <c r="AD460" s="36" t="str">
        <f aca="false">IF($B460="","",HOUR(C460))</f>
        <v/>
      </c>
      <c r="AE460" s="42" t="str">
        <f aca="false">IF($B460="","",IF(O460&lt;&gt;O459,MAX(V460-S460,V460),MAX(V460,AE459)))</f>
        <v/>
      </c>
      <c r="AF460" s="42" t="str">
        <f aca="false">IF($B460="","",V460-AE460)</f>
        <v/>
      </c>
      <c r="AG460" s="36" t="str">
        <f aca="false">IF($B460="","",IF(O460&lt;&gt;O459,IF(T460="G",1,-1),IF(T460="G",IF(N(AG459)&gt;0,AG459+1,1),IF(N(AG459)&lt;0,AG459-1,-1))))</f>
        <v/>
      </c>
    </row>
    <row r="461" customFormat="false" ht="15" hidden="false" customHeight="false" outlineLevel="0" collapsed="false">
      <c r="A461" s="36" t="str">
        <f aca="false">IF(B461="","",ROW()-6)</f>
        <v/>
      </c>
      <c r="B461" s="37"/>
      <c r="C461" s="38"/>
      <c r="D461" s="38"/>
      <c r="E461" s="39"/>
      <c r="F461" s="39"/>
      <c r="G461" s="39"/>
      <c r="H461" s="40"/>
      <c r="I461" s="40"/>
      <c r="J461" s="40"/>
      <c r="K461" s="40"/>
      <c r="L461" s="39"/>
      <c r="M461" s="40"/>
      <c r="N461" s="40"/>
      <c r="O461" s="36" t="str">
        <f aca="false">IF($B461="","",INT((A461-1)/Parametros!$C$10)+1)</f>
        <v/>
      </c>
      <c r="P461" s="41" t="str">
        <f aca="false">IF($B461="","",IF(OR(C461="",D461=""),"",ROUND((D461-C461)*1440,0)))</f>
        <v/>
      </c>
      <c r="Q461" s="42" t="str">
        <f aca="false">IF($B461="","",I461*VLOOKUP(E461,Parametros!$B$18:$D$24,2,FALSE()))</f>
        <v/>
      </c>
      <c r="R461" s="42" t="str">
        <f aca="false">IF($B461="","",G461*VLOOKUP(E461,Parametros!$B$18:$D$24,3,FALSE()))</f>
        <v/>
      </c>
      <c r="S461" s="42" t="str">
        <f aca="false">IF($B461="","",Q461-R461)</f>
        <v/>
      </c>
      <c r="T461" s="43" t="str">
        <f aca="false">IF($B461="","",IF(S461&gt;0,"G","P"))</f>
        <v/>
      </c>
      <c r="U461" s="44" t="str">
        <f aca="false">IF($B461="","",S461/Parametros!$C$8)</f>
        <v/>
      </c>
      <c r="V461" s="42" t="str">
        <f aca="false">IF($B461="","",Parametros!$C$6+SUM($S$7:S461))</f>
        <v/>
      </c>
      <c r="W461" s="42" t="str">
        <f aca="false">IF($B461="","",MAX(V461,W460))</f>
        <v/>
      </c>
      <c r="X461" s="42" t="str">
        <f aca="false">IF($B461="","",V461-W461)</f>
        <v/>
      </c>
      <c r="Y461" s="45" t="str">
        <f aca="false">IF($B461="","",X461/W461)</f>
        <v/>
      </c>
      <c r="Z461" s="36" t="str">
        <f aca="false">IF($B461="","",IF(T461="G",IF(N(Z460)&gt;0,Z460+1,1),IF(N(Z460)&lt;0,Z460-1,-1)))</f>
        <v/>
      </c>
      <c r="AA461" s="46" t="str">
        <f aca="false">IF($B461="","",B461-WEEKDAY(B461,2)+1)</f>
        <v/>
      </c>
      <c r="AB461" s="47" t="str">
        <f aca="false">IF($B461="","",DATE(YEAR(B461),MONTH(B461),1))</f>
        <v/>
      </c>
      <c r="AC461" s="41" t="str">
        <f aca="false">IF($B461="","",CHOOSE(WEEKDAY(B461,2),"Lunes","Martes","Miércoles","Jueves","Viernes","Sábado","Domingo"))</f>
        <v/>
      </c>
      <c r="AD461" s="36" t="str">
        <f aca="false">IF($B461="","",HOUR(C461))</f>
        <v/>
      </c>
      <c r="AE461" s="42" t="str">
        <f aca="false">IF($B461="","",IF(O461&lt;&gt;O460,MAX(V461-S461,V461),MAX(V461,AE460)))</f>
        <v/>
      </c>
      <c r="AF461" s="42" t="str">
        <f aca="false">IF($B461="","",V461-AE461)</f>
        <v/>
      </c>
      <c r="AG461" s="36" t="str">
        <f aca="false">IF($B461="","",IF(O461&lt;&gt;O460,IF(T461="G",1,-1),IF(T461="G",IF(N(AG460)&gt;0,AG460+1,1),IF(N(AG460)&lt;0,AG460-1,-1))))</f>
        <v/>
      </c>
    </row>
    <row r="462" customFormat="false" ht="15" hidden="false" customHeight="false" outlineLevel="0" collapsed="false">
      <c r="A462" s="36" t="str">
        <f aca="false">IF(B462="","",ROW()-6)</f>
        <v/>
      </c>
      <c r="B462" s="37"/>
      <c r="C462" s="38"/>
      <c r="D462" s="38"/>
      <c r="E462" s="39"/>
      <c r="F462" s="39"/>
      <c r="G462" s="39"/>
      <c r="H462" s="40"/>
      <c r="I462" s="40"/>
      <c r="J462" s="40"/>
      <c r="K462" s="40"/>
      <c r="L462" s="39"/>
      <c r="M462" s="40"/>
      <c r="N462" s="40"/>
      <c r="O462" s="36" t="str">
        <f aca="false">IF($B462="","",INT((A462-1)/Parametros!$C$10)+1)</f>
        <v/>
      </c>
      <c r="P462" s="41" t="str">
        <f aca="false">IF($B462="","",IF(OR(C462="",D462=""),"",ROUND((D462-C462)*1440,0)))</f>
        <v/>
      </c>
      <c r="Q462" s="42" t="str">
        <f aca="false">IF($B462="","",I462*VLOOKUP(E462,Parametros!$B$18:$D$24,2,FALSE()))</f>
        <v/>
      </c>
      <c r="R462" s="42" t="str">
        <f aca="false">IF($B462="","",G462*VLOOKUP(E462,Parametros!$B$18:$D$24,3,FALSE()))</f>
        <v/>
      </c>
      <c r="S462" s="42" t="str">
        <f aca="false">IF($B462="","",Q462-R462)</f>
        <v/>
      </c>
      <c r="T462" s="43" t="str">
        <f aca="false">IF($B462="","",IF(S462&gt;0,"G","P"))</f>
        <v/>
      </c>
      <c r="U462" s="44" t="str">
        <f aca="false">IF($B462="","",S462/Parametros!$C$8)</f>
        <v/>
      </c>
      <c r="V462" s="42" t="str">
        <f aca="false">IF($B462="","",Parametros!$C$6+SUM($S$7:S462))</f>
        <v/>
      </c>
      <c r="W462" s="42" t="str">
        <f aca="false">IF($B462="","",MAX(V462,W461))</f>
        <v/>
      </c>
      <c r="X462" s="42" t="str">
        <f aca="false">IF($B462="","",V462-W462)</f>
        <v/>
      </c>
      <c r="Y462" s="45" t="str">
        <f aca="false">IF($B462="","",X462/W462)</f>
        <v/>
      </c>
      <c r="Z462" s="36" t="str">
        <f aca="false">IF($B462="","",IF(T462="G",IF(N(Z461)&gt;0,Z461+1,1),IF(N(Z461)&lt;0,Z461-1,-1)))</f>
        <v/>
      </c>
      <c r="AA462" s="46" t="str">
        <f aca="false">IF($B462="","",B462-WEEKDAY(B462,2)+1)</f>
        <v/>
      </c>
      <c r="AB462" s="47" t="str">
        <f aca="false">IF($B462="","",DATE(YEAR(B462),MONTH(B462),1))</f>
        <v/>
      </c>
      <c r="AC462" s="41" t="str">
        <f aca="false">IF($B462="","",CHOOSE(WEEKDAY(B462,2),"Lunes","Martes","Miércoles","Jueves","Viernes","Sábado","Domingo"))</f>
        <v/>
      </c>
      <c r="AD462" s="36" t="str">
        <f aca="false">IF($B462="","",HOUR(C462))</f>
        <v/>
      </c>
      <c r="AE462" s="42" t="str">
        <f aca="false">IF($B462="","",IF(O462&lt;&gt;O461,MAX(V462-S462,V462),MAX(V462,AE461)))</f>
        <v/>
      </c>
      <c r="AF462" s="42" t="str">
        <f aca="false">IF($B462="","",V462-AE462)</f>
        <v/>
      </c>
      <c r="AG462" s="36" t="str">
        <f aca="false">IF($B462="","",IF(O462&lt;&gt;O461,IF(T462="G",1,-1),IF(T462="G",IF(N(AG461)&gt;0,AG461+1,1),IF(N(AG461)&lt;0,AG461-1,-1))))</f>
        <v/>
      </c>
    </row>
    <row r="463" customFormat="false" ht="15" hidden="false" customHeight="false" outlineLevel="0" collapsed="false">
      <c r="A463" s="36" t="str">
        <f aca="false">IF(B463="","",ROW()-6)</f>
        <v/>
      </c>
      <c r="B463" s="37"/>
      <c r="C463" s="38"/>
      <c r="D463" s="38"/>
      <c r="E463" s="39"/>
      <c r="F463" s="39"/>
      <c r="G463" s="39"/>
      <c r="H463" s="40"/>
      <c r="I463" s="40"/>
      <c r="J463" s="40"/>
      <c r="K463" s="40"/>
      <c r="L463" s="39"/>
      <c r="M463" s="40"/>
      <c r="N463" s="40"/>
      <c r="O463" s="36" t="str">
        <f aca="false">IF($B463="","",INT((A463-1)/Parametros!$C$10)+1)</f>
        <v/>
      </c>
      <c r="P463" s="41" t="str">
        <f aca="false">IF($B463="","",IF(OR(C463="",D463=""),"",ROUND((D463-C463)*1440,0)))</f>
        <v/>
      </c>
      <c r="Q463" s="42" t="str">
        <f aca="false">IF($B463="","",I463*VLOOKUP(E463,Parametros!$B$18:$D$24,2,FALSE()))</f>
        <v/>
      </c>
      <c r="R463" s="42" t="str">
        <f aca="false">IF($B463="","",G463*VLOOKUP(E463,Parametros!$B$18:$D$24,3,FALSE()))</f>
        <v/>
      </c>
      <c r="S463" s="42" t="str">
        <f aca="false">IF($B463="","",Q463-R463)</f>
        <v/>
      </c>
      <c r="T463" s="43" t="str">
        <f aca="false">IF($B463="","",IF(S463&gt;0,"G","P"))</f>
        <v/>
      </c>
      <c r="U463" s="44" t="str">
        <f aca="false">IF($B463="","",S463/Parametros!$C$8)</f>
        <v/>
      </c>
      <c r="V463" s="42" t="str">
        <f aca="false">IF($B463="","",Parametros!$C$6+SUM($S$7:S463))</f>
        <v/>
      </c>
      <c r="W463" s="42" t="str">
        <f aca="false">IF($B463="","",MAX(V463,W462))</f>
        <v/>
      </c>
      <c r="X463" s="42" t="str">
        <f aca="false">IF($B463="","",V463-W463)</f>
        <v/>
      </c>
      <c r="Y463" s="45" t="str">
        <f aca="false">IF($B463="","",X463/W463)</f>
        <v/>
      </c>
      <c r="Z463" s="36" t="str">
        <f aca="false">IF($B463="","",IF(T463="G",IF(N(Z462)&gt;0,Z462+1,1),IF(N(Z462)&lt;0,Z462-1,-1)))</f>
        <v/>
      </c>
      <c r="AA463" s="46" t="str">
        <f aca="false">IF($B463="","",B463-WEEKDAY(B463,2)+1)</f>
        <v/>
      </c>
      <c r="AB463" s="47" t="str">
        <f aca="false">IF($B463="","",DATE(YEAR(B463),MONTH(B463),1))</f>
        <v/>
      </c>
      <c r="AC463" s="41" t="str">
        <f aca="false">IF($B463="","",CHOOSE(WEEKDAY(B463,2),"Lunes","Martes","Miércoles","Jueves","Viernes","Sábado","Domingo"))</f>
        <v/>
      </c>
      <c r="AD463" s="36" t="str">
        <f aca="false">IF($B463="","",HOUR(C463))</f>
        <v/>
      </c>
      <c r="AE463" s="42" t="str">
        <f aca="false">IF($B463="","",IF(O463&lt;&gt;O462,MAX(V463-S463,V463),MAX(V463,AE462)))</f>
        <v/>
      </c>
      <c r="AF463" s="42" t="str">
        <f aca="false">IF($B463="","",V463-AE463)</f>
        <v/>
      </c>
      <c r="AG463" s="36" t="str">
        <f aca="false">IF($B463="","",IF(O463&lt;&gt;O462,IF(T463="G",1,-1),IF(T463="G",IF(N(AG462)&gt;0,AG462+1,1),IF(N(AG462)&lt;0,AG462-1,-1))))</f>
        <v/>
      </c>
    </row>
    <row r="464" customFormat="false" ht="15" hidden="false" customHeight="false" outlineLevel="0" collapsed="false">
      <c r="A464" s="36" t="str">
        <f aca="false">IF(B464="","",ROW()-6)</f>
        <v/>
      </c>
      <c r="B464" s="37"/>
      <c r="C464" s="38"/>
      <c r="D464" s="38"/>
      <c r="E464" s="39"/>
      <c r="F464" s="39"/>
      <c r="G464" s="39"/>
      <c r="H464" s="40"/>
      <c r="I464" s="40"/>
      <c r="J464" s="40"/>
      <c r="K464" s="40"/>
      <c r="L464" s="39"/>
      <c r="M464" s="40"/>
      <c r="N464" s="40"/>
      <c r="O464" s="36" t="str">
        <f aca="false">IF($B464="","",INT((A464-1)/Parametros!$C$10)+1)</f>
        <v/>
      </c>
      <c r="P464" s="41" t="str">
        <f aca="false">IF($B464="","",IF(OR(C464="",D464=""),"",ROUND((D464-C464)*1440,0)))</f>
        <v/>
      </c>
      <c r="Q464" s="42" t="str">
        <f aca="false">IF($B464="","",I464*VLOOKUP(E464,Parametros!$B$18:$D$24,2,FALSE()))</f>
        <v/>
      </c>
      <c r="R464" s="42" t="str">
        <f aca="false">IF($B464="","",G464*VLOOKUP(E464,Parametros!$B$18:$D$24,3,FALSE()))</f>
        <v/>
      </c>
      <c r="S464" s="42" t="str">
        <f aca="false">IF($B464="","",Q464-R464)</f>
        <v/>
      </c>
      <c r="T464" s="43" t="str">
        <f aca="false">IF($B464="","",IF(S464&gt;0,"G","P"))</f>
        <v/>
      </c>
      <c r="U464" s="44" t="str">
        <f aca="false">IF($B464="","",S464/Parametros!$C$8)</f>
        <v/>
      </c>
      <c r="V464" s="42" t="str">
        <f aca="false">IF($B464="","",Parametros!$C$6+SUM($S$7:S464))</f>
        <v/>
      </c>
      <c r="W464" s="42" t="str">
        <f aca="false">IF($B464="","",MAX(V464,W463))</f>
        <v/>
      </c>
      <c r="X464" s="42" t="str">
        <f aca="false">IF($B464="","",V464-W464)</f>
        <v/>
      </c>
      <c r="Y464" s="45" t="str">
        <f aca="false">IF($B464="","",X464/W464)</f>
        <v/>
      </c>
      <c r="Z464" s="36" t="str">
        <f aca="false">IF($B464="","",IF(T464="G",IF(N(Z463)&gt;0,Z463+1,1),IF(N(Z463)&lt;0,Z463-1,-1)))</f>
        <v/>
      </c>
      <c r="AA464" s="46" t="str">
        <f aca="false">IF($B464="","",B464-WEEKDAY(B464,2)+1)</f>
        <v/>
      </c>
      <c r="AB464" s="47" t="str">
        <f aca="false">IF($B464="","",DATE(YEAR(B464),MONTH(B464),1))</f>
        <v/>
      </c>
      <c r="AC464" s="41" t="str">
        <f aca="false">IF($B464="","",CHOOSE(WEEKDAY(B464,2),"Lunes","Martes","Miércoles","Jueves","Viernes","Sábado","Domingo"))</f>
        <v/>
      </c>
      <c r="AD464" s="36" t="str">
        <f aca="false">IF($B464="","",HOUR(C464))</f>
        <v/>
      </c>
      <c r="AE464" s="42" t="str">
        <f aca="false">IF($B464="","",IF(O464&lt;&gt;O463,MAX(V464-S464,V464),MAX(V464,AE463)))</f>
        <v/>
      </c>
      <c r="AF464" s="42" t="str">
        <f aca="false">IF($B464="","",V464-AE464)</f>
        <v/>
      </c>
      <c r="AG464" s="36" t="str">
        <f aca="false">IF($B464="","",IF(O464&lt;&gt;O463,IF(T464="G",1,-1),IF(T464="G",IF(N(AG463)&gt;0,AG463+1,1),IF(N(AG463)&lt;0,AG463-1,-1))))</f>
        <v/>
      </c>
    </row>
    <row r="465" customFormat="false" ht="15" hidden="false" customHeight="false" outlineLevel="0" collapsed="false">
      <c r="A465" s="36" t="str">
        <f aca="false">IF(B465="","",ROW()-6)</f>
        <v/>
      </c>
      <c r="B465" s="37"/>
      <c r="C465" s="38"/>
      <c r="D465" s="38"/>
      <c r="E465" s="39"/>
      <c r="F465" s="39"/>
      <c r="G465" s="39"/>
      <c r="H465" s="40"/>
      <c r="I465" s="40"/>
      <c r="J465" s="40"/>
      <c r="K465" s="40"/>
      <c r="L465" s="39"/>
      <c r="M465" s="40"/>
      <c r="N465" s="40"/>
      <c r="O465" s="36" t="str">
        <f aca="false">IF($B465="","",INT((A465-1)/Parametros!$C$10)+1)</f>
        <v/>
      </c>
      <c r="P465" s="41" t="str">
        <f aca="false">IF($B465="","",IF(OR(C465="",D465=""),"",ROUND((D465-C465)*1440,0)))</f>
        <v/>
      </c>
      <c r="Q465" s="42" t="str">
        <f aca="false">IF($B465="","",I465*VLOOKUP(E465,Parametros!$B$18:$D$24,2,FALSE()))</f>
        <v/>
      </c>
      <c r="R465" s="42" t="str">
        <f aca="false">IF($B465="","",G465*VLOOKUP(E465,Parametros!$B$18:$D$24,3,FALSE()))</f>
        <v/>
      </c>
      <c r="S465" s="42" t="str">
        <f aca="false">IF($B465="","",Q465-R465)</f>
        <v/>
      </c>
      <c r="T465" s="43" t="str">
        <f aca="false">IF($B465="","",IF(S465&gt;0,"G","P"))</f>
        <v/>
      </c>
      <c r="U465" s="44" t="str">
        <f aca="false">IF($B465="","",S465/Parametros!$C$8)</f>
        <v/>
      </c>
      <c r="V465" s="42" t="str">
        <f aca="false">IF($B465="","",Parametros!$C$6+SUM($S$7:S465))</f>
        <v/>
      </c>
      <c r="W465" s="42" t="str">
        <f aca="false">IF($B465="","",MAX(V465,W464))</f>
        <v/>
      </c>
      <c r="X465" s="42" t="str">
        <f aca="false">IF($B465="","",V465-W465)</f>
        <v/>
      </c>
      <c r="Y465" s="45" t="str">
        <f aca="false">IF($B465="","",X465/W465)</f>
        <v/>
      </c>
      <c r="Z465" s="36" t="str">
        <f aca="false">IF($B465="","",IF(T465="G",IF(N(Z464)&gt;0,Z464+1,1),IF(N(Z464)&lt;0,Z464-1,-1)))</f>
        <v/>
      </c>
      <c r="AA465" s="46" t="str">
        <f aca="false">IF($B465="","",B465-WEEKDAY(B465,2)+1)</f>
        <v/>
      </c>
      <c r="AB465" s="47" t="str">
        <f aca="false">IF($B465="","",DATE(YEAR(B465),MONTH(B465),1))</f>
        <v/>
      </c>
      <c r="AC465" s="41" t="str">
        <f aca="false">IF($B465="","",CHOOSE(WEEKDAY(B465,2),"Lunes","Martes","Miércoles","Jueves","Viernes","Sábado","Domingo"))</f>
        <v/>
      </c>
      <c r="AD465" s="36" t="str">
        <f aca="false">IF($B465="","",HOUR(C465))</f>
        <v/>
      </c>
      <c r="AE465" s="42" t="str">
        <f aca="false">IF($B465="","",IF(O465&lt;&gt;O464,MAX(V465-S465,V465),MAX(V465,AE464)))</f>
        <v/>
      </c>
      <c r="AF465" s="42" t="str">
        <f aca="false">IF($B465="","",V465-AE465)</f>
        <v/>
      </c>
      <c r="AG465" s="36" t="str">
        <f aca="false">IF($B465="","",IF(O465&lt;&gt;O464,IF(T465="G",1,-1),IF(T465="G",IF(N(AG464)&gt;0,AG464+1,1),IF(N(AG464)&lt;0,AG464-1,-1))))</f>
        <v/>
      </c>
    </row>
    <row r="466" customFormat="false" ht="15" hidden="false" customHeight="false" outlineLevel="0" collapsed="false">
      <c r="A466" s="36" t="str">
        <f aca="false">IF(B466="","",ROW()-6)</f>
        <v/>
      </c>
      <c r="B466" s="37"/>
      <c r="C466" s="38"/>
      <c r="D466" s="38"/>
      <c r="E466" s="39"/>
      <c r="F466" s="39"/>
      <c r="G466" s="39"/>
      <c r="H466" s="40"/>
      <c r="I466" s="40"/>
      <c r="J466" s="40"/>
      <c r="K466" s="40"/>
      <c r="L466" s="39"/>
      <c r="M466" s="40"/>
      <c r="N466" s="40"/>
      <c r="O466" s="36" t="str">
        <f aca="false">IF($B466="","",INT((A466-1)/Parametros!$C$10)+1)</f>
        <v/>
      </c>
      <c r="P466" s="41" t="str">
        <f aca="false">IF($B466="","",IF(OR(C466="",D466=""),"",ROUND((D466-C466)*1440,0)))</f>
        <v/>
      </c>
      <c r="Q466" s="42" t="str">
        <f aca="false">IF($B466="","",I466*VLOOKUP(E466,Parametros!$B$18:$D$24,2,FALSE()))</f>
        <v/>
      </c>
      <c r="R466" s="42" t="str">
        <f aca="false">IF($B466="","",G466*VLOOKUP(E466,Parametros!$B$18:$D$24,3,FALSE()))</f>
        <v/>
      </c>
      <c r="S466" s="42" t="str">
        <f aca="false">IF($B466="","",Q466-R466)</f>
        <v/>
      </c>
      <c r="T466" s="43" t="str">
        <f aca="false">IF($B466="","",IF(S466&gt;0,"G","P"))</f>
        <v/>
      </c>
      <c r="U466" s="44" t="str">
        <f aca="false">IF($B466="","",S466/Parametros!$C$8)</f>
        <v/>
      </c>
      <c r="V466" s="42" t="str">
        <f aca="false">IF($B466="","",Parametros!$C$6+SUM($S$7:S466))</f>
        <v/>
      </c>
      <c r="W466" s="42" t="str">
        <f aca="false">IF($B466="","",MAX(V466,W465))</f>
        <v/>
      </c>
      <c r="X466" s="42" t="str">
        <f aca="false">IF($B466="","",V466-W466)</f>
        <v/>
      </c>
      <c r="Y466" s="45" t="str">
        <f aca="false">IF($B466="","",X466/W466)</f>
        <v/>
      </c>
      <c r="Z466" s="36" t="str">
        <f aca="false">IF($B466="","",IF(T466="G",IF(N(Z465)&gt;0,Z465+1,1),IF(N(Z465)&lt;0,Z465-1,-1)))</f>
        <v/>
      </c>
      <c r="AA466" s="46" t="str">
        <f aca="false">IF($B466="","",B466-WEEKDAY(B466,2)+1)</f>
        <v/>
      </c>
      <c r="AB466" s="47" t="str">
        <f aca="false">IF($B466="","",DATE(YEAR(B466),MONTH(B466),1))</f>
        <v/>
      </c>
      <c r="AC466" s="41" t="str">
        <f aca="false">IF($B466="","",CHOOSE(WEEKDAY(B466,2),"Lunes","Martes","Miércoles","Jueves","Viernes","Sábado","Domingo"))</f>
        <v/>
      </c>
      <c r="AD466" s="36" t="str">
        <f aca="false">IF($B466="","",HOUR(C466))</f>
        <v/>
      </c>
      <c r="AE466" s="42" t="str">
        <f aca="false">IF($B466="","",IF(O466&lt;&gt;O465,MAX(V466-S466,V466),MAX(V466,AE465)))</f>
        <v/>
      </c>
      <c r="AF466" s="42" t="str">
        <f aca="false">IF($B466="","",V466-AE466)</f>
        <v/>
      </c>
      <c r="AG466" s="36" t="str">
        <f aca="false">IF($B466="","",IF(O466&lt;&gt;O465,IF(T466="G",1,-1),IF(T466="G",IF(N(AG465)&gt;0,AG465+1,1),IF(N(AG465)&lt;0,AG465-1,-1))))</f>
        <v/>
      </c>
    </row>
    <row r="467" customFormat="false" ht="15" hidden="false" customHeight="false" outlineLevel="0" collapsed="false">
      <c r="A467" s="36" t="str">
        <f aca="false">IF(B467="","",ROW()-6)</f>
        <v/>
      </c>
      <c r="B467" s="37"/>
      <c r="C467" s="38"/>
      <c r="D467" s="38"/>
      <c r="E467" s="39"/>
      <c r="F467" s="39"/>
      <c r="G467" s="39"/>
      <c r="H467" s="40"/>
      <c r="I467" s="40"/>
      <c r="J467" s="40"/>
      <c r="K467" s="40"/>
      <c r="L467" s="39"/>
      <c r="M467" s="40"/>
      <c r="N467" s="40"/>
      <c r="O467" s="36" t="str">
        <f aca="false">IF($B467="","",INT((A467-1)/Parametros!$C$10)+1)</f>
        <v/>
      </c>
      <c r="P467" s="41" t="str">
        <f aca="false">IF($B467="","",IF(OR(C467="",D467=""),"",ROUND((D467-C467)*1440,0)))</f>
        <v/>
      </c>
      <c r="Q467" s="42" t="str">
        <f aca="false">IF($B467="","",I467*VLOOKUP(E467,Parametros!$B$18:$D$24,2,FALSE()))</f>
        <v/>
      </c>
      <c r="R467" s="42" t="str">
        <f aca="false">IF($B467="","",G467*VLOOKUP(E467,Parametros!$B$18:$D$24,3,FALSE()))</f>
        <v/>
      </c>
      <c r="S467" s="42" t="str">
        <f aca="false">IF($B467="","",Q467-R467)</f>
        <v/>
      </c>
      <c r="T467" s="43" t="str">
        <f aca="false">IF($B467="","",IF(S467&gt;0,"G","P"))</f>
        <v/>
      </c>
      <c r="U467" s="44" t="str">
        <f aca="false">IF($B467="","",S467/Parametros!$C$8)</f>
        <v/>
      </c>
      <c r="V467" s="42" t="str">
        <f aca="false">IF($B467="","",Parametros!$C$6+SUM($S$7:S467))</f>
        <v/>
      </c>
      <c r="W467" s="42" t="str">
        <f aca="false">IF($B467="","",MAX(V467,W466))</f>
        <v/>
      </c>
      <c r="X467" s="42" t="str">
        <f aca="false">IF($B467="","",V467-W467)</f>
        <v/>
      </c>
      <c r="Y467" s="45" t="str">
        <f aca="false">IF($B467="","",X467/W467)</f>
        <v/>
      </c>
      <c r="Z467" s="36" t="str">
        <f aca="false">IF($B467="","",IF(T467="G",IF(N(Z466)&gt;0,Z466+1,1),IF(N(Z466)&lt;0,Z466-1,-1)))</f>
        <v/>
      </c>
      <c r="AA467" s="46" t="str">
        <f aca="false">IF($B467="","",B467-WEEKDAY(B467,2)+1)</f>
        <v/>
      </c>
      <c r="AB467" s="47" t="str">
        <f aca="false">IF($B467="","",DATE(YEAR(B467),MONTH(B467),1))</f>
        <v/>
      </c>
      <c r="AC467" s="41" t="str">
        <f aca="false">IF($B467="","",CHOOSE(WEEKDAY(B467,2),"Lunes","Martes","Miércoles","Jueves","Viernes","Sábado","Domingo"))</f>
        <v/>
      </c>
      <c r="AD467" s="36" t="str">
        <f aca="false">IF($B467="","",HOUR(C467))</f>
        <v/>
      </c>
      <c r="AE467" s="42" t="str">
        <f aca="false">IF($B467="","",IF(O467&lt;&gt;O466,MAX(V467-S467,V467),MAX(V467,AE466)))</f>
        <v/>
      </c>
      <c r="AF467" s="42" t="str">
        <f aca="false">IF($B467="","",V467-AE467)</f>
        <v/>
      </c>
      <c r="AG467" s="36" t="str">
        <f aca="false">IF($B467="","",IF(O467&lt;&gt;O466,IF(T467="G",1,-1),IF(T467="G",IF(N(AG466)&gt;0,AG466+1,1),IF(N(AG466)&lt;0,AG466-1,-1))))</f>
        <v/>
      </c>
    </row>
    <row r="468" customFormat="false" ht="15" hidden="false" customHeight="false" outlineLevel="0" collapsed="false">
      <c r="A468" s="36" t="str">
        <f aca="false">IF(B468="","",ROW()-6)</f>
        <v/>
      </c>
      <c r="B468" s="37"/>
      <c r="C468" s="38"/>
      <c r="D468" s="38"/>
      <c r="E468" s="39"/>
      <c r="F468" s="39"/>
      <c r="G468" s="39"/>
      <c r="H468" s="40"/>
      <c r="I468" s="40"/>
      <c r="J468" s="40"/>
      <c r="K468" s="40"/>
      <c r="L468" s="39"/>
      <c r="M468" s="40"/>
      <c r="N468" s="40"/>
      <c r="O468" s="36" t="str">
        <f aca="false">IF($B468="","",INT((A468-1)/Parametros!$C$10)+1)</f>
        <v/>
      </c>
      <c r="P468" s="41" t="str">
        <f aca="false">IF($B468="","",IF(OR(C468="",D468=""),"",ROUND((D468-C468)*1440,0)))</f>
        <v/>
      </c>
      <c r="Q468" s="42" t="str">
        <f aca="false">IF($B468="","",I468*VLOOKUP(E468,Parametros!$B$18:$D$24,2,FALSE()))</f>
        <v/>
      </c>
      <c r="R468" s="42" t="str">
        <f aca="false">IF($B468="","",G468*VLOOKUP(E468,Parametros!$B$18:$D$24,3,FALSE()))</f>
        <v/>
      </c>
      <c r="S468" s="42" t="str">
        <f aca="false">IF($B468="","",Q468-R468)</f>
        <v/>
      </c>
      <c r="T468" s="43" t="str">
        <f aca="false">IF($B468="","",IF(S468&gt;0,"G","P"))</f>
        <v/>
      </c>
      <c r="U468" s="44" t="str">
        <f aca="false">IF($B468="","",S468/Parametros!$C$8)</f>
        <v/>
      </c>
      <c r="V468" s="42" t="str">
        <f aca="false">IF($B468="","",Parametros!$C$6+SUM($S$7:S468))</f>
        <v/>
      </c>
      <c r="W468" s="42" t="str">
        <f aca="false">IF($B468="","",MAX(V468,W467))</f>
        <v/>
      </c>
      <c r="X468" s="42" t="str">
        <f aca="false">IF($B468="","",V468-W468)</f>
        <v/>
      </c>
      <c r="Y468" s="45" t="str">
        <f aca="false">IF($B468="","",X468/W468)</f>
        <v/>
      </c>
      <c r="Z468" s="36" t="str">
        <f aca="false">IF($B468="","",IF(T468="G",IF(N(Z467)&gt;0,Z467+1,1),IF(N(Z467)&lt;0,Z467-1,-1)))</f>
        <v/>
      </c>
      <c r="AA468" s="46" t="str">
        <f aca="false">IF($B468="","",B468-WEEKDAY(B468,2)+1)</f>
        <v/>
      </c>
      <c r="AB468" s="47" t="str">
        <f aca="false">IF($B468="","",DATE(YEAR(B468),MONTH(B468),1))</f>
        <v/>
      </c>
      <c r="AC468" s="41" t="str">
        <f aca="false">IF($B468="","",CHOOSE(WEEKDAY(B468,2),"Lunes","Martes","Miércoles","Jueves","Viernes","Sábado","Domingo"))</f>
        <v/>
      </c>
      <c r="AD468" s="36" t="str">
        <f aca="false">IF($B468="","",HOUR(C468))</f>
        <v/>
      </c>
      <c r="AE468" s="42" t="str">
        <f aca="false">IF($B468="","",IF(O468&lt;&gt;O467,MAX(V468-S468,V468),MAX(V468,AE467)))</f>
        <v/>
      </c>
      <c r="AF468" s="42" t="str">
        <f aca="false">IF($B468="","",V468-AE468)</f>
        <v/>
      </c>
      <c r="AG468" s="36" t="str">
        <f aca="false">IF($B468="","",IF(O468&lt;&gt;O467,IF(T468="G",1,-1),IF(T468="G",IF(N(AG467)&gt;0,AG467+1,1),IF(N(AG467)&lt;0,AG467-1,-1))))</f>
        <v/>
      </c>
    </row>
    <row r="469" customFormat="false" ht="15" hidden="false" customHeight="false" outlineLevel="0" collapsed="false">
      <c r="A469" s="36" t="str">
        <f aca="false">IF(B469="","",ROW()-6)</f>
        <v/>
      </c>
      <c r="B469" s="37"/>
      <c r="C469" s="38"/>
      <c r="D469" s="38"/>
      <c r="E469" s="39"/>
      <c r="F469" s="39"/>
      <c r="G469" s="39"/>
      <c r="H469" s="40"/>
      <c r="I469" s="40"/>
      <c r="J469" s="40"/>
      <c r="K469" s="40"/>
      <c r="L469" s="39"/>
      <c r="M469" s="40"/>
      <c r="N469" s="40"/>
      <c r="O469" s="36" t="str">
        <f aca="false">IF($B469="","",INT((A469-1)/Parametros!$C$10)+1)</f>
        <v/>
      </c>
      <c r="P469" s="41" t="str">
        <f aca="false">IF($B469="","",IF(OR(C469="",D469=""),"",ROUND((D469-C469)*1440,0)))</f>
        <v/>
      </c>
      <c r="Q469" s="42" t="str">
        <f aca="false">IF($B469="","",I469*VLOOKUP(E469,Parametros!$B$18:$D$24,2,FALSE()))</f>
        <v/>
      </c>
      <c r="R469" s="42" t="str">
        <f aca="false">IF($B469="","",G469*VLOOKUP(E469,Parametros!$B$18:$D$24,3,FALSE()))</f>
        <v/>
      </c>
      <c r="S469" s="42" t="str">
        <f aca="false">IF($B469="","",Q469-R469)</f>
        <v/>
      </c>
      <c r="T469" s="43" t="str">
        <f aca="false">IF($B469="","",IF(S469&gt;0,"G","P"))</f>
        <v/>
      </c>
      <c r="U469" s="44" t="str">
        <f aca="false">IF($B469="","",S469/Parametros!$C$8)</f>
        <v/>
      </c>
      <c r="V469" s="42" t="str">
        <f aca="false">IF($B469="","",Parametros!$C$6+SUM($S$7:S469))</f>
        <v/>
      </c>
      <c r="W469" s="42" t="str">
        <f aca="false">IF($B469="","",MAX(V469,W468))</f>
        <v/>
      </c>
      <c r="X469" s="42" t="str">
        <f aca="false">IF($B469="","",V469-W469)</f>
        <v/>
      </c>
      <c r="Y469" s="45" t="str">
        <f aca="false">IF($B469="","",X469/W469)</f>
        <v/>
      </c>
      <c r="Z469" s="36" t="str">
        <f aca="false">IF($B469="","",IF(T469="G",IF(N(Z468)&gt;0,Z468+1,1),IF(N(Z468)&lt;0,Z468-1,-1)))</f>
        <v/>
      </c>
      <c r="AA469" s="46" t="str">
        <f aca="false">IF($B469="","",B469-WEEKDAY(B469,2)+1)</f>
        <v/>
      </c>
      <c r="AB469" s="47" t="str">
        <f aca="false">IF($B469="","",DATE(YEAR(B469),MONTH(B469),1))</f>
        <v/>
      </c>
      <c r="AC469" s="41" t="str">
        <f aca="false">IF($B469="","",CHOOSE(WEEKDAY(B469,2),"Lunes","Martes","Miércoles","Jueves","Viernes","Sábado","Domingo"))</f>
        <v/>
      </c>
      <c r="AD469" s="36" t="str">
        <f aca="false">IF($B469="","",HOUR(C469))</f>
        <v/>
      </c>
      <c r="AE469" s="42" t="str">
        <f aca="false">IF($B469="","",IF(O469&lt;&gt;O468,MAX(V469-S469,V469),MAX(V469,AE468)))</f>
        <v/>
      </c>
      <c r="AF469" s="42" t="str">
        <f aca="false">IF($B469="","",V469-AE469)</f>
        <v/>
      </c>
      <c r="AG469" s="36" t="str">
        <f aca="false">IF($B469="","",IF(O469&lt;&gt;O468,IF(T469="G",1,-1),IF(T469="G",IF(N(AG468)&gt;0,AG468+1,1),IF(N(AG468)&lt;0,AG468-1,-1))))</f>
        <v/>
      </c>
    </row>
    <row r="470" customFormat="false" ht="15" hidden="false" customHeight="false" outlineLevel="0" collapsed="false">
      <c r="A470" s="36" t="str">
        <f aca="false">IF(B470="","",ROW()-6)</f>
        <v/>
      </c>
      <c r="B470" s="37"/>
      <c r="C470" s="38"/>
      <c r="D470" s="38"/>
      <c r="E470" s="39"/>
      <c r="F470" s="39"/>
      <c r="G470" s="39"/>
      <c r="H470" s="40"/>
      <c r="I470" s="40"/>
      <c r="J470" s="40"/>
      <c r="K470" s="40"/>
      <c r="L470" s="39"/>
      <c r="M470" s="40"/>
      <c r="N470" s="40"/>
      <c r="O470" s="36" t="str">
        <f aca="false">IF($B470="","",INT((A470-1)/Parametros!$C$10)+1)</f>
        <v/>
      </c>
      <c r="P470" s="41" t="str">
        <f aca="false">IF($B470="","",IF(OR(C470="",D470=""),"",ROUND((D470-C470)*1440,0)))</f>
        <v/>
      </c>
      <c r="Q470" s="42" t="str">
        <f aca="false">IF($B470="","",I470*VLOOKUP(E470,Parametros!$B$18:$D$24,2,FALSE()))</f>
        <v/>
      </c>
      <c r="R470" s="42" t="str">
        <f aca="false">IF($B470="","",G470*VLOOKUP(E470,Parametros!$B$18:$D$24,3,FALSE()))</f>
        <v/>
      </c>
      <c r="S470" s="42" t="str">
        <f aca="false">IF($B470="","",Q470-R470)</f>
        <v/>
      </c>
      <c r="T470" s="43" t="str">
        <f aca="false">IF($B470="","",IF(S470&gt;0,"G","P"))</f>
        <v/>
      </c>
      <c r="U470" s="44" t="str">
        <f aca="false">IF($B470="","",S470/Parametros!$C$8)</f>
        <v/>
      </c>
      <c r="V470" s="42" t="str">
        <f aca="false">IF($B470="","",Parametros!$C$6+SUM($S$7:S470))</f>
        <v/>
      </c>
      <c r="W470" s="42" t="str">
        <f aca="false">IF($B470="","",MAX(V470,W469))</f>
        <v/>
      </c>
      <c r="X470" s="42" t="str">
        <f aca="false">IF($B470="","",V470-W470)</f>
        <v/>
      </c>
      <c r="Y470" s="45" t="str">
        <f aca="false">IF($B470="","",X470/W470)</f>
        <v/>
      </c>
      <c r="Z470" s="36" t="str">
        <f aca="false">IF($B470="","",IF(T470="G",IF(N(Z469)&gt;0,Z469+1,1),IF(N(Z469)&lt;0,Z469-1,-1)))</f>
        <v/>
      </c>
      <c r="AA470" s="46" t="str">
        <f aca="false">IF($B470="","",B470-WEEKDAY(B470,2)+1)</f>
        <v/>
      </c>
      <c r="AB470" s="47" t="str">
        <f aca="false">IF($B470="","",DATE(YEAR(B470),MONTH(B470),1))</f>
        <v/>
      </c>
      <c r="AC470" s="41" t="str">
        <f aca="false">IF($B470="","",CHOOSE(WEEKDAY(B470,2),"Lunes","Martes","Miércoles","Jueves","Viernes","Sábado","Domingo"))</f>
        <v/>
      </c>
      <c r="AD470" s="36" t="str">
        <f aca="false">IF($B470="","",HOUR(C470))</f>
        <v/>
      </c>
      <c r="AE470" s="42" t="str">
        <f aca="false">IF($B470="","",IF(O470&lt;&gt;O469,MAX(V470-S470,V470),MAX(V470,AE469)))</f>
        <v/>
      </c>
      <c r="AF470" s="42" t="str">
        <f aca="false">IF($B470="","",V470-AE470)</f>
        <v/>
      </c>
      <c r="AG470" s="36" t="str">
        <f aca="false">IF($B470="","",IF(O470&lt;&gt;O469,IF(T470="G",1,-1),IF(T470="G",IF(N(AG469)&gt;0,AG469+1,1),IF(N(AG469)&lt;0,AG469-1,-1))))</f>
        <v/>
      </c>
    </row>
    <row r="471" customFormat="false" ht="15" hidden="false" customHeight="false" outlineLevel="0" collapsed="false">
      <c r="A471" s="36" t="str">
        <f aca="false">IF(B471="","",ROW()-6)</f>
        <v/>
      </c>
      <c r="B471" s="37"/>
      <c r="C471" s="38"/>
      <c r="D471" s="38"/>
      <c r="E471" s="39"/>
      <c r="F471" s="39"/>
      <c r="G471" s="39"/>
      <c r="H471" s="40"/>
      <c r="I471" s="40"/>
      <c r="J471" s="40"/>
      <c r="K471" s="40"/>
      <c r="L471" s="39"/>
      <c r="M471" s="40"/>
      <c r="N471" s="40"/>
      <c r="O471" s="36" t="str">
        <f aca="false">IF($B471="","",INT((A471-1)/Parametros!$C$10)+1)</f>
        <v/>
      </c>
      <c r="P471" s="41" t="str">
        <f aca="false">IF($B471="","",IF(OR(C471="",D471=""),"",ROUND((D471-C471)*1440,0)))</f>
        <v/>
      </c>
      <c r="Q471" s="42" t="str">
        <f aca="false">IF($B471="","",I471*VLOOKUP(E471,Parametros!$B$18:$D$24,2,FALSE()))</f>
        <v/>
      </c>
      <c r="R471" s="42" t="str">
        <f aca="false">IF($B471="","",G471*VLOOKUP(E471,Parametros!$B$18:$D$24,3,FALSE()))</f>
        <v/>
      </c>
      <c r="S471" s="42" t="str">
        <f aca="false">IF($B471="","",Q471-R471)</f>
        <v/>
      </c>
      <c r="T471" s="43" t="str">
        <f aca="false">IF($B471="","",IF(S471&gt;0,"G","P"))</f>
        <v/>
      </c>
      <c r="U471" s="44" t="str">
        <f aca="false">IF($B471="","",S471/Parametros!$C$8)</f>
        <v/>
      </c>
      <c r="V471" s="42" t="str">
        <f aca="false">IF($B471="","",Parametros!$C$6+SUM($S$7:S471))</f>
        <v/>
      </c>
      <c r="W471" s="42" t="str">
        <f aca="false">IF($B471="","",MAX(V471,W470))</f>
        <v/>
      </c>
      <c r="X471" s="42" t="str">
        <f aca="false">IF($B471="","",V471-W471)</f>
        <v/>
      </c>
      <c r="Y471" s="45" t="str">
        <f aca="false">IF($B471="","",X471/W471)</f>
        <v/>
      </c>
      <c r="Z471" s="36" t="str">
        <f aca="false">IF($B471="","",IF(T471="G",IF(N(Z470)&gt;0,Z470+1,1),IF(N(Z470)&lt;0,Z470-1,-1)))</f>
        <v/>
      </c>
      <c r="AA471" s="46" t="str">
        <f aca="false">IF($B471="","",B471-WEEKDAY(B471,2)+1)</f>
        <v/>
      </c>
      <c r="AB471" s="47" t="str">
        <f aca="false">IF($B471="","",DATE(YEAR(B471),MONTH(B471),1))</f>
        <v/>
      </c>
      <c r="AC471" s="41" t="str">
        <f aca="false">IF($B471="","",CHOOSE(WEEKDAY(B471,2),"Lunes","Martes","Miércoles","Jueves","Viernes","Sábado","Domingo"))</f>
        <v/>
      </c>
      <c r="AD471" s="36" t="str">
        <f aca="false">IF($B471="","",HOUR(C471))</f>
        <v/>
      </c>
      <c r="AE471" s="42" t="str">
        <f aca="false">IF($B471="","",IF(O471&lt;&gt;O470,MAX(V471-S471,V471),MAX(V471,AE470)))</f>
        <v/>
      </c>
      <c r="AF471" s="42" t="str">
        <f aca="false">IF($B471="","",V471-AE471)</f>
        <v/>
      </c>
      <c r="AG471" s="36" t="str">
        <f aca="false">IF($B471="","",IF(O471&lt;&gt;O470,IF(T471="G",1,-1),IF(T471="G",IF(N(AG470)&gt;0,AG470+1,1),IF(N(AG470)&lt;0,AG470-1,-1))))</f>
        <v/>
      </c>
    </row>
    <row r="472" customFormat="false" ht="15" hidden="false" customHeight="false" outlineLevel="0" collapsed="false">
      <c r="A472" s="36" t="str">
        <f aca="false">IF(B472="","",ROW()-6)</f>
        <v/>
      </c>
      <c r="B472" s="37"/>
      <c r="C472" s="38"/>
      <c r="D472" s="38"/>
      <c r="E472" s="39"/>
      <c r="F472" s="39"/>
      <c r="G472" s="39"/>
      <c r="H472" s="40"/>
      <c r="I472" s="40"/>
      <c r="J472" s="40"/>
      <c r="K472" s="40"/>
      <c r="L472" s="39"/>
      <c r="M472" s="40"/>
      <c r="N472" s="40"/>
      <c r="O472" s="36" t="str">
        <f aca="false">IF($B472="","",INT((A472-1)/Parametros!$C$10)+1)</f>
        <v/>
      </c>
      <c r="P472" s="41" t="str">
        <f aca="false">IF($B472="","",IF(OR(C472="",D472=""),"",ROUND((D472-C472)*1440,0)))</f>
        <v/>
      </c>
      <c r="Q472" s="42" t="str">
        <f aca="false">IF($B472="","",I472*VLOOKUP(E472,Parametros!$B$18:$D$24,2,FALSE()))</f>
        <v/>
      </c>
      <c r="R472" s="42" t="str">
        <f aca="false">IF($B472="","",G472*VLOOKUP(E472,Parametros!$B$18:$D$24,3,FALSE()))</f>
        <v/>
      </c>
      <c r="S472" s="42" t="str">
        <f aca="false">IF($B472="","",Q472-R472)</f>
        <v/>
      </c>
      <c r="T472" s="43" t="str">
        <f aca="false">IF($B472="","",IF(S472&gt;0,"G","P"))</f>
        <v/>
      </c>
      <c r="U472" s="44" t="str">
        <f aca="false">IF($B472="","",S472/Parametros!$C$8)</f>
        <v/>
      </c>
      <c r="V472" s="42" t="str">
        <f aca="false">IF($B472="","",Parametros!$C$6+SUM($S$7:S472))</f>
        <v/>
      </c>
      <c r="W472" s="42" t="str">
        <f aca="false">IF($B472="","",MAX(V472,W471))</f>
        <v/>
      </c>
      <c r="X472" s="42" t="str">
        <f aca="false">IF($B472="","",V472-W472)</f>
        <v/>
      </c>
      <c r="Y472" s="45" t="str">
        <f aca="false">IF($B472="","",X472/W472)</f>
        <v/>
      </c>
      <c r="Z472" s="36" t="str">
        <f aca="false">IF($B472="","",IF(T472="G",IF(N(Z471)&gt;0,Z471+1,1),IF(N(Z471)&lt;0,Z471-1,-1)))</f>
        <v/>
      </c>
      <c r="AA472" s="46" t="str">
        <f aca="false">IF($B472="","",B472-WEEKDAY(B472,2)+1)</f>
        <v/>
      </c>
      <c r="AB472" s="47" t="str">
        <f aca="false">IF($B472="","",DATE(YEAR(B472),MONTH(B472),1))</f>
        <v/>
      </c>
      <c r="AC472" s="41" t="str">
        <f aca="false">IF($B472="","",CHOOSE(WEEKDAY(B472,2),"Lunes","Martes","Miércoles","Jueves","Viernes","Sábado","Domingo"))</f>
        <v/>
      </c>
      <c r="AD472" s="36" t="str">
        <f aca="false">IF($B472="","",HOUR(C472))</f>
        <v/>
      </c>
      <c r="AE472" s="42" t="str">
        <f aca="false">IF($B472="","",IF(O472&lt;&gt;O471,MAX(V472-S472,V472),MAX(V472,AE471)))</f>
        <v/>
      </c>
      <c r="AF472" s="42" t="str">
        <f aca="false">IF($B472="","",V472-AE472)</f>
        <v/>
      </c>
      <c r="AG472" s="36" t="str">
        <f aca="false">IF($B472="","",IF(O472&lt;&gt;O471,IF(T472="G",1,-1),IF(T472="G",IF(N(AG471)&gt;0,AG471+1,1),IF(N(AG471)&lt;0,AG471-1,-1))))</f>
        <v/>
      </c>
    </row>
    <row r="473" customFormat="false" ht="15" hidden="false" customHeight="false" outlineLevel="0" collapsed="false">
      <c r="A473" s="36" t="str">
        <f aca="false">IF(B473="","",ROW()-6)</f>
        <v/>
      </c>
      <c r="B473" s="37"/>
      <c r="C473" s="38"/>
      <c r="D473" s="38"/>
      <c r="E473" s="39"/>
      <c r="F473" s="39"/>
      <c r="G473" s="39"/>
      <c r="H473" s="40"/>
      <c r="I473" s="40"/>
      <c r="J473" s="40"/>
      <c r="K473" s="40"/>
      <c r="L473" s="39"/>
      <c r="M473" s="40"/>
      <c r="N473" s="40"/>
      <c r="O473" s="36" t="str">
        <f aca="false">IF($B473="","",INT((A473-1)/Parametros!$C$10)+1)</f>
        <v/>
      </c>
      <c r="P473" s="41" t="str">
        <f aca="false">IF($B473="","",IF(OR(C473="",D473=""),"",ROUND((D473-C473)*1440,0)))</f>
        <v/>
      </c>
      <c r="Q473" s="42" t="str">
        <f aca="false">IF($B473="","",I473*VLOOKUP(E473,Parametros!$B$18:$D$24,2,FALSE()))</f>
        <v/>
      </c>
      <c r="R473" s="42" t="str">
        <f aca="false">IF($B473="","",G473*VLOOKUP(E473,Parametros!$B$18:$D$24,3,FALSE()))</f>
        <v/>
      </c>
      <c r="S473" s="42" t="str">
        <f aca="false">IF($B473="","",Q473-R473)</f>
        <v/>
      </c>
      <c r="T473" s="43" t="str">
        <f aca="false">IF($B473="","",IF(S473&gt;0,"G","P"))</f>
        <v/>
      </c>
      <c r="U473" s="44" t="str">
        <f aca="false">IF($B473="","",S473/Parametros!$C$8)</f>
        <v/>
      </c>
      <c r="V473" s="42" t="str">
        <f aca="false">IF($B473="","",Parametros!$C$6+SUM($S$7:S473))</f>
        <v/>
      </c>
      <c r="W473" s="42" t="str">
        <f aca="false">IF($B473="","",MAX(V473,W472))</f>
        <v/>
      </c>
      <c r="X473" s="42" t="str">
        <f aca="false">IF($B473="","",V473-W473)</f>
        <v/>
      </c>
      <c r="Y473" s="45" t="str">
        <f aca="false">IF($B473="","",X473/W473)</f>
        <v/>
      </c>
      <c r="Z473" s="36" t="str">
        <f aca="false">IF($B473="","",IF(T473="G",IF(N(Z472)&gt;0,Z472+1,1),IF(N(Z472)&lt;0,Z472-1,-1)))</f>
        <v/>
      </c>
      <c r="AA473" s="46" t="str">
        <f aca="false">IF($B473="","",B473-WEEKDAY(B473,2)+1)</f>
        <v/>
      </c>
      <c r="AB473" s="47" t="str">
        <f aca="false">IF($B473="","",DATE(YEAR(B473),MONTH(B473),1))</f>
        <v/>
      </c>
      <c r="AC473" s="41" t="str">
        <f aca="false">IF($B473="","",CHOOSE(WEEKDAY(B473,2),"Lunes","Martes","Miércoles","Jueves","Viernes","Sábado","Domingo"))</f>
        <v/>
      </c>
      <c r="AD473" s="36" t="str">
        <f aca="false">IF($B473="","",HOUR(C473))</f>
        <v/>
      </c>
      <c r="AE473" s="42" t="str">
        <f aca="false">IF($B473="","",IF(O473&lt;&gt;O472,MAX(V473-S473,V473),MAX(V473,AE472)))</f>
        <v/>
      </c>
      <c r="AF473" s="42" t="str">
        <f aca="false">IF($B473="","",V473-AE473)</f>
        <v/>
      </c>
      <c r="AG473" s="36" t="str">
        <f aca="false">IF($B473="","",IF(O473&lt;&gt;O472,IF(T473="G",1,-1),IF(T473="G",IF(N(AG472)&gt;0,AG472+1,1),IF(N(AG472)&lt;0,AG472-1,-1))))</f>
        <v/>
      </c>
    </row>
    <row r="474" customFormat="false" ht="15" hidden="false" customHeight="false" outlineLevel="0" collapsed="false">
      <c r="A474" s="36" t="str">
        <f aca="false">IF(B474="","",ROW()-6)</f>
        <v/>
      </c>
      <c r="B474" s="37"/>
      <c r="C474" s="38"/>
      <c r="D474" s="38"/>
      <c r="E474" s="39"/>
      <c r="F474" s="39"/>
      <c r="G474" s="39"/>
      <c r="H474" s="40"/>
      <c r="I474" s="40"/>
      <c r="J474" s="40"/>
      <c r="K474" s="40"/>
      <c r="L474" s="39"/>
      <c r="M474" s="40"/>
      <c r="N474" s="40"/>
      <c r="O474" s="36" t="str">
        <f aca="false">IF($B474="","",INT((A474-1)/Parametros!$C$10)+1)</f>
        <v/>
      </c>
      <c r="P474" s="41" t="str">
        <f aca="false">IF($B474="","",IF(OR(C474="",D474=""),"",ROUND((D474-C474)*1440,0)))</f>
        <v/>
      </c>
      <c r="Q474" s="42" t="str">
        <f aca="false">IF($B474="","",I474*VLOOKUP(E474,Parametros!$B$18:$D$24,2,FALSE()))</f>
        <v/>
      </c>
      <c r="R474" s="42" t="str">
        <f aca="false">IF($B474="","",G474*VLOOKUP(E474,Parametros!$B$18:$D$24,3,FALSE()))</f>
        <v/>
      </c>
      <c r="S474" s="42" t="str">
        <f aca="false">IF($B474="","",Q474-R474)</f>
        <v/>
      </c>
      <c r="T474" s="43" t="str">
        <f aca="false">IF($B474="","",IF(S474&gt;0,"G","P"))</f>
        <v/>
      </c>
      <c r="U474" s="44" t="str">
        <f aca="false">IF($B474="","",S474/Parametros!$C$8)</f>
        <v/>
      </c>
      <c r="V474" s="42" t="str">
        <f aca="false">IF($B474="","",Parametros!$C$6+SUM($S$7:S474))</f>
        <v/>
      </c>
      <c r="W474" s="42" t="str">
        <f aca="false">IF($B474="","",MAX(V474,W473))</f>
        <v/>
      </c>
      <c r="X474" s="42" t="str">
        <f aca="false">IF($B474="","",V474-W474)</f>
        <v/>
      </c>
      <c r="Y474" s="45" t="str">
        <f aca="false">IF($B474="","",X474/W474)</f>
        <v/>
      </c>
      <c r="Z474" s="36" t="str">
        <f aca="false">IF($B474="","",IF(T474="G",IF(N(Z473)&gt;0,Z473+1,1),IF(N(Z473)&lt;0,Z473-1,-1)))</f>
        <v/>
      </c>
      <c r="AA474" s="46" t="str">
        <f aca="false">IF($B474="","",B474-WEEKDAY(B474,2)+1)</f>
        <v/>
      </c>
      <c r="AB474" s="47" t="str">
        <f aca="false">IF($B474="","",DATE(YEAR(B474),MONTH(B474),1))</f>
        <v/>
      </c>
      <c r="AC474" s="41" t="str">
        <f aca="false">IF($B474="","",CHOOSE(WEEKDAY(B474,2),"Lunes","Martes","Miércoles","Jueves","Viernes","Sábado","Domingo"))</f>
        <v/>
      </c>
      <c r="AD474" s="36" t="str">
        <f aca="false">IF($B474="","",HOUR(C474))</f>
        <v/>
      </c>
      <c r="AE474" s="42" t="str">
        <f aca="false">IF($B474="","",IF(O474&lt;&gt;O473,MAX(V474-S474,V474),MAX(V474,AE473)))</f>
        <v/>
      </c>
      <c r="AF474" s="42" t="str">
        <f aca="false">IF($B474="","",V474-AE474)</f>
        <v/>
      </c>
      <c r="AG474" s="36" t="str">
        <f aca="false">IF($B474="","",IF(O474&lt;&gt;O473,IF(T474="G",1,-1),IF(T474="G",IF(N(AG473)&gt;0,AG473+1,1),IF(N(AG473)&lt;0,AG473-1,-1))))</f>
        <v/>
      </c>
    </row>
    <row r="475" customFormat="false" ht="15" hidden="false" customHeight="false" outlineLevel="0" collapsed="false">
      <c r="A475" s="36" t="str">
        <f aca="false">IF(B475="","",ROW()-6)</f>
        <v/>
      </c>
      <c r="B475" s="37"/>
      <c r="C475" s="38"/>
      <c r="D475" s="38"/>
      <c r="E475" s="39"/>
      <c r="F475" s="39"/>
      <c r="G475" s="39"/>
      <c r="H475" s="40"/>
      <c r="I475" s="40"/>
      <c r="J475" s="40"/>
      <c r="K475" s="40"/>
      <c r="L475" s="39"/>
      <c r="M475" s="40"/>
      <c r="N475" s="40"/>
      <c r="O475" s="36" t="str">
        <f aca="false">IF($B475="","",INT((A475-1)/Parametros!$C$10)+1)</f>
        <v/>
      </c>
      <c r="P475" s="41" t="str">
        <f aca="false">IF($B475="","",IF(OR(C475="",D475=""),"",ROUND((D475-C475)*1440,0)))</f>
        <v/>
      </c>
      <c r="Q475" s="42" t="str">
        <f aca="false">IF($B475="","",I475*VLOOKUP(E475,Parametros!$B$18:$D$24,2,FALSE()))</f>
        <v/>
      </c>
      <c r="R475" s="42" t="str">
        <f aca="false">IF($B475="","",G475*VLOOKUP(E475,Parametros!$B$18:$D$24,3,FALSE()))</f>
        <v/>
      </c>
      <c r="S475" s="42" t="str">
        <f aca="false">IF($B475="","",Q475-R475)</f>
        <v/>
      </c>
      <c r="T475" s="43" t="str">
        <f aca="false">IF($B475="","",IF(S475&gt;0,"G","P"))</f>
        <v/>
      </c>
      <c r="U475" s="44" t="str">
        <f aca="false">IF($B475="","",S475/Parametros!$C$8)</f>
        <v/>
      </c>
      <c r="V475" s="42" t="str">
        <f aca="false">IF($B475="","",Parametros!$C$6+SUM($S$7:S475))</f>
        <v/>
      </c>
      <c r="W475" s="42" t="str">
        <f aca="false">IF($B475="","",MAX(V475,W474))</f>
        <v/>
      </c>
      <c r="X475" s="42" t="str">
        <f aca="false">IF($B475="","",V475-W475)</f>
        <v/>
      </c>
      <c r="Y475" s="45" t="str">
        <f aca="false">IF($B475="","",X475/W475)</f>
        <v/>
      </c>
      <c r="Z475" s="36" t="str">
        <f aca="false">IF($B475="","",IF(T475="G",IF(N(Z474)&gt;0,Z474+1,1),IF(N(Z474)&lt;0,Z474-1,-1)))</f>
        <v/>
      </c>
      <c r="AA475" s="46" t="str">
        <f aca="false">IF($B475="","",B475-WEEKDAY(B475,2)+1)</f>
        <v/>
      </c>
      <c r="AB475" s="47" t="str">
        <f aca="false">IF($B475="","",DATE(YEAR(B475),MONTH(B475),1))</f>
        <v/>
      </c>
      <c r="AC475" s="41" t="str">
        <f aca="false">IF($B475="","",CHOOSE(WEEKDAY(B475,2),"Lunes","Martes","Miércoles","Jueves","Viernes","Sábado","Domingo"))</f>
        <v/>
      </c>
      <c r="AD475" s="36" t="str">
        <f aca="false">IF($B475="","",HOUR(C475))</f>
        <v/>
      </c>
      <c r="AE475" s="42" t="str">
        <f aca="false">IF($B475="","",IF(O475&lt;&gt;O474,MAX(V475-S475,V475),MAX(V475,AE474)))</f>
        <v/>
      </c>
      <c r="AF475" s="42" t="str">
        <f aca="false">IF($B475="","",V475-AE475)</f>
        <v/>
      </c>
      <c r="AG475" s="36" t="str">
        <f aca="false">IF($B475="","",IF(O475&lt;&gt;O474,IF(T475="G",1,-1),IF(T475="G",IF(N(AG474)&gt;0,AG474+1,1),IF(N(AG474)&lt;0,AG474-1,-1))))</f>
        <v/>
      </c>
    </row>
    <row r="476" customFormat="false" ht="15" hidden="false" customHeight="false" outlineLevel="0" collapsed="false">
      <c r="A476" s="36" t="str">
        <f aca="false">IF(B476="","",ROW()-6)</f>
        <v/>
      </c>
      <c r="B476" s="37"/>
      <c r="C476" s="38"/>
      <c r="D476" s="38"/>
      <c r="E476" s="39"/>
      <c r="F476" s="39"/>
      <c r="G476" s="39"/>
      <c r="H476" s="40"/>
      <c r="I476" s="40"/>
      <c r="J476" s="40"/>
      <c r="K476" s="40"/>
      <c r="L476" s="39"/>
      <c r="M476" s="40"/>
      <c r="N476" s="40"/>
      <c r="O476" s="36" t="str">
        <f aca="false">IF($B476="","",INT((A476-1)/Parametros!$C$10)+1)</f>
        <v/>
      </c>
      <c r="P476" s="41" t="str">
        <f aca="false">IF($B476="","",IF(OR(C476="",D476=""),"",ROUND((D476-C476)*1440,0)))</f>
        <v/>
      </c>
      <c r="Q476" s="42" t="str">
        <f aca="false">IF($B476="","",I476*VLOOKUP(E476,Parametros!$B$18:$D$24,2,FALSE()))</f>
        <v/>
      </c>
      <c r="R476" s="42" t="str">
        <f aca="false">IF($B476="","",G476*VLOOKUP(E476,Parametros!$B$18:$D$24,3,FALSE()))</f>
        <v/>
      </c>
      <c r="S476" s="42" t="str">
        <f aca="false">IF($B476="","",Q476-R476)</f>
        <v/>
      </c>
      <c r="T476" s="43" t="str">
        <f aca="false">IF($B476="","",IF(S476&gt;0,"G","P"))</f>
        <v/>
      </c>
      <c r="U476" s="44" t="str">
        <f aca="false">IF($B476="","",S476/Parametros!$C$8)</f>
        <v/>
      </c>
      <c r="V476" s="42" t="str">
        <f aca="false">IF($B476="","",Parametros!$C$6+SUM($S$7:S476))</f>
        <v/>
      </c>
      <c r="W476" s="42" t="str">
        <f aca="false">IF($B476="","",MAX(V476,W475))</f>
        <v/>
      </c>
      <c r="X476" s="42" t="str">
        <f aca="false">IF($B476="","",V476-W476)</f>
        <v/>
      </c>
      <c r="Y476" s="45" t="str">
        <f aca="false">IF($B476="","",X476/W476)</f>
        <v/>
      </c>
      <c r="Z476" s="36" t="str">
        <f aca="false">IF($B476="","",IF(T476="G",IF(N(Z475)&gt;0,Z475+1,1),IF(N(Z475)&lt;0,Z475-1,-1)))</f>
        <v/>
      </c>
      <c r="AA476" s="46" t="str">
        <f aca="false">IF($B476="","",B476-WEEKDAY(B476,2)+1)</f>
        <v/>
      </c>
      <c r="AB476" s="47" t="str">
        <f aca="false">IF($B476="","",DATE(YEAR(B476),MONTH(B476),1))</f>
        <v/>
      </c>
      <c r="AC476" s="41" t="str">
        <f aca="false">IF($B476="","",CHOOSE(WEEKDAY(B476,2),"Lunes","Martes","Miércoles","Jueves","Viernes","Sábado","Domingo"))</f>
        <v/>
      </c>
      <c r="AD476" s="36" t="str">
        <f aca="false">IF($B476="","",HOUR(C476))</f>
        <v/>
      </c>
      <c r="AE476" s="42" t="str">
        <f aca="false">IF($B476="","",IF(O476&lt;&gt;O475,MAX(V476-S476,V476),MAX(V476,AE475)))</f>
        <v/>
      </c>
      <c r="AF476" s="42" t="str">
        <f aca="false">IF($B476="","",V476-AE476)</f>
        <v/>
      </c>
      <c r="AG476" s="36" t="str">
        <f aca="false">IF($B476="","",IF(O476&lt;&gt;O475,IF(T476="G",1,-1),IF(T476="G",IF(N(AG475)&gt;0,AG475+1,1),IF(N(AG475)&lt;0,AG475-1,-1))))</f>
        <v/>
      </c>
    </row>
    <row r="477" customFormat="false" ht="15" hidden="false" customHeight="false" outlineLevel="0" collapsed="false">
      <c r="A477" s="36" t="str">
        <f aca="false">IF(B477="","",ROW()-6)</f>
        <v/>
      </c>
      <c r="B477" s="37"/>
      <c r="C477" s="38"/>
      <c r="D477" s="38"/>
      <c r="E477" s="39"/>
      <c r="F477" s="39"/>
      <c r="G477" s="39"/>
      <c r="H477" s="40"/>
      <c r="I477" s="40"/>
      <c r="J477" s="40"/>
      <c r="K477" s="40"/>
      <c r="L477" s="39"/>
      <c r="M477" s="40"/>
      <c r="N477" s="40"/>
      <c r="O477" s="36" t="str">
        <f aca="false">IF($B477="","",INT((A477-1)/Parametros!$C$10)+1)</f>
        <v/>
      </c>
      <c r="P477" s="41" t="str">
        <f aca="false">IF($B477="","",IF(OR(C477="",D477=""),"",ROUND((D477-C477)*1440,0)))</f>
        <v/>
      </c>
      <c r="Q477" s="42" t="str">
        <f aca="false">IF($B477="","",I477*VLOOKUP(E477,Parametros!$B$18:$D$24,2,FALSE()))</f>
        <v/>
      </c>
      <c r="R477" s="42" t="str">
        <f aca="false">IF($B477="","",G477*VLOOKUP(E477,Parametros!$B$18:$D$24,3,FALSE()))</f>
        <v/>
      </c>
      <c r="S477" s="42" t="str">
        <f aca="false">IF($B477="","",Q477-R477)</f>
        <v/>
      </c>
      <c r="T477" s="43" t="str">
        <f aca="false">IF($B477="","",IF(S477&gt;0,"G","P"))</f>
        <v/>
      </c>
      <c r="U477" s="44" t="str">
        <f aca="false">IF($B477="","",S477/Parametros!$C$8)</f>
        <v/>
      </c>
      <c r="V477" s="42" t="str">
        <f aca="false">IF($B477="","",Parametros!$C$6+SUM($S$7:S477))</f>
        <v/>
      </c>
      <c r="W477" s="42" t="str">
        <f aca="false">IF($B477="","",MAX(V477,W476))</f>
        <v/>
      </c>
      <c r="X477" s="42" t="str">
        <f aca="false">IF($B477="","",V477-W477)</f>
        <v/>
      </c>
      <c r="Y477" s="45" t="str">
        <f aca="false">IF($B477="","",X477/W477)</f>
        <v/>
      </c>
      <c r="Z477" s="36" t="str">
        <f aca="false">IF($B477="","",IF(T477="G",IF(N(Z476)&gt;0,Z476+1,1),IF(N(Z476)&lt;0,Z476-1,-1)))</f>
        <v/>
      </c>
      <c r="AA477" s="46" t="str">
        <f aca="false">IF($B477="","",B477-WEEKDAY(B477,2)+1)</f>
        <v/>
      </c>
      <c r="AB477" s="47" t="str">
        <f aca="false">IF($B477="","",DATE(YEAR(B477),MONTH(B477),1))</f>
        <v/>
      </c>
      <c r="AC477" s="41" t="str">
        <f aca="false">IF($B477="","",CHOOSE(WEEKDAY(B477,2),"Lunes","Martes","Miércoles","Jueves","Viernes","Sábado","Domingo"))</f>
        <v/>
      </c>
      <c r="AD477" s="36" t="str">
        <f aca="false">IF($B477="","",HOUR(C477))</f>
        <v/>
      </c>
      <c r="AE477" s="42" t="str">
        <f aca="false">IF($B477="","",IF(O477&lt;&gt;O476,MAX(V477-S477,V477),MAX(V477,AE476)))</f>
        <v/>
      </c>
      <c r="AF477" s="42" t="str">
        <f aca="false">IF($B477="","",V477-AE477)</f>
        <v/>
      </c>
      <c r="AG477" s="36" t="str">
        <f aca="false">IF($B477="","",IF(O477&lt;&gt;O476,IF(T477="G",1,-1),IF(T477="G",IF(N(AG476)&gt;0,AG476+1,1),IF(N(AG476)&lt;0,AG476-1,-1))))</f>
        <v/>
      </c>
    </row>
    <row r="478" customFormat="false" ht="15" hidden="false" customHeight="false" outlineLevel="0" collapsed="false">
      <c r="A478" s="36" t="str">
        <f aca="false">IF(B478="","",ROW()-6)</f>
        <v/>
      </c>
      <c r="B478" s="37"/>
      <c r="C478" s="38"/>
      <c r="D478" s="38"/>
      <c r="E478" s="39"/>
      <c r="F478" s="39"/>
      <c r="G478" s="39"/>
      <c r="H478" s="40"/>
      <c r="I478" s="40"/>
      <c r="J478" s="40"/>
      <c r="K478" s="40"/>
      <c r="L478" s="39"/>
      <c r="M478" s="40"/>
      <c r="N478" s="40"/>
      <c r="O478" s="36" t="str">
        <f aca="false">IF($B478="","",INT((A478-1)/Parametros!$C$10)+1)</f>
        <v/>
      </c>
      <c r="P478" s="41" t="str">
        <f aca="false">IF($B478="","",IF(OR(C478="",D478=""),"",ROUND((D478-C478)*1440,0)))</f>
        <v/>
      </c>
      <c r="Q478" s="42" t="str">
        <f aca="false">IF($B478="","",I478*VLOOKUP(E478,Parametros!$B$18:$D$24,2,FALSE()))</f>
        <v/>
      </c>
      <c r="R478" s="42" t="str">
        <f aca="false">IF($B478="","",G478*VLOOKUP(E478,Parametros!$B$18:$D$24,3,FALSE()))</f>
        <v/>
      </c>
      <c r="S478" s="42" t="str">
        <f aca="false">IF($B478="","",Q478-R478)</f>
        <v/>
      </c>
      <c r="T478" s="43" t="str">
        <f aca="false">IF($B478="","",IF(S478&gt;0,"G","P"))</f>
        <v/>
      </c>
      <c r="U478" s="44" t="str">
        <f aca="false">IF($B478="","",S478/Parametros!$C$8)</f>
        <v/>
      </c>
      <c r="V478" s="42" t="str">
        <f aca="false">IF($B478="","",Parametros!$C$6+SUM($S$7:S478))</f>
        <v/>
      </c>
      <c r="W478" s="42" t="str">
        <f aca="false">IF($B478="","",MAX(V478,W477))</f>
        <v/>
      </c>
      <c r="X478" s="42" t="str">
        <f aca="false">IF($B478="","",V478-W478)</f>
        <v/>
      </c>
      <c r="Y478" s="45" t="str">
        <f aca="false">IF($B478="","",X478/W478)</f>
        <v/>
      </c>
      <c r="Z478" s="36" t="str">
        <f aca="false">IF($B478="","",IF(T478="G",IF(N(Z477)&gt;0,Z477+1,1),IF(N(Z477)&lt;0,Z477-1,-1)))</f>
        <v/>
      </c>
      <c r="AA478" s="46" t="str">
        <f aca="false">IF($B478="","",B478-WEEKDAY(B478,2)+1)</f>
        <v/>
      </c>
      <c r="AB478" s="47" t="str">
        <f aca="false">IF($B478="","",DATE(YEAR(B478),MONTH(B478),1))</f>
        <v/>
      </c>
      <c r="AC478" s="41" t="str">
        <f aca="false">IF($B478="","",CHOOSE(WEEKDAY(B478,2),"Lunes","Martes","Miércoles","Jueves","Viernes","Sábado","Domingo"))</f>
        <v/>
      </c>
      <c r="AD478" s="36" t="str">
        <f aca="false">IF($B478="","",HOUR(C478))</f>
        <v/>
      </c>
      <c r="AE478" s="42" t="str">
        <f aca="false">IF($B478="","",IF(O478&lt;&gt;O477,MAX(V478-S478,V478),MAX(V478,AE477)))</f>
        <v/>
      </c>
      <c r="AF478" s="42" t="str">
        <f aca="false">IF($B478="","",V478-AE478)</f>
        <v/>
      </c>
      <c r="AG478" s="36" t="str">
        <f aca="false">IF($B478="","",IF(O478&lt;&gt;O477,IF(T478="G",1,-1),IF(T478="G",IF(N(AG477)&gt;0,AG477+1,1),IF(N(AG477)&lt;0,AG477-1,-1))))</f>
        <v/>
      </c>
    </row>
    <row r="479" customFormat="false" ht="15" hidden="false" customHeight="false" outlineLevel="0" collapsed="false">
      <c r="A479" s="36" t="str">
        <f aca="false">IF(B479="","",ROW()-6)</f>
        <v/>
      </c>
      <c r="B479" s="37"/>
      <c r="C479" s="38"/>
      <c r="D479" s="38"/>
      <c r="E479" s="39"/>
      <c r="F479" s="39"/>
      <c r="G479" s="39"/>
      <c r="H479" s="40"/>
      <c r="I479" s="40"/>
      <c r="J479" s="40"/>
      <c r="K479" s="40"/>
      <c r="L479" s="39"/>
      <c r="M479" s="40"/>
      <c r="N479" s="40"/>
      <c r="O479" s="36" t="str">
        <f aca="false">IF($B479="","",INT((A479-1)/Parametros!$C$10)+1)</f>
        <v/>
      </c>
      <c r="P479" s="41" t="str">
        <f aca="false">IF($B479="","",IF(OR(C479="",D479=""),"",ROUND((D479-C479)*1440,0)))</f>
        <v/>
      </c>
      <c r="Q479" s="42" t="str">
        <f aca="false">IF($B479="","",I479*VLOOKUP(E479,Parametros!$B$18:$D$24,2,FALSE()))</f>
        <v/>
      </c>
      <c r="R479" s="42" t="str">
        <f aca="false">IF($B479="","",G479*VLOOKUP(E479,Parametros!$B$18:$D$24,3,FALSE()))</f>
        <v/>
      </c>
      <c r="S479" s="42" t="str">
        <f aca="false">IF($B479="","",Q479-R479)</f>
        <v/>
      </c>
      <c r="T479" s="43" t="str">
        <f aca="false">IF($B479="","",IF(S479&gt;0,"G","P"))</f>
        <v/>
      </c>
      <c r="U479" s="44" t="str">
        <f aca="false">IF($B479="","",S479/Parametros!$C$8)</f>
        <v/>
      </c>
      <c r="V479" s="42" t="str">
        <f aca="false">IF($B479="","",Parametros!$C$6+SUM($S$7:S479))</f>
        <v/>
      </c>
      <c r="W479" s="42" t="str">
        <f aca="false">IF($B479="","",MAX(V479,W478))</f>
        <v/>
      </c>
      <c r="X479" s="42" t="str">
        <f aca="false">IF($B479="","",V479-W479)</f>
        <v/>
      </c>
      <c r="Y479" s="45" t="str">
        <f aca="false">IF($B479="","",X479/W479)</f>
        <v/>
      </c>
      <c r="Z479" s="36" t="str">
        <f aca="false">IF($B479="","",IF(T479="G",IF(N(Z478)&gt;0,Z478+1,1),IF(N(Z478)&lt;0,Z478-1,-1)))</f>
        <v/>
      </c>
      <c r="AA479" s="46" t="str">
        <f aca="false">IF($B479="","",B479-WEEKDAY(B479,2)+1)</f>
        <v/>
      </c>
      <c r="AB479" s="47" t="str">
        <f aca="false">IF($B479="","",DATE(YEAR(B479),MONTH(B479),1))</f>
        <v/>
      </c>
      <c r="AC479" s="41" t="str">
        <f aca="false">IF($B479="","",CHOOSE(WEEKDAY(B479,2),"Lunes","Martes","Miércoles","Jueves","Viernes","Sábado","Domingo"))</f>
        <v/>
      </c>
      <c r="AD479" s="36" t="str">
        <f aca="false">IF($B479="","",HOUR(C479))</f>
        <v/>
      </c>
      <c r="AE479" s="42" t="str">
        <f aca="false">IF($B479="","",IF(O479&lt;&gt;O478,MAX(V479-S479,V479),MAX(V479,AE478)))</f>
        <v/>
      </c>
      <c r="AF479" s="42" t="str">
        <f aca="false">IF($B479="","",V479-AE479)</f>
        <v/>
      </c>
      <c r="AG479" s="36" t="str">
        <f aca="false">IF($B479="","",IF(O479&lt;&gt;O478,IF(T479="G",1,-1),IF(T479="G",IF(N(AG478)&gt;0,AG478+1,1),IF(N(AG478)&lt;0,AG478-1,-1))))</f>
        <v/>
      </c>
    </row>
    <row r="480" customFormat="false" ht="15" hidden="false" customHeight="false" outlineLevel="0" collapsed="false">
      <c r="A480" s="36" t="str">
        <f aca="false">IF(B480="","",ROW()-6)</f>
        <v/>
      </c>
      <c r="B480" s="37"/>
      <c r="C480" s="38"/>
      <c r="D480" s="38"/>
      <c r="E480" s="39"/>
      <c r="F480" s="39"/>
      <c r="G480" s="39"/>
      <c r="H480" s="40"/>
      <c r="I480" s="40"/>
      <c r="J480" s="40"/>
      <c r="K480" s="40"/>
      <c r="L480" s="39"/>
      <c r="M480" s="40"/>
      <c r="N480" s="40"/>
      <c r="O480" s="36" t="str">
        <f aca="false">IF($B480="","",INT((A480-1)/Parametros!$C$10)+1)</f>
        <v/>
      </c>
      <c r="P480" s="41" t="str">
        <f aca="false">IF($B480="","",IF(OR(C480="",D480=""),"",ROUND((D480-C480)*1440,0)))</f>
        <v/>
      </c>
      <c r="Q480" s="42" t="str">
        <f aca="false">IF($B480="","",I480*VLOOKUP(E480,Parametros!$B$18:$D$24,2,FALSE()))</f>
        <v/>
      </c>
      <c r="R480" s="42" t="str">
        <f aca="false">IF($B480="","",G480*VLOOKUP(E480,Parametros!$B$18:$D$24,3,FALSE()))</f>
        <v/>
      </c>
      <c r="S480" s="42" t="str">
        <f aca="false">IF($B480="","",Q480-R480)</f>
        <v/>
      </c>
      <c r="T480" s="43" t="str">
        <f aca="false">IF($B480="","",IF(S480&gt;0,"G","P"))</f>
        <v/>
      </c>
      <c r="U480" s="44" t="str">
        <f aca="false">IF($B480="","",S480/Parametros!$C$8)</f>
        <v/>
      </c>
      <c r="V480" s="42" t="str">
        <f aca="false">IF($B480="","",Parametros!$C$6+SUM($S$7:S480))</f>
        <v/>
      </c>
      <c r="W480" s="42" t="str">
        <f aca="false">IF($B480="","",MAX(V480,W479))</f>
        <v/>
      </c>
      <c r="X480" s="42" t="str">
        <f aca="false">IF($B480="","",V480-W480)</f>
        <v/>
      </c>
      <c r="Y480" s="45" t="str">
        <f aca="false">IF($B480="","",X480/W480)</f>
        <v/>
      </c>
      <c r="Z480" s="36" t="str">
        <f aca="false">IF($B480="","",IF(T480="G",IF(N(Z479)&gt;0,Z479+1,1),IF(N(Z479)&lt;0,Z479-1,-1)))</f>
        <v/>
      </c>
      <c r="AA480" s="46" t="str">
        <f aca="false">IF($B480="","",B480-WEEKDAY(B480,2)+1)</f>
        <v/>
      </c>
      <c r="AB480" s="47" t="str">
        <f aca="false">IF($B480="","",DATE(YEAR(B480),MONTH(B480),1))</f>
        <v/>
      </c>
      <c r="AC480" s="41" t="str">
        <f aca="false">IF($B480="","",CHOOSE(WEEKDAY(B480,2),"Lunes","Martes","Miércoles","Jueves","Viernes","Sábado","Domingo"))</f>
        <v/>
      </c>
      <c r="AD480" s="36" t="str">
        <f aca="false">IF($B480="","",HOUR(C480))</f>
        <v/>
      </c>
      <c r="AE480" s="42" t="str">
        <f aca="false">IF($B480="","",IF(O480&lt;&gt;O479,MAX(V480-S480,V480),MAX(V480,AE479)))</f>
        <v/>
      </c>
      <c r="AF480" s="42" t="str">
        <f aca="false">IF($B480="","",V480-AE480)</f>
        <v/>
      </c>
      <c r="AG480" s="36" t="str">
        <f aca="false">IF($B480="","",IF(O480&lt;&gt;O479,IF(T480="G",1,-1),IF(T480="G",IF(N(AG479)&gt;0,AG479+1,1),IF(N(AG479)&lt;0,AG479-1,-1))))</f>
        <v/>
      </c>
    </row>
    <row r="481" customFormat="false" ht="15" hidden="false" customHeight="false" outlineLevel="0" collapsed="false">
      <c r="A481" s="36" t="str">
        <f aca="false">IF(B481="","",ROW()-6)</f>
        <v/>
      </c>
      <c r="B481" s="37"/>
      <c r="C481" s="38"/>
      <c r="D481" s="38"/>
      <c r="E481" s="39"/>
      <c r="F481" s="39"/>
      <c r="G481" s="39"/>
      <c r="H481" s="40"/>
      <c r="I481" s="40"/>
      <c r="J481" s="40"/>
      <c r="K481" s="40"/>
      <c r="L481" s="39"/>
      <c r="M481" s="40"/>
      <c r="N481" s="40"/>
      <c r="O481" s="36" t="str">
        <f aca="false">IF($B481="","",INT((A481-1)/Parametros!$C$10)+1)</f>
        <v/>
      </c>
      <c r="P481" s="41" t="str">
        <f aca="false">IF($B481="","",IF(OR(C481="",D481=""),"",ROUND((D481-C481)*1440,0)))</f>
        <v/>
      </c>
      <c r="Q481" s="42" t="str">
        <f aca="false">IF($B481="","",I481*VLOOKUP(E481,Parametros!$B$18:$D$24,2,FALSE()))</f>
        <v/>
      </c>
      <c r="R481" s="42" t="str">
        <f aca="false">IF($B481="","",G481*VLOOKUP(E481,Parametros!$B$18:$D$24,3,FALSE()))</f>
        <v/>
      </c>
      <c r="S481" s="42" t="str">
        <f aca="false">IF($B481="","",Q481-R481)</f>
        <v/>
      </c>
      <c r="T481" s="43" t="str">
        <f aca="false">IF($B481="","",IF(S481&gt;0,"G","P"))</f>
        <v/>
      </c>
      <c r="U481" s="44" t="str">
        <f aca="false">IF($B481="","",S481/Parametros!$C$8)</f>
        <v/>
      </c>
      <c r="V481" s="42" t="str">
        <f aca="false">IF($B481="","",Parametros!$C$6+SUM($S$7:S481))</f>
        <v/>
      </c>
      <c r="W481" s="42" t="str">
        <f aca="false">IF($B481="","",MAX(V481,W480))</f>
        <v/>
      </c>
      <c r="X481" s="42" t="str">
        <f aca="false">IF($B481="","",V481-W481)</f>
        <v/>
      </c>
      <c r="Y481" s="45" t="str">
        <f aca="false">IF($B481="","",X481/W481)</f>
        <v/>
      </c>
      <c r="Z481" s="36" t="str">
        <f aca="false">IF($B481="","",IF(T481="G",IF(N(Z480)&gt;0,Z480+1,1),IF(N(Z480)&lt;0,Z480-1,-1)))</f>
        <v/>
      </c>
      <c r="AA481" s="46" t="str">
        <f aca="false">IF($B481="","",B481-WEEKDAY(B481,2)+1)</f>
        <v/>
      </c>
      <c r="AB481" s="47" t="str">
        <f aca="false">IF($B481="","",DATE(YEAR(B481),MONTH(B481),1))</f>
        <v/>
      </c>
      <c r="AC481" s="41" t="str">
        <f aca="false">IF($B481="","",CHOOSE(WEEKDAY(B481,2),"Lunes","Martes","Miércoles","Jueves","Viernes","Sábado","Domingo"))</f>
        <v/>
      </c>
      <c r="AD481" s="36" t="str">
        <f aca="false">IF($B481="","",HOUR(C481))</f>
        <v/>
      </c>
      <c r="AE481" s="42" t="str">
        <f aca="false">IF($B481="","",IF(O481&lt;&gt;O480,MAX(V481-S481,V481),MAX(V481,AE480)))</f>
        <v/>
      </c>
      <c r="AF481" s="42" t="str">
        <f aca="false">IF($B481="","",V481-AE481)</f>
        <v/>
      </c>
      <c r="AG481" s="36" t="str">
        <f aca="false">IF($B481="","",IF(O481&lt;&gt;O480,IF(T481="G",1,-1),IF(T481="G",IF(N(AG480)&gt;0,AG480+1,1),IF(N(AG480)&lt;0,AG480-1,-1))))</f>
        <v/>
      </c>
    </row>
    <row r="482" customFormat="false" ht="15" hidden="false" customHeight="false" outlineLevel="0" collapsed="false">
      <c r="A482" s="36" t="str">
        <f aca="false">IF(B482="","",ROW()-6)</f>
        <v/>
      </c>
      <c r="B482" s="37"/>
      <c r="C482" s="38"/>
      <c r="D482" s="38"/>
      <c r="E482" s="39"/>
      <c r="F482" s="39"/>
      <c r="G482" s="39"/>
      <c r="H482" s="40"/>
      <c r="I482" s="40"/>
      <c r="J482" s="40"/>
      <c r="K482" s="40"/>
      <c r="L482" s="39"/>
      <c r="M482" s="40"/>
      <c r="N482" s="40"/>
      <c r="O482" s="36" t="str">
        <f aca="false">IF($B482="","",INT((A482-1)/Parametros!$C$10)+1)</f>
        <v/>
      </c>
      <c r="P482" s="41" t="str">
        <f aca="false">IF($B482="","",IF(OR(C482="",D482=""),"",ROUND((D482-C482)*1440,0)))</f>
        <v/>
      </c>
      <c r="Q482" s="42" t="str">
        <f aca="false">IF($B482="","",I482*VLOOKUP(E482,Parametros!$B$18:$D$24,2,FALSE()))</f>
        <v/>
      </c>
      <c r="R482" s="42" t="str">
        <f aca="false">IF($B482="","",G482*VLOOKUP(E482,Parametros!$B$18:$D$24,3,FALSE()))</f>
        <v/>
      </c>
      <c r="S482" s="42" t="str">
        <f aca="false">IF($B482="","",Q482-R482)</f>
        <v/>
      </c>
      <c r="T482" s="43" t="str">
        <f aca="false">IF($B482="","",IF(S482&gt;0,"G","P"))</f>
        <v/>
      </c>
      <c r="U482" s="44" t="str">
        <f aca="false">IF($B482="","",S482/Parametros!$C$8)</f>
        <v/>
      </c>
      <c r="V482" s="42" t="str">
        <f aca="false">IF($B482="","",Parametros!$C$6+SUM($S$7:S482))</f>
        <v/>
      </c>
      <c r="W482" s="42" t="str">
        <f aca="false">IF($B482="","",MAX(V482,W481))</f>
        <v/>
      </c>
      <c r="X482" s="42" t="str">
        <f aca="false">IF($B482="","",V482-W482)</f>
        <v/>
      </c>
      <c r="Y482" s="45" t="str">
        <f aca="false">IF($B482="","",X482/W482)</f>
        <v/>
      </c>
      <c r="Z482" s="36" t="str">
        <f aca="false">IF($B482="","",IF(T482="G",IF(N(Z481)&gt;0,Z481+1,1),IF(N(Z481)&lt;0,Z481-1,-1)))</f>
        <v/>
      </c>
      <c r="AA482" s="46" t="str">
        <f aca="false">IF($B482="","",B482-WEEKDAY(B482,2)+1)</f>
        <v/>
      </c>
      <c r="AB482" s="47" t="str">
        <f aca="false">IF($B482="","",DATE(YEAR(B482),MONTH(B482),1))</f>
        <v/>
      </c>
      <c r="AC482" s="41" t="str">
        <f aca="false">IF($B482="","",CHOOSE(WEEKDAY(B482,2),"Lunes","Martes","Miércoles","Jueves","Viernes","Sábado","Domingo"))</f>
        <v/>
      </c>
      <c r="AD482" s="36" t="str">
        <f aca="false">IF($B482="","",HOUR(C482))</f>
        <v/>
      </c>
      <c r="AE482" s="42" t="str">
        <f aca="false">IF($B482="","",IF(O482&lt;&gt;O481,MAX(V482-S482,V482),MAX(V482,AE481)))</f>
        <v/>
      </c>
      <c r="AF482" s="42" t="str">
        <f aca="false">IF($B482="","",V482-AE482)</f>
        <v/>
      </c>
      <c r="AG482" s="36" t="str">
        <f aca="false">IF($B482="","",IF(O482&lt;&gt;O481,IF(T482="G",1,-1),IF(T482="G",IF(N(AG481)&gt;0,AG481+1,1),IF(N(AG481)&lt;0,AG481-1,-1))))</f>
        <v/>
      </c>
    </row>
    <row r="483" customFormat="false" ht="15" hidden="false" customHeight="false" outlineLevel="0" collapsed="false">
      <c r="A483" s="36" t="str">
        <f aca="false">IF(B483="","",ROW()-6)</f>
        <v/>
      </c>
      <c r="B483" s="37"/>
      <c r="C483" s="38"/>
      <c r="D483" s="38"/>
      <c r="E483" s="39"/>
      <c r="F483" s="39"/>
      <c r="G483" s="39"/>
      <c r="H483" s="40"/>
      <c r="I483" s="40"/>
      <c r="J483" s="40"/>
      <c r="K483" s="40"/>
      <c r="L483" s="39"/>
      <c r="M483" s="40"/>
      <c r="N483" s="40"/>
      <c r="O483" s="36" t="str">
        <f aca="false">IF($B483="","",INT((A483-1)/Parametros!$C$10)+1)</f>
        <v/>
      </c>
      <c r="P483" s="41" t="str">
        <f aca="false">IF($B483="","",IF(OR(C483="",D483=""),"",ROUND((D483-C483)*1440,0)))</f>
        <v/>
      </c>
      <c r="Q483" s="42" t="str">
        <f aca="false">IF($B483="","",I483*VLOOKUP(E483,Parametros!$B$18:$D$24,2,FALSE()))</f>
        <v/>
      </c>
      <c r="R483" s="42" t="str">
        <f aca="false">IF($B483="","",G483*VLOOKUP(E483,Parametros!$B$18:$D$24,3,FALSE()))</f>
        <v/>
      </c>
      <c r="S483" s="42" t="str">
        <f aca="false">IF($B483="","",Q483-R483)</f>
        <v/>
      </c>
      <c r="T483" s="43" t="str">
        <f aca="false">IF($B483="","",IF(S483&gt;0,"G","P"))</f>
        <v/>
      </c>
      <c r="U483" s="44" t="str">
        <f aca="false">IF($B483="","",S483/Parametros!$C$8)</f>
        <v/>
      </c>
      <c r="V483" s="42" t="str">
        <f aca="false">IF($B483="","",Parametros!$C$6+SUM($S$7:S483))</f>
        <v/>
      </c>
      <c r="W483" s="42" t="str">
        <f aca="false">IF($B483="","",MAX(V483,W482))</f>
        <v/>
      </c>
      <c r="X483" s="42" t="str">
        <f aca="false">IF($B483="","",V483-W483)</f>
        <v/>
      </c>
      <c r="Y483" s="45" t="str">
        <f aca="false">IF($B483="","",X483/W483)</f>
        <v/>
      </c>
      <c r="Z483" s="36" t="str">
        <f aca="false">IF($B483="","",IF(T483="G",IF(N(Z482)&gt;0,Z482+1,1),IF(N(Z482)&lt;0,Z482-1,-1)))</f>
        <v/>
      </c>
      <c r="AA483" s="46" t="str">
        <f aca="false">IF($B483="","",B483-WEEKDAY(B483,2)+1)</f>
        <v/>
      </c>
      <c r="AB483" s="47" t="str">
        <f aca="false">IF($B483="","",DATE(YEAR(B483),MONTH(B483),1))</f>
        <v/>
      </c>
      <c r="AC483" s="41" t="str">
        <f aca="false">IF($B483="","",CHOOSE(WEEKDAY(B483,2),"Lunes","Martes","Miércoles","Jueves","Viernes","Sábado","Domingo"))</f>
        <v/>
      </c>
      <c r="AD483" s="36" t="str">
        <f aca="false">IF($B483="","",HOUR(C483))</f>
        <v/>
      </c>
      <c r="AE483" s="42" t="str">
        <f aca="false">IF($B483="","",IF(O483&lt;&gt;O482,MAX(V483-S483,V483),MAX(V483,AE482)))</f>
        <v/>
      </c>
      <c r="AF483" s="42" t="str">
        <f aca="false">IF($B483="","",V483-AE483)</f>
        <v/>
      </c>
      <c r="AG483" s="36" t="str">
        <f aca="false">IF($B483="","",IF(O483&lt;&gt;O482,IF(T483="G",1,-1),IF(T483="G",IF(N(AG482)&gt;0,AG482+1,1),IF(N(AG482)&lt;0,AG482-1,-1))))</f>
        <v/>
      </c>
    </row>
    <row r="484" customFormat="false" ht="15" hidden="false" customHeight="false" outlineLevel="0" collapsed="false">
      <c r="A484" s="36" t="str">
        <f aca="false">IF(B484="","",ROW()-6)</f>
        <v/>
      </c>
      <c r="B484" s="37"/>
      <c r="C484" s="38"/>
      <c r="D484" s="38"/>
      <c r="E484" s="39"/>
      <c r="F484" s="39"/>
      <c r="G484" s="39"/>
      <c r="H484" s="40"/>
      <c r="I484" s="40"/>
      <c r="J484" s="40"/>
      <c r="K484" s="40"/>
      <c r="L484" s="39"/>
      <c r="M484" s="40"/>
      <c r="N484" s="40"/>
      <c r="O484" s="36" t="str">
        <f aca="false">IF($B484="","",INT((A484-1)/Parametros!$C$10)+1)</f>
        <v/>
      </c>
      <c r="P484" s="41" t="str">
        <f aca="false">IF($B484="","",IF(OR(C484="",D484=""),"",ROUND((D484-C484)*1440,0)))</f>
        <v/>
      </c>
      <c r="Q484" s="42" t="str">
        <f aca="false">IF($B484="","",I484*VLOOKUP(E484,Parametros!$B$18:$D$24,2,FALSE()))</f>
        <v/>
      </c>
      <c r="R484" s="42" t="str">
        <f aca="false">IF($B484="","",G484*VLOOKUP(E484,Parametros!$B$18:$D$24,3,FALSE()))</f>
        <v/>
      </c>
      <c r="S484" s="42" t="str">
        <f aca="false">IF($B484="","",Q484-R484)</f>
        <v/>
      </c>
      <c r="T484" s="43" t="str">
        <f aca="false">IF($B484="","",IF(S484&gt;0,"G","P"))</f>
        <v/>
      </c>
      <c r="U484" s="44" t="str">
        <f aca="false">IF($B484="","",S484/Parametros!$C$8)</f>
        <v/>
      </c>
      <c r="V484" s="42" t="str">
        <f aca="false">IF($B484="","",Parametros!$C$6+SUM($S$7:S484))</f>
        <v/>
      </c>
      <c r="W484" s="42" t="str">
        <f aca="false">IF($B484="","",MAX(V484,W483))</f>
        <v/>
      </c>
      <c r="X484" s="42" t="str">
        <f aca="false">IF($B484="","",V484-W484)</f>
        <v/>
      </c>
      <c r="Y484" s="45" t="str">
        <f aca="false">IF($B484="","",X484/W484)</f>
        <v/>
      </c>
      <c r="Z484" s="36" t="str">
        <f aca="false">IF($B484="","",IF(T484="G",IF(N(Z483)&gt;0,Z483+1,1),IF(N(Z483)&lt;0,Z483-1,-1)))</f>
        <v/>
      </c>
      <c r="AA484" s="46" t="str">
        <f aca="false">IF($B484="","",B484-WEEKDAY(B484,2)+1)</f>
        <v/>
      </c>
      <c r="AB484" s="47" t="str">
        <f aca="false">IF($B484="","",DATE(YEAR(B484),MONTH(B484),1))</f>
        <v/>
      </c>
      <c r="AC484" s="41" t="str">
        <f aca="false">IF($B484="","",CHOOSE(WEEKDAY(B484,2),"Lunes","Martes","Miércoles","Jueves","Viernes","Sábado","Domingo"))</f>
        <v/>
      </c>
      <c r="AD484" s="36" t="str">
        <f aca="false">IF($B484="","",HOUR(C484))</f>
        <v/>
      </c>
      <c r="AE484" s="42" t="str">
        <f aca="false">IF($B484="","",IF(O484&lt;&gt;O483,MAX(V484-S484,V484),MAX(V484,AE483)))</f>
        <v/>
      </c>
      <c r="AF484" s="42" t="str">
        <f aca="false">IF($B484="","",V484-AE484)</f>
        <v/>
      </c>
      <c r="AG484" s="36" t="str">
        <f aca="false">IF($B484="","",IF(O484&lt;&gt;O483,IF(T484="G",1,-1),IF(T484="G",IF(N(AG483)&gt;0,AG483+1,1),IF(N(AG483)&lt;0,AG483-1,-1))))</f>
        <v/>
      </c>
    </row>
    <row r="485" customFormat="false" ht="15" hidden="false" customHeight="false" outlineLevel="0" collapsed="false">
      <c r="A485" s="36" t="str">
        <f aca="false">IF(B485="","",ROW()-6)</f>
        <v/>
      </c>
      <c r="B485" s="37"/>
      <c r="C485" s="38"/>
      <c r="D485" s="38"/>
      <c r="E485" s="39"/>
      <c r="F485" s="39"/>
      <c r="G485" s="39"/>
      <c r="H485" s="40"/>
      <c r="I485" s="40"/>
      <c r="J485" s="40"/>
      <c r="K485" s="40"/>
      <c r="L485" s="39"/>
      <c r="M485" s="40"/>
      <c r="N485" s="40"/>
      <c r="O485" s="36" t="str">
        <f aca="false">IF($B485="","",INT((A485-1)/Parametros!$C$10)+1)</f>
        <v/>
      </c>
      <c r="P485" s="41" t="str">
        <f aca="false">IF($B485="","",IF(OR(C485="",D485=""),"",ROUND((D485-C485)*1440,0)))</f>
        <v/>
      </c>
      <c r="Q485" s="42" t="str">
        <f aca="false">IF($B485="","",I485*VLOOKUP(E485,Parametros!$B$18:$D$24,2,FALSE()))</f>
        <v/>
      </c>
      <c r="R485" s="42" t="str">
        <f aca="false">IF($B485="","",G485*VLOOKUP(E485,Parametros!$B$18:$D$24,3,FALSE()))</f>
        <v/>
      </c>
      <c r="S485" s="42" t="str">
        <f aca="false">IF($B485="","",Q485-R485)</f>
        <v/>
      </c>
      <c r="T485" s="43" t="str">
        <f aca="false">IF($B485="","",IF(S485&gt;0,"G","P"))</f>
        <v/>
      </c>
      <c r="U485" s="44" t="str">
        <f aca="false">IF($B485="","",S485/Parametros!$C$8)</f>
        <v/>
      </c>
      <c r="V485" s="42" t="str">
        <f aca="false">IF($B485="","",Parametros!$C$6+SUM($S$7:S485))</f>
        <v/>
      </c>
      <c r="W485" s="42" t="str">
        <f aca="false">IF($B485="","",MAX(V485,W484))</f>
        <v/>
      </c>
      <c r="X485" s="42" t="str">
        <f aca="false">IF($B485="","",V485-W485)</f>
        <v/>
      </c>
      <c r="Y485" s="45" t="str">
        <f aca="false">IF($B485="","",X485/W485)</f>
        <v/>
      </c>
      <c r="Z485" s="36" t="str">
        <f aca="false">IF($B485="","",IF(T485="G",IF(N(Z484)&gt;0,Z484+1,1),IF(N(Z484)&lt;0,Z484-1,-1)))</f>
        <v/>
      </c>
      <c r="AA485" s="46" t="str">
        <f aca="false">IF($B485="","",B485-WEEKDAY(B485,2)+1)</f>
        <v/>
      </c>
      <c r="AB485" s="47" t="str">
        <f aca="false">IF($B485="","",DATE(YEAR(B485),MONTH(B485),1))</f>
        <v/>
      </c>
      <c r="AC485" s="41" t="str">
        <f aca="false">IF($B485="","",CHOOSE(WEEKDAY(B485,2),"Lunes","Martes","Miércoles","Jueves","Viernes","Sábado","Domingo"))</f>
        <v/>
      </c>
      <c r="AD485" s="36" t="str">
        <f aca="false">IF($B485="","",HOUR(C485))</f>
        <v/>
      </c>
      <c r="AE485" s="42" t="str">
        <f aca="false">IF($B485="","",IF(O485&lt;&gt;O484,MAX(V485-S485,V485),MAX(V485,AE484)))</f>
        <v/>
      </c>
      <c r="AF485" s="42" t="str">
        <f aca="false">IF($B485="","",V485-AE485)</f>
        <v/>
      </c>
      <c r="AG485" s="36" t="str">
        <f aca="false">IF($B485="","",IF(O485&lt;&gt;O484,IF(T485="G",1,-1),IF(T485="G",IF(N(AG484)&gt;0,AG484+1,1),IF(N(AG484)&lt;0,AG484-1,-1))))</f>
        <v/>
      </c>
    </row>
    <row r="486" customFormat="false" ht="15" hidden="false" customHeight="false" outlineLevel="0" collapsed="false">
      <c r="A486" s="36" t="str">
        <f aca="false">IF(B486="","",ROW()-6)</f>
        <v/>
      </c>
      <c r="B486" s="37"/>
      <c r="C486" s="38"/>
      <c r="D486" s="38"/>
      <c r="E486" s="39"/>
      <c r="F486" s="39"/>
      <c r="G486" s="39"/>
      <c r="H486" s="40"/>
      <c r="I486" s="40"/>
      <c r="J486" s="40"/>
      <c r="K486" s="40"/>
      <c r="L486" s="39"/>
      <c r="M486" s="40"/>
      <c r="N486" s="40"/>
      <c r="O486" s="36" t="str">
        <f aca="false">IF($B486="","",INT((A486-1)/Parametros!$C$10)+1)</f>
        <v/>
      </c>
      <c r="P486" s="41" t="str">
        <f aca="false">IF($B486="","",IF(OR(C486="",D486=""),"",ROUND((D486-C486)*1440,0)))</f>
        <v/>
      </c>
      <c r="Q486" s="42" t="str">
        <f aca="false">IF($B486="","",I486*VLOOKUP(E486,Parametros!$B$18:$D$24,2,FALSE()))</f>
        <v/>
      </c>
      <c r="R486" s="42" t="str">
        <f aca="false">IF($B486="","",G486*VLOOKUP(E486,Parametros!$B$18:$D$24,3,FALSE()))</f>
        <v/>
      </c>
      <c r="S486" s="42" t="str">
        <f aca="false">IF($B486="","",Q486-R486)</f>
        <v/>
      </c>
      <c r="T486" s="43" t="str">
        <f aca="false">IF($B486="","",IF(S486&gt;0,"G","P"))</f>
        <v/>
      </c>
      <c r="U486" s="44" t="str">
        <f aca="false">IF($B486="","",S486/Parametros!$C$8)</f>
        <v/>
      </c>
      <c r="V486" s="42" t="str">
        <f aca="false">IF($B486="","",Parametros!$C$6+SUM($S$7:S486))</f>
        <v/>
      </c>
      <c r="W486" s="42" t="str">
        <f aca="false">IF($B486="","",MAX(V486,W485))</f>
        <v/>
      </c>
      <c r="X486" s="42" t="str">
        <f aca="false">IF($B486="","",V486-W486)</f>
        <v/>
      </c>
      <c r="Y486" s="45" t="str">
        <f aca="false">IF($B486="","",X486/W486)</f>
        <v/>
      </c>
      <c r="Z486" s="36" t="str">
        <f aca="false">IF($B486="","",IF(T486="G",IF(N(Z485)&gt;0,Z485+1,1),IF(N(Z485)&lt;0,Z485-1,-1)))</f>
        <v/>
      </c>
      <c r="AA486" s="46" t="str">
        <f aca="false">IF($B486="","",B486-WEEKDAY(B486,2)+1)</f>
        <v/>
      </c>
      <c r="AB486" s="47" t="str">
        <f aca="false">IF($B486="","",DATE(YEAR(B486),MONTH(B486),1))</f>
        <v/>
      </c>
      <c r="AC486" s="41" t="str">
        <f aca="false">IF($B486="","",CHOOSE(WEEKDAY(B486,2),"Lunes","Martes","Miércoles","Jueves","Viernes","Sábado","Domingo"))</f>
        <v/>
      </c>
      <c r="AD486" s="36" t="str">
        <f aca="false">IF($B486="","",HOUR(C486))</f>
        <v/>
      </c>
      <c r="AE486" s="42" t="str">
        <f aca="false">IF($B486="","",IF(O486&lt;&gt;O485,MAX(V486-S486,V486),MAX(V486,AE485)))</f>
        <v/>
      </c>
      <c r="AF486" s="42" t="str">
        <f aca="false">IF($B486="","",V486-AE486)</f>
        <v/>
      </c>
      <c r="AG486" s="36" t="str">
        <f aca="false">IF($B486="","",IF(O486&lt;&gt;O485,IF(T486="G",1,-1),IF(T486="G",IF(N(AG485)&gt;0,AG485+1,1),IF(N(AG485)&lt;0,AG485-1,-1))))</f>
        <v/>
      </c>
    </row>
    <row r="487" customFormat="false" ht="15" hidden="false" customHeight="false" outlineLevel="0" collapsed="false">
      <c r="A487" s="36" t="str">
        <f aca="false">IF(B487="","",ROW()-6)</f>
        <v/>
      </c>
      <c r="B487" s="37"/>
      <c r="C487" s="38"/>
      <c r="D487" s="38"/>
      <c r="E487" s="39"/>
      <c r="F487" s="39"/>
      <c r="G487" s="39"/>
      <c r="H487" s="40"/>
      <c r="I487" s="40"/>
      <c r="J487" s="40"/>
      <c r="K487" s="40"/>
      <c r="L487" s="39"/>
      <c r="M487" s="40"/>
      <c r="N487" s="40"/>
      <c r="O487" s="36" t="str">
        <f aca="false">IF($B487="","",INT((A487-1)/Parametros!$C$10)+1)</f>
        <v/>
      </c>
      <c r="P487" s="41" t="str">
        <f aca="false">IF($B487="","",IF(OR(C487="",D487=""),"",ROUND((D487-C487)*1440,0)))</f>
        <v/>
      </c>
      <c r="Q487" s="42" t="str">
        <f aca="false">IF($B487="","",I487*VLOOKUP(E487,Parametros!$B$18:$D$24,2,FALSE()))</f>
        <v/>
      </c>
      <c r="R487" s="42" t="str">
        <f aca="false">IF($B487="","",G487*VLOOKUP(E487,Parametros!$B$18:$D$24,3,FALSE()))</f>
        <v/>
      </c>
      <c r="S487" s="42" t="str">
        <f aca="false">IF($B487="","",Q487-R487)</f>
        <v/>
      </c>
      <c r="T487" s="43" t="str">
        <f aca="false">IF($B487="","",IF(S487&gt;0,"G","P"))</f>
        <v/>
      </c>
      <c r="U487" s="44" t="str">
        <f aca="false">IF($B487="","",S487/Parametros!$C$8)</f>
        <v/>
      </c>
      <c r="V487" s="42" t="str">
        <f aca="false">IF($B487="","",Parametros!$C$6+SUM($S$7:S487))</f>
        <v/>
      </c>
      <c r="W487" s="42" t="str">
        <f aca="false">IF($B487="","",MAX(V487,W486))</f>
        <v/>
      </c>
      <c r="X487" s="42" t="str">
        <f aca="false">IF($B487="","",V487-W487)</f>
        <v/>
      </c>
      <c r="Y487" s="45" t="str">
        <f aca="false">IF($B487="","",X487/W487)</f>
        <v/>
      </c>
      <c r="Z487" s="36" t="str">
        <f aca="false">IF($B487="","",IF(T487="G",IF(N(Z486)&gt;0,Z486+1,1),IF(N(Z486)&lt;0,Z486-1,-1)))</f>
        <v/>
      </c>
      <c r="AA487" s="46" t="str">
        <f aca="false">IF($B487="","",B487-WEEKDAY(B487,2)+1)</f>
        <v/>
      </c>
      <c r="AB487" s="47" t="str">
        <f aca="false">IF($B487="","",DATE(YEAR(B487),MONTH(B487),1))</f>
        <v/>
      </c>
      <c r="AC487" s="41" t="str">
        <f aca="false">IF($B487="","",CHOOSE(WEEKDAY(B487,2),"Lunes","Martes","Miércoles","Jueves","Viernes","Sábado","Domingo"))</f>
        <v/>
      </c>
      <c r="AD487" s="36" t="str">
        <f aca="false">IF($B487="","",HOUR(C487))</f>
        <v/>
      </c>
      <c r="AE487" s="42" t="str">
        <f aca="false">IF($B487="","",IF(O487&lt;&gt;O486,MAX(V487-S487,V487),MAX(V487,AE486)))</f>
        <v/>
      </c>
      <c r="AF487" s="42" t="str">
        <f aca="false">IF($B487="","",V487-AE487)</f>
        <v/>
      </c>
      <c r="AG487" s="36" t="str">
        <f aca="false">IF($B487="","",IF(O487&lt;&gt;O486,IF(T487="G",1,-1),IF(T487="G",IF(N(AG486)&gt;0,AG486+1,1),IF(N(AG486)&lt;0,AG486-1,-1))))</f>
        <v/>
      </c>
    </row>
    <row r="488" customFormat="false" ht="15" hidden="false" customHeight="false" outlineLevel="0" collapsed="false">
      <c r="A488" s="36" t="str">
        <f aca="false">IF(B488="","",ROW()-6)</f>
        <v/>
      </c>
      <c r="B488" s="37"/>
      <c r="C488" s="38"/>
      <c r="D488" s="38"/>
      <c r="E488" s="39"/>
      <c r="F488" s="39"/>
      <c r="G488" s="39"/>
      <c r="H488" s="40"/>
      <c r="I488" s="40"/>
      <c r="J488" s="40"/>
      <c r="K488" s="40"/>
      <c r="L488" s="39"/>
      <c r="M488" s="40"/>
      <c r="N488" s="40"/>
      <c r="O488" s="36" t="str">
        <f aca="false">IF($B488="","",INT((A488-1)/Parametros!$C$10)+1)</f>
        <v/>
      </c>
      <c r="P488" s="41" t="str">
        <f aca="false">IF($B488="","",IF(OR(C488="",D488=""),"",ROUND((D488-C488)*1440,0)))</f>
        <v/>
      </c>
      <c r="Q488" s="42" t="str">
        <f aca="false">IF($B488="","",I488*VLOOKUP(E488,Parametros!$B$18:$D$24,2,FALSE()))</f>
        <v/>
      </c>
      <c r="R488" s="42" t="str">
        <f aca="false">IF($B488="","",G488*VLOOKUP(E488,Parametros!$B$18:$D$24,3,FALSE()))</f>
        <v/>
      </c>
      <c r="S488" s="42" t="str">
        <f aca="false">IF($B488="","",Q488-R488)</f>
        <v/>
      </c>
      <c r="T488" s="43" t="str">
        <f aca="false">IF($B488="","",IF(S488&gt;0,"G","P"))</f>
        <v/>
      </c>
      <c r="U488" s="44" t="str">
        <f aca="false">IF($B488="","",S488/Parametros!$C$8)</f>
        <v/>
      </c>
      <c r="V488" s="42" t="str">
        <f aca="false">IF($B488="","",Parametros!$C$6+SUM($S$7:S488))</f>
        <v/>
      </c>
      <c r="W488" s="42" t="str">
        <f aca="false">IF($B488="","",MAX(V488,W487))</f>
        <v/>
      </c>
      <c r="X488" s="42" t="str">
        <f aca="false">IF($B488="","",V488-W488)</f>
        <v/>
      </c>
      <c r="Y488" s="45" t="str">
        <f aca="false">IF($B488="","",X488/W488)</f>
        <v/>
      </c>
      <c r="Z488" s="36" t="str">
        <f aca="false">IF($B488="","",IF(T488="G",IF(N(Z487)&gt;0,Z487+1,1),IF(N(Z487)&lt;0,Z487-1,-1)))</f>
        <v/>
      </c>
      <c r="AA488" s="46" t="str">
        <f aca="false">IF($B488="","",B488-WEEKDAY(B488,2)+1)</f>
        <v/>
      </c>
      <c r="AB488" s="47" t="str">
        <f aca="false">IF($B488="","",DATE(YEAR(B488),MONTH(B488),1))</f>
        <v/>
      </c>
      <c r="AC488" s="41" t="str">
        <f aca="false">IF($B488="","",CHOOSE(WEEKDAY(B488,2),"Lunes","Martes","Miércoles","Jueves","Viernes","Sábado","Domingo"))</f>
        <v/>
      </c>
      <c r="AD488" s="36" t="str">
        <f aca="false">IF($B488="","",HOUR(C488))</f>
        <v/>
      </c>
      <c r="AE488" s="42" t="str">
        <f aca="false">IF($B488="","",IF(O488&lt;&gt;O487,MAX(V488-S488,V488),MAX(V488,AE487)))</f>
        <v/>
      </c>
      <c r="AF488" s="42" t="str">
        <f aca="false">IF($B488="","",V488-AE488)</f>
        <v/>
      </c>
      <c r="AG488" s="36" t="str">
        <f aca="false">IF($B488="","",IF(O488&lt;&gt;O487,IF(T488="G",1,-1),IF(T488="G",IF(N(AG487)&gt;0,AG487+1,1),IF(N(AG487)&lt;0,AG487-1,-1))))</f>
        <v/>
      </c>
    </row>
    <row r="489" customFormat="false" ht="15" hidden="false" customHeight="false" outlineLevel="0" collapsed="false">
      <c r="A489" s="36" t="str">
        <f aca="false">IF(B489="","",ROW()-6)</f>
        <v/>
      </c>
      <c r="B489" s="37"/>
      <c r="C489" s="38"/>
      <c r="D489" s="38"/>
      <c r="E489" s="39"/>
      <c r="F489" s="39"/>
      <c r="G489" s="39"/>
      <c r="H489" s="40"/>
      <c r="I489" s="40"/>
      <c r="J489" s="40"/>
      <c r="K489" s="40"/>
      <c r="L489" s="39"/>
      <c r="M489" s="40"/>
      <c r="N489" s="40"/>
      <c r="O489" s="36" t="str">
        <f aca="false">IF($B489="","",INT((A489-1)/Parametros!$C$10)+1)</f>
        <v/>
      </c>
      <c r="P489" s="41" t="str">
        <f aca="false">IF($B489="","",IF(OR(C489="",D489=""),"",ROUND((D489-C489)*1440,0)))</f>
        <v/>
      </c>
      <c r="Q489" s="42" t="str">
        <f aca="false">IF($B489="","",I489*VLOOKUP(E489,Parametros!$B$18:$D$24,2,FALSE()))</f>
        <v/>
      </c>
      <c r="R489" s="42" t="str">
        <f aca="false">IF($B489="","",G489*VLOOKUP(E489,Parametros!$B$18:$D$24,3,FALSE()))</f>
        <v/>
      </c>
      <c r="S489" s="42" t="str">
        <f aca="false">IF($B489="","",Q489-R489)</f>
        <v/>
      </c>
      <c r="T489" s="43" t="str">
        <f aca="false">IF($B489="","",IF(S489&gt;0,"G","P"))</f>
        <v/>
      </c>
      <c r="U489" s="44" t="str">
        <f aca="false">IF($B489="","",S489/Parametros!$C$8)</f>
        <v/>
      </c>
      <c r="V489" s="42" t="str">
        <f aca="false">IF($B489="","",Parametros!$C$6+SUM($S$7:S489))</f>
        <v/>
      </c>
      <c r="W489" s="42" t="str">
        <f aca="false">IF($B489="","",MAX(V489,W488))</f>
        <v/>
      </c>
      <c r="X489" s="42" t="str">
        <f aca="false">IF($B489="","",V489-W489)</f>
        <v/>
      </c>
      <c r="Y489" s="45" t="str">
        <f aca="false">IF($B489="","",X489/W489)</f>
        <v/>
      </c>
      <c r="Z489" s="36" t="str">
        <f aca="false">IF($B489="","",IF(T489="G",IF(N(Z488)&gt;0,Z488+1,1),IF(N(Z488)&lt;0,Z488-1,-1)))</f>
        <v/>
      </c>
      <c r="AA489" s="46" t="str">
        <f aca="false">IF($B489="","",B489-WEEKDAY(B489,2)+1)</f>
        <v/>
      </c>
      <c r="AB489" s="47" t="str">
        <f aca="false">IF($B489="","",DATE(YEAR(B489),MONTH(B489),1))</f>
        <v/>
      </c>
      <c r="AC489" s="41" t="str">
        <f aca="false">IF($B489="","",CHOOSE(WEEKDAY(B489,2),"Lunes","Martes","Miércoles","Jueves","Viernes","Sábado","Domingo"))</f>
        <v/>
      </c>
      <c r="AD489" s="36" t="str">
        <f aca="false">IF($B489="","",HOUR(C489))</f>
        <v/>
      </c>
      <c r="AE489" s="42" t="str">
        <f aca="false">IF($B489="","",IF(O489&lt;&gt;O488,MAX(V489-S489,V489),MAX(V489,AE488)))</f>
        <v/>
      </c>
      <c r="AF489" s="42" t="str">
        <f aca="false">IF($B489="","",V489-AE489)</f>
        <v/>
      </c>
      <c r="AG489" s="36" t="str">
        <f aca="false">IF($B489="","",IF(O489&lt;&gt;O488,IF(T489="G",1,-1),IF(T489="G",IF(N(AG488)&gt;0,AG488+1,1),IF(N(AG488)&lt;0,AG488-1,-1))))</f>
        <v/>
      </c>
    </row>
    <row r="490" customFormat="false" ht="15" hidden="false" customHeight="false" outlineLevel="0" collapsed="false">
      <c r="A490" s="36" t="str">
        <f aca="false">IF(B490="","",ROW()-6)</f>
        <v/>
      </c>
      <c r="B490" s="37"/>
      <c r="C490" s="38"/>
      <c r="D490" s="38"/>
      <c r="E490" s="39"/>
      <c r="F490" s="39"/>
      <c r="G490" s="39"/>
      <c r="H490" s="40"/>
      <c r="I490" s="40"/>
      <c r="J490" s="40"/>
      <c r="K490" s="40"/>
      <c r="L490" s="39"/>
      <c r="M490" s="40"/>
      <c r="N490" s="40"/>
      <c r="O490" s="36" t="str">
        <f aca="false">IF($B490="","",INT((A490-1)/Parametros!$C$10)+1)</f>
        <v/>
      </c>
      <c r="P490" s="41" t="str">
        <f aca="false">IF($B490="","",IF(OR(C490="",D490=""),"",ROUND((D490-C490)*1440,0)))</f>
        <v/>
      </c>
      <c r="Q490" s="42" t="str">
        <f aca="false">IF($B490="","",I490*VLOOKUP(E490,Parametros!$B$18:$D$24,2,FALSE()))</f>
        <v/>
      </c>
      <c r="R490" s="42" t="str">
        <f aca="false">IF($B490="","",G490*VLOOKUP(E490,Parametros!$B$18:$D$24,3,FALSE()))</f>
        <v/>
      </c>
      <c r="S490" s="42" t="str">
        <f aca="false">IF($B490="","",Q490-R490)</f>
        <v/>
      </c>
      <c r="T490" s="43" t="str">
        <f aca="false">IF($B490="","",IF(S490&gt;0,"G","P"))</f>
        <v/>
      </c>
      <c r="U490" s="44" t="str">
        <f aca="false">IF($B490="","",S490/Parametros!$C$8)</f>
        <v/>
      </c>
      <c r="V490" s="42" t="str">
        <f aca="false">IF($B490="","",Parametros!$C$6+SUM($S$7:S490))</f>
        <v/>
      </c>
      <c r="W490" s="42" t="str">
        <f aca="false">IF($B490="","",MAX(V490,W489))</f>
        <v/>
      </c>
      <c r="X490" s="42" t="str">
        <f aca="false">IF($B490="","",V490-W490)</f>
        <v/>
      </c>
      <c r="Y490" s="45" t="str">
        <f aca="false">IF($B490="","",X490/W490)</f>
        <v/>
      </c>
      <c r="Z490" s="36" t="str">
        <f aca="false">IF($B490="","",IF(T490="G",IF(N(Z489)&gt;0,Z489+1,1),IF(N(Z489)&lt;0,Z489-1,-1)))</f>
        <v/>
      </c>
      <c r="AA490" s="46" t="str">
        <f aca="false">IF($B490="","",B490-WEEKDAY(B490,2)+1)</f>
        <v/>
      </c>
      <c r="AB490" s="47" t="str">
        <f aca="false">IF($B490="","",DATE(YEAR(B490),MONTH(B490),1))</f>
        <v/>
      </c>
      <c r="AC490" s="41" t="str">
        <f aca="false">IF($B490="","",CHOOSE(WEEKDAY(B490,2),"Lunes","Martes","Miércoles","Jueves","Viernes","Sábado","Domingo"))</f>
        <v/>
      </c>
      <c r="AD490" s="36" t="str">
        <f aca="false">IF($B490="","",HOUR(C490))</f>
        <v/>
      </c>
      <c r="AE490" s="42" t="str">
        <f aca="false">IF($B490="","",IF(O490&lt;&gt;O489,MAX(V490-S490,V490),MAX(V490,AE489)))</f>
        <v/>
      </c>
      <c r="AF490" s="42" t="str">
        <f aca="false">IF($B490="","",V490-AE490)</f>
        <v/>
      </c>
      <c r="AG490" s="36" t="str">
        <f aca="false">IF($B490="","",IF(O490&lt;&gt;O489,IF(T490="G",1,-1),IF(T490="G",IF(N(AG489)&gt;0,AG489+1,1),IF(N(AG489)&lt;0,AG489-1,-1))))</f>
        <v/>
      </c>
    </row>
    <row r="491" customFormat="false" ht="15" hidden="false" customHeight="false" outlineLevel="0" collapsed="false">
      <c r="A491" s="36" t="str">
        <f aca="false">IF(B491="","",ROW()-6)</f>
        <v/>
      </c>
      <c r="B491" s="37"/>
      <c r="C491" s="38"/>
      <c r="D491" s="38"/>
      <c r="E491" s="39"/>
      <c r="F491" s="39"/>
      <c r="G491" s="39"/>
      <c r="H491" s="40"/>
      <c r="I491" s="40"/>
      <c r="J491" s="40"/>
      <c r="K491" s="40"/>
      <c r="L491" s="39"/>
      <c r="M491" s="40"/>
      <c r="N491" s="40"/>
      <c r="O491" s="36" t="str">
        <f aca="false">IF($B491="","",INT((A491-1)/Parametros!$C$10)+1)</f>
        <v/>
      </c>
      <c r="P491" s="41" t="str">
        <f aca="false">IF($B491="","",IF(OR(C491="",D491=""),"",ROUND((D491-C491)*1440,0)))</f>
        <v/>
      </c>
      <c r="Q491" s="42" t="str">
        <f aca="false">IF($B491="","",I491*VLOOKUP(E491,Parametros!$B$18:$D$24,2,FALSE()))</f>
        <v/>
      </c>
      <c r="R491" s="42" t="str">
        <f aca="false">IF($B491="","",G491*VLOOKUP(E491,Parametros!$B$18:$D$24,3,FALSE()))</f>
        <v/>
      </c>
      <c r="S491" s="42" t="str">
        <f aca="false">IF($B491="","",Q491-R491)</f>
        <v/>
      </c>
      <c r="T491" s="43" t="str">
        <f aca="false">IF($B491="","",IF(S491&gt;0,"G","P"))</f>
        <v/>
      </c>
      <c r="U491" s="44" t="str">
        <f aca="false">IF($B491="","",S491/Parametros!$C$8)</f>
        <v/>
      </c>
      <c r="V491" s="42" t="str">
        <f aca="false">IF($B491="","",Parametros!$C$6+SUM($S$7:S491))</f>
        <v/>
      </c>
      <c r="W491" s="42" t="str">
        <f aca="false">IF($B491="","",MAX(V491,W490))</f>
        <v/>
      </c>
      <c r="X491" s="42" t="str">
        <f aca="false">IF($B491="","",V491-W491)</f>
        <v/>
      </c>
      <c r="Y491" s="45" t="str">
        <f aca="false">IF($B491="","",X491/W491)</f>
        <v/>
      </c>
      <c r="Z491" s="36" t="str">
        <f aca="false">IF($B491="","",IF(T491="G",IF(N(Z490)&gt;0,Z490+1,1),IF(N(Z490)&lt;0,Z490-1,-1)))</f>
        <v/>
      </c>
      <c r="AA491" s="46" t="str">
        <f aca="false">IF($B491="","",B491-WEEKDAY(B491,2)+1)</f>
        <v/>
      </c>
      <c r="AB491" s="47" t="str">
        <f aca="false">IF($B491="","",DATE(YEAR(B491),MONTH(B491),1))</f>
        <v/>
      </c>
      <c r="AC491" s="41" t="str">
        <f aca="false">IF($B491="","",CHOOSE(WEEKDAY(B491,2),"Lunes","Martes","Miércoles","Jueves","Viernes","Sábado","Domingo"))</f>
        <v/>
      </c>
      <c r="AD491" s="36" t="str">
        <f aca="false">IF($B491="","",HOUR(C491))</f>
        <v/>
      </c>
      <c r="AE491" s="42" t="str">
        <f aca="false">IF($B491="","",IF(O491&lt;&gt;O490,MAX(V491-S491,V491),MAX(V491,AE490)))</f>
        <v/>
      </c>
      <c r="AF491" s="42" t="str">
        <f aca="false">IF($B491="","",V491-AE491)</f>
        <v/>
      </c>
      <c r="AG491" s="36" t="str">
        <f aca="false">IF($B491="","",IF(O491&lt;&gt;O490,IF(T491="G",1,-1),IF(T491="G",IF(N(AG490)&gt;0,AG490+1,1),IF(N(AG490)&lt;0,AG490-1,-1))))</f>
        <v/>
      </c>
    </row>
    <row r="492" customFormat="false" ht="15" hidden="false" customHeight="false" outlineLevel="0" collapsed="false">
      <c r="A492" s="36" t="str">
        <f aca="false">IF(B492="","",ROW()-6)</f>
        <v/>
      </c>
      <c r="B492" s="37"/>
      <c r="C492" s="38"/>
      <c r="D492" s="38"/>
      <c r="E492" s="39"/>
      <c r="F492" s="39"/>
      <c r="G492" s="39"/>
      <c r="H492" s="40"/>
      <c r="I492" s="40"/>
      <c r="J492" s="40"/>
      <c r="K492" s="40"/>
      <c r="L492" s="39"/>
      <c r="M492" s="40"/>
      <c r="N492" s="40"/>
      <c r="O492" s="36" t="str">
        <f aca="false">IF($B492="","",INT((A492-1)/Parametros!$C$10)+1)</f>
        <v/>
      </c>
      <c r="P492" s="41" t="str">
        <f aca="false">IF($B492="","",IF(OR(C492="",D492=""),"",ROUND((D492-C492)*1440,0)))</f>
        <v/>
      </c>
      <c r="Q492" s="42" t="str">
        <f aca="false">IF($B492="","",I492*VLOOKUP(E492,Parametros!$B$18:$D$24,2,FALSE()))</f>
        <v/>
      </c>
      <c r="R492" s="42" t="str">
        <f aca="false">IF($B492="","",G492*VLOOKUP(E492,Parametros!$B$18:$D$24,3,FALSE()))</f>
        <v/>
      </c>
      <c r="S492" s="42" t="str">
        <f aca="false">IF($B492="","",Q492-R492)</f>
        <v/>
      </c>
      <c r="T492" s="43" t="str">
        <f aca="false">IF($B492="","",IF(S492&gt;0,"G","P"))</f>
        <v/>
      </c>
      <c r="U492" s="44" t="str">
        <f aca="false">IF($B492="","",S492/Parametros!$C$8)</f>
        <v/>
      </c>
      <c r="V492" s="42" t="str">
        <f aca="false">IF($B492="","",Parametros!$C$6+SUM($S$7:S492))</f>
        <v/>
      </c>
      <c r="W492" s="42" t="str">
        <f aca="false">IF($B492="","",MAX(V492,W491))</f>
        <v/>
      </c>
      <c r="X492" s="42" t="str">
        <f aca="false">IF($B492="","",V492-W492)</f>
        <v/>
      </c>
      <c r="Y492" s="45" t="str">
        <f aca="false">IF($B492="","",X492/W492)</f>
        <v/>
      </c>
      <c r="Z492" s="36" t="str">
        <f aca="false">IF($B492="","",IF(T492="G",IF(N(Z491)&gt;0,Z491+1,1),IF(N(Z491)&lt;0,Z491-1,-1)))</f>
        <v/>
      </c>
      <c r="AA492" s="46" t="str">
        <f aca="false">IF($B492="","",B492-WEEKDAY(B492,2)+1)</f>
        <v/>
      </c>
      <c r="AB492" s="47" t="str">
        <f aca="false">IF($B492="","",DATE(YEAR(B492),MONTH(B492),1))</f>
        <v/>
      </c>
      <c r="AC492" s="41" t="str">
        <f aca="false">IF($B492="","",CHOOSE(WEEKDAY(B492,2),"Lunes","Martes","Miércoles","Jueves","Viernes","Sábado","Domingo"))</f>
        <v/>
      </c>
      <c r="AD492" s="36" t="str">
        <f aca="false">IF($B492="","",HOUR(C492))</f>
        <v/>
      </c>
      <c r="AE492" s="42" t="str">
        <f aca="false">IF($B492="","",IF(O492&lt;&gt;O491,MAX(V492-S492,V492),MAX(V492,AE491)))</f>
        <v/>
      </c>
      <c r="AF492" s="42" t="str">
        <f aca="false">IF($B492="","",V492-AE492)</f>
        <v/>
      </c>
      <c r="AG492" s="36" t="str">
        <f aca="false">IF($B492="","",IF(O492&lt;&gt;O491,IF(T492="G",1,-1),IF(T492="G",IF(N(AG491)&gt;0,AG491+1,1),IF(N(AG491)&lt;0,AG491-1,-1))))</f>
        <v/>
      </c>
    </row>
    <row r="493" customFormat="false" ht="15" hidden="false" customHeight="false" outlineLevel="0" collapsed="false">
      <c r="A493" s="36" t="str">
        <f aca="false">IF(B493="","",ROW()-6)</f>
        <v/>
      </c>
      <c r="B493" s="37"/>
      <c r="C493" s="38"/>
      <c r="D493" s="38"/>
      <c r="E493" s="39"/>
      <c r="F493" s="39"/>
      <c r="G493" s="39"/>
      <c r="H493" s="40"/>
      <c r="I493" s="40"/>
      <c r="J493" s="40"/>
      <c r="K493" s="40"/>
      <c r="L493" s="39"/>
      <c r="M493" s="40"/>
      <c r="N493" s="40"/>
      <c r="O493" s="36" t="str">
        <f aca="false">IF($B493="","",INT((A493-1)/Parametros!$C$10)+1)</f>
        <v/>
      </c>
      <c r="P493" s="41" t="str">
        <f aca="false">IF($B493="","",IF(OR(C493="",D493=""),"",ROUND((D493-C493)*1440,0)))</f>
        <v/>
      </c>
      <c r="Q493" s="42" t="str">
        <f aca="false">IF($B493="","",I493*VLOOKUP(E493,Parametros!$B$18:$D$24,2,FALSE()))</f>
        <v/>
      </c>
      <c r="R493" s="42" t="str">
        <f aca="false">IF($B493="","",G493*VLOOKUP(E493,Parametros!$B$18:$D$24,3,FALSE()))</f>
        <v/>
      </c>
      <c r="S493" s="42" t="str">
        <f aca="false">IF($B493="","",Q493-R493)</f>
        <v/>
      </c>
      <c r="T493" s="43" t="str">
        <f aca="false">IF($B493="","",IF(S493&gt;0,"G","P"))</f>
        <v/>
      </c>
      <c r="U493" s="44" t="str">
        <f aca="false">IF($B493="","",S493/Parametros!$C$8)</f>
        <v/>
      </c>
      <c r="V493" s="42" t="str">
        <f aca="false">IF($B493="","",Parametros!$C$6+SUM($S$7:S493))</f>
        <v/>
      </c>
      <c r="W493" s="42" t="str">
        <f aca="false">IF($B493="","",MAX(V493,W492))</f>
        <v/>
      </c>
      <c r="X493" s="42" t="str">
        <f aca="false">IF($B493="","",V493-W493)</f>
        <v/>
      </c>
      <c r="Y493" s="45" t="str">
        <f aca="false">IF($B493="","",X493/W493)</f>
        <v/>
      </c>
      <c r="Z493" s="36" t="str">
        <f aca="false">IF($B493="","",IF(T493="G",IF(N(Z492)&gt;0,Z492+1,1),IF(N(Z492)&lt;0,Z492-1,-1)))</f>
        <v/>
      </c>
      <c r="AA493" s="46" t="str">
        <f aca="false">IF($B493="","",B493-WEEKDAY(B493,2)+1)</f>
        <v/>
      </c>
      <c r="AB493" s="47" t="str">
        <f aca="false">IF($B493="","",DATE(YEAR(B493),MONTH(B493),1))</f>
        <v/>
      </c>
      <c r="AC493" s="41" t="str">
        <f aca="false">IF($B493="","",CHOOSE(WEEKDAY(B493,2),"Lunes","Martes","Miércoles","Jueves","Viernes","Sábado","Domingo"))</f>
        <v/>
      </c>
      <c r="AD493" s="36" t="str">
        <f aca="false">IF($B493="","",HOUR(C493))</f>
        <v/>
      </c>
      <c r="AE493" s="42" t="str">
        <f aca="false">IF($B493="","",IF(O493&lt;&gt;O492,MAX(V493-S493,V493),MAX(V493,AE492)))</f>
        <v/>
      </c>
      <c r="AF493" s="42" t="str">
        <f aca="false">IF($B493="","",V493-AE493)</f>
        <v/>
      </c>
      <c r="AG493" s="36" t="str">
        <f aca="false">IF($B493="","",IF(O493&lt;&gt;O492,IF(T493="G",1,-1),IF(T493="G",IF(N(AG492)&gt;0,AG492+1,1),IF(N(AG492)&lt;0,AG492-1,-1))))</f>
        <v/>
      </c>
    </row>
    <row r="494" customFormat="false" ht="15" hidden="false" customHeight="false" outlineLevel="0" collapsed="false">
      <c r="A494" s="36" t="str">
        <f aca="false">IF(B494="","",ROW()-6)</f>
        <v/>
      </c>
      <c r="B494" s="37"/>
      <c r="C494" s="38"/>
      <c r="D494" s="38"/>
      <c r="E494" s="39"/>
      <c r="F494" s="39"/>
      <c r="G494" s="39"/>
      <c r="H494" s="40"/>
      <c r="I494" s="40"/>
      <c r="J494" s="40"/>
      <c r="K494" s="40"/>
      <c r="L494" s="39"/>
      <c r="M494" s="40"/>
      <c r="N494" s="40"/>
      <c r="O494" s="36" t="str">
        <f aca="false">IF($B494="","",INT((A494-1)/Parametros!$C$10)+1)</f>
        <v/>
      </c>
      <c r="P494" s="41" t="str">
        <f aca="false">IF($B494="","",IF(OR(C494="",D494=""),"",ROUND((D494-C494)*1440,0)))</f>
        <v/>
      </c>
      <c r="Q494" s="42" t="str">
        <f aca="false">IF($B494="","",I494*VLOOKUP(E494,Parametros!$B$18:$D$24,2,FALSE()))</f>
        <v/>
      </c>
      <c r="R494" s="42" t="str">
        <f aca="false">IF($B494="","",G494*VLOOKUP(E494,Parametros!$B$18:$D$24,3,FALSE()))</f>
        <v/>
      </c>
      <c r="S494" s="42" t="str">
        <f aca="false">IF($B494="","",Q494-R494)</f>
        <v/>
      </c>
      <c r="T494" s="43" t="str">
        <f aca="false">IF($B494="","",IF(S494&gt;0,"G","P"))</f>
        <v/>
      </c>
      <c r="U494" s="44" t="str">
        <f aca="false">IF($B494="","",S494/Parametros!$C$8)</f>
        <v/>
      </c>
      <c r="V494" s="42" t="str">
        <f aca="false">IF($B494="","",Parametros!$C$6+SUM($S$7:S494))</f>
        <v/>
      </c>
      <c r="W494" s="42" t="str">
        <f aca="false">IF($B494="","",MAX(V494,W493))</f>
        <v/>
      </c>
      <c r="X494" s="42" t="str">
        <f aca="false">IF($B494="","",V494-W494)</f>
        <v/>
      </c>
      <c r="Y494" s="45" t="str">
        <f aca="false">IF($B494="","",X494/W494)</f>
        <v/>
      </c>
      <c r="Z494" s="36" t="str">
        <f aca="false">IF($B494="","",IF(T494="G",IF(N(Z493)&gt;0,Z493+1,1),IF(N(Z493)&lt;0,Z493-1,-1)))</f>
        <v/>
      </c>
      <c r="AA494" s="46" t="str">
        <f aca="false">IF($B494="","",B494-WEEKDAY(B494,2)+1)</f>
        <v/>
      </c>
      <c r="AB494" s="47" t="str">
        <f aca="false">IF($B494="","",DATE(YEAR(B494),MONTH(B494),1))</f>
        <v/>
      </c>
      <c r="AC494" s="41" t="str">
        <f aca="false">IF($B494="","",CHOOSE(WEEKDAY(B494,2),"Lunes","Martes","Miércoles","Jueves","Viernes","Sábado","Domingo"))</f>
        <v/>
      </c>
      <c r="AD494" s="36" t="str">
        <f aca="false">IF($B494="","",HOUR(C494))</f>
        <v/>
      </c>
      <c r="AE494" s="42" t="str">
        <f aca="false">IF($B494="","",IF(O494&lt;&gt;O493,MAX(V494-S494,V494),MAX(V494,AE493)))</f>
        <v/>
      </c>
      <c r="AF494" s="42" t="str">
        <f aca="false">IF($B494="","",V494-AE494)</f>
        <v/>
      </c>
      <c r="AG494" s="36" t="str">
        <f aca="false">IF($B494="","",IF(O494&lt;&gt;O493,IF(T494="G",1,-1),IF(T494="G",IF(N(AG493)&gt;0,AG493+1,1),IF(N(AG493)&lt;0,AG493-1,-1))))</f>
        <v/>
      </c>
    </row>
    <row r="495" customFormat="false" ht="15" hidden="false" customHeight="false" outlineLevel="0" collapsed="false">
      <c r="A495" s="36" t="str">
        <f aca="false">IF(B495="","",ROW()-6)</f>
        <v/>
      </c>
      <c r="B495" s="37"/>
      <c r="C495" s="38"/>
      <c r="D495" s="38"/>
      <c r="E495" s="39"/>
      <c r="F495" s="39"/>
      <c r="G495" s="39"/>
      <c r="H495" s="40"/>
      <c r="I495" s="40"/>
      <c r="J495" s="40"/>
      <c r="K495" s="40"/>
      <c r="L495" s="39"/>
      <c r="M495" s="40"/>
      <c r="N495" s="40"/>
      <c r="O495" s="36" t="str">
        <f aca="false">IF($B495="","",INT((A495-1)/Parametros!$C$10)+1)</f>
        <v/>
      </c>
      <c r="P495" s="41" t="str">
        <f aca="false">IF($B495="","",IF(OR(C495="",D495=""),"",ROUND((D495-C495)*1440,0)))</f>
        <v/>
      </c>
      <c r="Q495" s="42" t="str">
        <f aca="false">IF($B495="","",I495*VLOOKUP(E495,Parametros!$B$18:$D$24,2,FALSE()))</f>
        <v/>
      </c>
      <c r="R495" s="42" t="str">
        <f aca="false">IF($B495="","",G495*VLOOKUP(E495,Parametros!$B$18:$D$24,3,FALSE()))</f>
        <v/>
      </c>
      <c r="S495" s="42" t="str">
        <f aca="false">IF($B495="","",Q495-R495)</f>
        <v/>
      </c>
      <c r="T495" s="43" t="str">
        <f aca="false">IF($B495="","",IF(S495&gt;0,"G","P"))</f>
        <v/>
      </c>
      <c r="U495" s="44" t="str">
        <f aca="false">IF($B495="","",S495/Parametros!$C$8)</f>
        <v/>
      </c>
      <c r="V495" s="42" t="str">
        <f aca="false">IF($B495="","",Parametros!$C$6+SUM($S$7:S495))</f>
        <v/>
      </c>
      <c r="W495" s="42" t="str">
        <f aca="false">IF($B495="","",MAX(V495,W494))</f>
        <v/>
      </c>
      <c r="X495" s="42" t="str">
        <f aca="false">IF($B495="","",V495-W495)</f>
        <v/>
      </c>
      <c r="Y495" s="45" t="str">
        <f aca="false">IF($B495="","",X495/W495)</f>
        <v/>
      </c>
      <c r="Z495" s="36" t="str">
        <f aca="false">IF($B495="","",IF(T495="G",IF(N(Z494)&gt;0,Z494+1,1),IF(N(Z494)&lt;0,Z494-1,-1)))</f>
        <v/>
      </c>
      <c r="AA495" s="46" t="str">
        <f aca="false">IF($B495="","",B495-WEEKDAY(B495,2)+1)</f>
        <v/>
      </c>
      <c r="AB495" s="47" t="str">
        <f aca="false">IF($B495="","",DATE(YEAR(B495),MONTH(B495),1))</f>
        <v/>
      </c>
      <c r="AC495" s="41" t="str">
        <f aca="false">IF($B495="","",CHOOSE(WEEKDAY(B495,2),"Lunes","Martes","Miércoles","Jueves","Viernes","Sábado","Domingo"))</f>
        <v/>
      </c>
      <c r="AD495" s="36" t="str">
        <f aca="false">IF($B495="","",HOUR(C495))</f>
        <v/>
      </c>
      <c r="AE495" s="42" t="str">
        <f aca="false">IF($B495="","",IF(O495&lt;&gt;O494,MAX(V495-S495,V495),MAX(V495,AE494)))</f>
        <v/>
      </c>
      <c r="AF495" s="42" t="str">
        <f aca="false">IF($B495="","",V495-AE495)</f>
        <v/>
      </c>
      <c r="AG495" s="36" t="str">
        <f aca="false">IF($B495="","",IF(O495&lt;&gt;O494,IF(T495="G",1,-1),IF(T495="G",IF(N(AG494)&gt;0,AG494+1,1),IF(N(AG494)&lt;0,AG494-1,-1))))</f>
        <v/>
      </c>
    </row>
    <row r="496" customFormat="false" ht="15" hidden="false" customHeight="false" outlineLevel="0" collapsed="false">
      <c r="A496" s="36" t="str">
        <f aca="false">IF(B496="","",ROW()-6)</f>
        <v/>
      </c>
      <c r="B496" s="37"/>
      <c r="C496" s="38"/>
      <c r="D496" s="38"/>
      <c r="E496" s="39"/>
      <c r="F496" s="39"/>
      <c r="G496" s="39"/>
      <c r="H496" s="40"/>
      <c r="I496" s="40"/>
      <c r="J496" s="40"/>
      <c r="K496" s="40"/>
      <c r="L496" s="39"/>
      <c r="M496" s="40"/>
      <c r="N496" s="40"/>
      <c r="O496" s="36" t="str">
        <f aca="false">IF($B496="","",INT((A496-1)/Parametros!$C$10)+1)</f>
        <v/>
      </c>
      <c r="P496" s="41" t="str">
        <f aca="false">IF($B496="","",IF(OR(C496="",D496=""),"",ROUND((D496-C496)*1440,0)))</f>
        <v/>
      </c>
      <c r="Q496" s="42" t="str">
        <f aca="false">IF($B496="","",I496*VLOOKUP(E496,Parametros!$B$18:$D$24,2,FALSE()))</f>
        <v/>
      </c>
      <c r="R496" s="42" t="str">
        <f aca="false">IF($B496="","",G496*VLOOKUP(E496,Parametros!$B$18:$D$24,3,FALSE()))</f>
        <v/>
      </c>
      <c r="S496" s="42" t="str">
        <f aca="false">IF($B496="","",Q496-R496)</f>
        <v/>
      </c>
      <c r="T496" s="43" t="str">
        <f aca="false">IF($B496="","",IF(S496&gt;0,"G","P"))</f>
        <v/>
      </c>
      <c r="U496" s="44" t="str">
        <f aca="false">IF($B496="","",S496/Parametros!$C$8)</f>
        <v/>
      </c>
      <c r="V496" s="42" t="str">
        <f aca="false">IF($B496="","",Parametros!$C$6+SUM($S$7:S496))</f>
        <v/>
      </c>
      <c r="W496" s="42" t="str">
        <f aca="false">IF($B496="","",MAX(V496,W495))</f>
        <v/>
      </c>
      <c r="X496" s="42" t="str">
        <f aca="false">IF($B496="","",V496-W496)</f>
        <v/>
      </c>
      <c r="Y496" s="45" t="str">
        <f aca="false">IF($B496="","",X496/W496)</f>
        <v/>
      </c>
      <c r="Z496" s="36" t="str">
        <f aca="false">IF($B496="","",IF(T496="G",IF(N(Z495)&gt;0,Z495+1,1),IF(N(Z495)&lt;0,Z495-1,-1)))</f>
        <v/>
      </c>
      <c r="AA496" s="46" t="str">
        <f aca="false">IF($B496="","",B496-WEEKDAY(B496,2)+1)</f>
        <v/>
      </c>
      <c r="AB496" s="47" t="str">
        <f aca="false">IF($B496="","",DATE(YEAR(B496),MONTH(B496),1))</f>
        <v/>
      </c>
      <c r="AC496" s="41" t="str">
        <f aca="false">IF($B496="","",CHOOSE(WEEKDAY(B496,2),"Lunes","Martes","Miércoles","Jueves","Viernes","Sábado","Domingo"))</f>
        <v/>
      </c>
      <c r="AD496" s="36" t="str">
        <f aca="false">IF($B496="","",HOUR(C496))</f>
        <v/>
      </c>
      <c r="AE496" s="42" t="str">
        <f aca="false">IF($B496="","",IF(O496&lt;&gt;O495,MAX(V496-S496,V496),MAX(V496,AE495)))</f>
        <v/>
      </c>
      <c r="AF496" s="42" t="str">
        <f aca="false">IF($B496="","",V496-AE496)</f>
        <v/>
      </c>
      <c r="AG496" s="36" t="str">
        <f aca="false">IF($B496="","",IF(O496&lt;&gt;O495,IF(T496="G",1,-1),IF(T496="G",IF(N(AG495)&gt;0,AG495+1,1),IF(N(AG495)&lt;0,AG495-1,-1))))</f>
        <v/>
      </c>
    </row>
    <row r="497" customFormat="false" ht="15" hidden="false" customHeight="false" outlineLevel="0" collapsed="false">
      <c r="A497" s="36" t="str">
        <f aca="false">IF(B497="","",ROW()-6)</f>
        <v/>
      </c>
      <c r="B497" s="37"/>
      <c r="C497" s="38"/>
      <c r="D497" s="38"/>
      <c r="E497" s="39"/>
      <c r="F497" s="39"/>
      <c r="G497" s="39"/>
      <c r="H497" s="40"/>
      <c r="I497" s="40"/>
      <c r="J497" s="40"/>
      <c r="K497" s="40"/>
      <c r="L497" s="39"/>
      <c r="M497" s="40"/>
      <c r="N497" s="40"/>
      <c r="O497" s="36" t="str">
        <f aca="false">IF($B497="","",INT((A497-1)/Parametros!$C$10)+1)</f>
        <v/>
      </c>
      <c r="P497" s="41" t="str">
        <f aca="false">IF($B497="","",IF(OR(C497="",D497=""),"",ROUND((D497-C497)*1440,0)))</f>
        <v/>
      </c>
      <c r="Q497" s="42" t="str">
        <f aca="false">IF($B497="","",I497*VLOOKUP(E497,Parametros!$B$18:$D$24,2,FALSE()))</f>
        <v/>
      </c>
      <c r="R497" s="42" t="str">
        <f aca="false">IF($B497="","",G497*VLOOKUP(E497,Parametros!$B$18:$D$24,3,FALSE()))</f>
        <v/>
      </c>
      <c r="S497" s="42" t="str">
        <f aca="false">IF($B497="","",Q497-R497)</f>
        <v/>
      </c>
      <c r="T497" s="43" t="str">
        <f aca="false">IF($B497="","",IF(S497&gt;0,"G","P"))</f>
        <v/>
      </c>
      <c r="U497" s="44" t="str">
        <f aca="false">IF($B497="","",S497/Parametros!$C$8)</f>
        <v/>
      </c>
      <c r="V497" s="42" t="str">
        <f aca="false">IF($B497="","",Parametros!$C$6+SUM($S$7:S497))</f>
        <v/>
      </c>
      <c r="W497" s="42" t="str">
        <f aca="false">IF($B497="","",MAX(V497,W496))</f>
        <v/>
      </c>
      <c r="X497" s="42" t="str">
        <f aca="false">IF($B497="","",V497-W497)</f>
        <v/>
      </c>
      <c r="Y497" s="45" t="str">
        <f aca="false">IF($B497="","",X497/W497)</f>
        <v/>
      </c>
      <c r="Z497" s="36" t="str">
        <f aca="false">IF($B497="","",IF(T497="G",IF(N(Z496)&gt;0,Z496+1,1),IF(N(Z496)&lt;0,Z496-1,-1)))</f>
        <v/>
      </c>
      <c r="AA497" s="46" t="str">
        <f aca="false">IF($B497="","",B497-WEEKDAY(B497,2)+1)</f>
        <v/>
      </c>
      <c r="AB497" s="47" t="str">
        <f aca="false">IF($B497="","",DATE(YEAR(B497),MONTH(B497),1))</f>
        <v/>
      </c>
      <c r="AC497" s="41" t="str">
        <f aca="false">IF($B497="","",CHOOSE(WEEKDAY(B497,2),"Lunes","Martes","Miércoles","Jueves","Viernes","Sábado","Domingo"))</f>
        <v/>
      </c>
      <c r="AD497" s="36" t="str">
        <f aca="false">IF($B497="","",HOUR(C497))</f>
        <v/>
      </c>
      <c r="AE497" s="42" t="str">
        <f aca="false">IF($B497="","",IF(O497&lt;&gt;O496,MAX(V497-S497,V497),MAX(V497,AE496)))</f>
        <v/>
      </c>
      <c r="AF497" s="42" t="str">
        <f aca="false">IF($B497="","",V497-AE497)</f>
        <v/>
      </c>
      <c r="AG497" s="36" t="str">
        <f aca="false">IF($B497="","",IF(O497&lt;&gt;O496,IF(T497="G",1,-1),IF(T497="G",IF(N(AG496)&gt;0,AG496+1,1),IF(N(AG496)&lt;0,AG496-1,-1))))</f>
        <v/>
      </c>
    </row>
    <row r="498" customFormat="false" ht="15" hidden="false" customHeight="false" outlineLevel="0" collapsed="false">
      <c r="A498" s="36" t="str">
        <f aca="false">IF(B498="","",ROW()-6)</f>
        <v/>
      </c>
      <c r="B498" s="37"/>
      <c r="C498" s="38"/>
      <c r="D498" s="38"/>
      <c r="E498" s="39"/>
      <c r="F498" s="39"/>
      <c r="G498" s="39"/>
      <c r="H498" s="40"/>
      <c r="I498" s="40"/>
      <c r="J498" s="40"/>
      <c r="K498" s="40"/>
      <c r="L498" s="39"/>
      <c r="M498" s="40"/>
      <c r="N498" s="40"/>
      <c r="O498" s="36" t="str">
        <f aca="false">IF($B498="","",INT((A498-1)/Parametros!$C$10)+1)</f>
        <v/>
      </c>
      <c r="P498" s="41" t="str">
        <f aca="false">IF($B498="","",IF(OR(C498="",D498=""),"",ROUND((D498-C498)*1440,0)))</f>
        <v/>
      </c>
      <c r="Q498" s="42" t="str">
        <f aca="false">IF($B498="","",I498*VLOOKUP(E498,Parametros!$B$18:$D$24,2,FALSE()))</f>
        <v/>
      </c>
      <c r="R498" s="42" t="str">
        <f aca="false">IF($B498="","",G498*VLOOKUP(E498,Parametros!$B$18:$D$24,3,FALSE()))</f>
        <v/>
      </c>
      <c r="S498" s="42" t="str">
        <f aca="false">IF($B498="","",Q498-R498)</f>
        <v/>
      </c>
      <c r="T498" s="43" t="str">
        <f aca="false">IF($B498="","",IF(S498&gt;0,"G","P"))</f>
        <v/>
      </c>
      <c r="U498" s="44" t="str">
        <f aca="false">IF($B498="","",S498/Parametros!$C$8)</f>
        <v/>
      </c>
      <c r="V498" s="42" t="str">
        <f aca="false">IF($B498="","",Parametros!$C$6+SUM($S$7:S498))</f>
        <v/>
      </c>
      <c r="W498" s="42" t="str">
        <f aca="false">IF($B498="","",MAX(V498,W497))</f>
        <v/>
      </c>
      <c r="X498" s="42" t="str">
        <f aca="false">IF($B498="","",V498-W498)</f>
        <v/>
      </c>
      <c r="Y498" s="45" t="str">
        <f aca="false">IF($B498="","",X498/W498)</f>
        <v/>
      </c>
      <c r="Z498" s="36" t="str">
        <f aca="false">IF($B498="","",IF(T498="G",IF(N(Z497)&gt;0,Z497+1,1),IF(N(Z497)&lt;0,Z497-1,-1)))</f>
        <v/>
      </c>
      <c r="AA498" s="46" t="str">
        <f aca="false">IF($B498="","",B498-WEEKDAY(B498,2)+1)</f>
        <v/>
      </c>
      <c r="AB498" s="47" t="str">
        <f aca="false">IF($B498="","",DATE(YEAR(B498),MONTH(B498),1))</f>
        <v/>
      </c>
      <c r="AC498" s="41" t="str">
        <f aca="false">IF($B498="","",CHOOSE(WEEKDAY(B498,2),"Lunes","Martes","Miércoles","Jueves","Viernes","Sábado","Domingo"))</f>
        <v/>
      </c>
      <c r="AD498" s="36" t="str">
        <f aca="false">IF($B498="","",HOUR(C498))</f>
        <v/>
      </c>
      <c r="AE498" s="42" t="str">
        <f aca="false">IF($B498="","",IF(O498&lt;&gt;O497,MAX(V498-S498,V498),MAX(V498,AE497)))</f>
        <v/>
      </c>
      <c r="AF498" s="42" t="str">
        <f aca="false">IF($B498="","",V498-AE498)</f>
        <v/>
      </c>
      <c r="AG498" s="36" t="str">
        <f aca="false">IF($B498="","",IF(O498&lt;&gt;O497,IF(T498="G",1,-1),IF(T498="G",IF(N(AG497)&gt;0,AG497+1,1),IF(N(AG497)&lt;0,AG497-1,-1))))</f>
        <v/>
      </c>
    </row>
    <row r="499" customFormat="false" ht="15" hidden="false" customHeight="false" outlineLevel="0" collapsed="false">
      <c r="A499" s="36" t="str">
        <f aca="false">IF(B499="","",ROW()-6)</f>
        <v/>
      </c>
      <c r="B499" s="37"/>
      <c r="C499" s="38"/>
      <c r="D499" s="38"/>
      <c r="E499" s="39"/>
      <c r="F499" s="39"/>
      <c r="G499" s="39"/>
      <c r="H499" s="40"/>
      <c r="I499" s="40"/>
      <c r="J499" s="40"/>
      <c r="K499" s="40"/>
      <c r="L499" s="39"/>
      <c r="M499" s="40"/>
      <c r="N499" s="40"/>
      <c r="O499" s="36" t="str">
        <f aca="false">IF($B499="","",INT((A499-1)/Parametros!$C$10)+1)</f>
        <v/>
      </c>
      <c r="P499" s="41" t="str">
        <f aca="false">IF($B499="","",IF(OR(C499="",D499=""),"",ROUND((D499-C499)*1440,0)))</f>
        <v/>
      </c>
      <c r="Q499" s="42" t="str">
        <f aca="false">IF($B499="","",I499*VLOOKUP(E499,Parametros!$B$18:$D$24,2,FALSE()))</f>
        <v/>
      </c>
      <c r="R499" s="42" t="str">
        <f aca="false">IF($B499="","",G499*VLOOKUP(E499,Parametros!$B$18:$D$24,3,FALSE()))</f>
        <v/>
      </c>
      <c r="S499" s="42" t="str">
        <f aca="false">IF($B499="","",Q499-R499)</f>
        <v/>
      </c>
      <c r="T499" s="43" t="str">
        <f aca="false">IF($B499="","",IF(S499&gt;0,"G","P"))</f>
        <v/>
      </c>
      <c r="U499" s="44" t="str">
        <f aca="false">IF($B499="","",S499/Parametros!$C$8)</f>
        <v/>
      </c>
      <c r="V499" s="42" t="str">
        <f aca="false">IF($B499="","",Parametros!$C$6+SUM($S$7:S499))</f>
        <v/>
      </c>
      <c r="W499" s="42" t="str">
        <f aca="false">IF($B499="","",MAX(V499,W498))</f>
        <v/>
      </c>
      <c r="X499" s="42" t="str">
        <f aca="false">IF($B499="","",V499-W499)</f>
        <v/>
      </c>
      <c r="Y499" s="45" t="str">
        <f aca="false">IF($B499="","",X499/W499)</f>
        <v/>
      </c>
      <c r="Z499" s="36" t="str">
        <f aca="false">IF($B499="","",IF(T499="G",IF(N(Z498)&gt;0,Z498+1,1),IF(N(Z498)&lt;0,Z498-1,-1)))</f>
        <v/>
      </c>
      <c r="AA499" s="46" t="str">
        <f aca="false">IF($B499="","",B499-WEEKDAY(B499,2)+1)</f>
        <v/>
      </c>
      <c r="AB499" s="47" t="str">
        <f aca="false">IF($B499="","",DATE(YEAR(B499),MONTH(B499),1))</f>
        <v/>
      </c>
      <c r="AC499" s="41" t="str">
        <f aca="false">IF($B499="","",CHOOSE(WEEKDAY(B499,2),"Lunes","Martes","Miércoles","Jueves","Viernes","Sábado","Domingo"))</f>
        <v/>
      </c>
      <c r="AD499" s="36" t="str">
        <f aca="false">IF($B499="","",HOUR(C499))</f>
        <v/>
      </c>
      <c r="AE499" s="42" t="str">
        <f aca="false">IF($B499="","",IF(O499&lt;&gt;O498,MAX(V499-S499,V499),MAX(V499,AE498)))</f>
        <v/>
      </c>
      <c r="AF499" s="42" t="str">
        <f aca="false">IF($B499="","",V499-AE499)</f>
        <v/>
      </c>
      <c r="AG499" s="36" t="str">
        <f aca="false">IF($B499="","",IF(O499&lt;&gt;O498,IF(T499="G",1,-1),IF(T499="G",IF(N(AG498)&gt;0,AG498+1,1),IF(N(AG498)&lt;0,AG498-1,-1))))</f>
        <v/>
      </c>
    </row>
    <row r="500" customFormat="false" ht="15" hidden="false" customHeight="false" outlineLevel="0" collapsed="false">
      <c r="A500" s="36" t="str">
        <f aca="false">IF(B500="","",ROW()-6)</f>
        <v/>
      </c>
      <c r="B500" s="37"/>
      <c r="C500" s="38"/>
      <c r="D500" s="38"/>
      <c r="E500" s="39"/>
      <c r="F500" s="39"/>
      <c r="G500" s="39"/>
      <c r="H500" s="40"/>
      <c r="I500" s="40"/>
      <c r="J500" s="40"/>
      <c r="K500" s="40"/>
      <c r="L500" s="39"/>
      <c r="M500" s="40"/>
      <c r="N500" s="40"/>
      <c r="O500" s="36" t="str">
        <f aca="false">IF($B500="","",INT((A500-1)/Parametros!$C$10)+1)</f>
        <v/>
      </c>
      <c r="P500" s="41" t="str">
        <f aca="false">IF($B500="","",IF(OR(C500="",D500=""),"",ROUND((D500-C500)*1440,0)))</f>
        <v/>
      </c>
      <c r="Q500" s="42" t="str">
        <f aca="false">IF($B500="","",I500*VLOOKUP(E500,Parametros!$B$18:$D$24,2,FALSE()))</f>
        <v/>
      </c>
      <c r="R500" s="42" t="str">
        <f aca="false">IF($B500="","",G500*VLOOKUP(E500,Parametros!$B$18:$D$24,3,FALSE()))</f>
        <v/>
      </c>
      <c r="S500" s="42" t="str">
        <f aca="false">IF($B500="","",Q500-R500)</f>
        <v/>
      </c>
      <c r="T500" s="43" t="str">
        <f aca="false">IF($B500="","",IF(S500&gt;0,"G","P"))</f>
        <v/>
      </c>
      <c r="U500" s="44" t="str">
        <f aca="false">IF($B500="","",S500/Parametros!$C$8)</f>
        <v/>
      </c>
      <c r="V500" s="42" t="str">
        <f aca="false">IF($B500="","",Parametros!$C$6+SUM($S$7:S500))</f>
        <v/>
      </c>
      <c r="W500" s="42" t="str">
        <f aca="false">IF($B500="","",MAX(V500,W499))</f>
        <v/>
      </c>
      <c r="X500" s="42" t="str">
        <f aca="false">IF($B500="","",V500-W500)</f>
        <v/>
      </c>
      <c r="Y500" s="45" t="str">
        <f aca="false">IF($B500="","",X500/W500)</f>
        <v/>
      </c>
      <c r="Z500" s="36" t="str">
        <f aca="false">IF($B500="","",IF(T500="G",IF(N(Z499)&gt;0,Z499+1,1),IF(N(Z499)&lt;0,Z499-1,-1)))</f>
        <v/>
      </c>
      <c r="AA500" s="46" t="str">
        <f aca="false">IF($B500="","",B500-WEEKDAY(B500,2)+1)</f>
        <v/>
      </c>
      <c r="AB500" s="47" t="str">
        <f aca="false">IF($B500="","",DATE(YEAR(B500),MONTH(B500),1))</f>
        <v/>
      </c>
      <c r="AC500" s="41" t="str">
        <f aca="false">IF($B500="","",CHOOSE(WEEKDAY(B500,2),"Lunes","Martes","Miércoles","Jueves","Viernes","Sábado","Domingo"))</f>
        <v/>
      </c>
      <c r="AD500" s="36" t="str">
        <f aca="false">IF($B500="","",HOUR(C500))</f>
        <v/>
      </c>
      <c r="AE500" s="42" t="str">
        <f aca="false">IF($B500="","",IF(O500&lt;&gt;O499,MAX(V500-S500,V500),MAX(V500,AE499)))</f>
        <v/>
      </c>
      <c r="AF500" s="42" t="str">
        <f aca="false">IF($B500="","",V500-AE500)</f>
        <v/>
      </c>
      <c r="AG500" s="36" t="str">
        <f aca="false">IF($B500="","",IF(O500&lt;&gt;O499,IF(T500="G",1,-1),IF(T500="G",IF(N(AG499)&gt;0,AG499+1,1),IF(N(AG499)&lt;0,AG499-1,-1))))</f>
        <v/>
      </c>
    </row>
    <row r="501" customFormat="false" ht="15" hidden="false" customHeight="false" outlineLevel="0" collapsed="false">
      <c r="A501" s="36" t="str">
        <f aca="false">IF(B501="","",ROW()-6)</f>
        <v/>
      </c>
      <c r="B501" s="37"/>
      <c r="C501" s="38"/>
      <c r="D501" s="38"/>
      <c r="E501" s="39"/>
      <c r="F501" s="39"/>
      <c r="G501" s="39"/>
      <c r="H501" s="40"/>
      <c r="I501" s="40"/>
      <c r="J501" s="40"/>
      <c r="K501" s="40"/>
      <c r="L501" s="39"/>
      <c r="M501" s="40"/>
      <c r="N501" s="40"/>
      <c r="O501" s="36" t="str">
        <f aca="false">IF($B501="","",INT((A501-1)/Parametros!$C$10)+1)</f>
        <v/>
      </c>
      <c r="P501" s="41" t="str">
        <f aca="false">IF($B501="","",IF(OR(C501="",D501=""),"",ROUND((D501-C501)*1440,0)))</f>
        <v/>
      </c>
      <c r="Q501" s="42" t="str">
        <f aca="false">IF($B501="","",I501*VLOOKUP(E501,Parametros!$B$18:$D$24,2,FALSE()))</f>
        <v/>
      </c>
      <c r="R501" s="42" t="str">
        <f aca="false">IF($B501="","",G501*VLOOKUP(E501,Parametros!$B$18:$D$24,3,FALSE()))</f>
        <v/>
      </c>
      <c r="S501" s="42" t="str">
        <f aca="false">IF($B501="","",Q501-R501)</f>
        <v/>
      </c>
      <c r="T501" s="43" t="str">
        <f aca="false">IF($B501="","",IF(S501&gt;0,"G","P"))</f>
        <v/>
      </c>
      <c r="U501" s="44" t="str">
        <f aca="false">IF($B501="","",S501/Parametros!$C$8)</f>
        <v/>
      </c>
      <c r="V501" s="42" t="str">
        <f aca="false">IF($B501="","",Parametros!$C$6+SUM($S$7:S501))</f>
        <v/>
      </c>
      <c r="W501" s="42" t="str">
        <f aca="false">IF($B501="","",MAX(V501,W500))</f>
        <v/>
      </c>
      <c r="X501" s="42" t="str">
        <f aca="false">IF($B501="","",V501-W501)</f>
        <v/>
      </c>
      <c r="Y501" s="45" t="str">
        <f aca="false">IF($B501="","",X501/W501)</f>
        <v/>
      </c>
      <c r="Z501" s="36" t="str">
        <f aca="false">IF($B501="","",IF(T501="G",IF(N(Z500)&gt;0,Z500+1,1),IF(N(Z500)&lt;0,Z500-1,-1)))</f>
        <v/>
      </c>
      <c r="AA501" s="46" t="str">
        <f aca="false">IF($B501="","",B501-WEEKDAY(B501,2)+1)</f>
        <v/>
      </c>
      <c r="AB501" s="47" t="str">
        <f aca="false">IF($B501="","",DATE(YEAR(B501),MONTH(B501),1))</f>
        <v/>
      </c>
      <c r="AC501" s="41" t="str">
        <f aca="false">IF($B501="","",CHOOSE(WEEKDAY(B501,2),"Lunes","Martes","Miércoles","Jueves","Viernes","Sábado","Domingo"))</f>
        <v/>
      </c>
      <c r="AD501" s="36" t="str">
        <f aca="false">IF($B501="","",HOUR(C501))</f>
        <v/>
      </c>
      <c r="AE501" s="42" t="str">
        <f aca="false">IF($B501="","",IF(O501&lt;&gt;O500,MAX(V501-S501,V501),MAX(V501,AE500)))</f>
        <v/>
      </c>
      <c r="AF501" s="42" t="str">
        <f aca="false">IF($B501="","",V501-AE501)</f>
        <v/>
      </c>
      <c r="AG501" s="36" t="str">
        <f aca="false">IF($B501="","",IF(O501&lt;&gt;O500,IF(T501="G",1,-1),IF(T501="G",IF(N(AG500)&gt;0,AG500+1,1),IF(N(AG500)&lt;0,AG500-1,-1))))</f>
        <v/>
      </c>
    </row>
    <row r="502" customFormat="false" ht="15" hidden="false" customHeight="false" outlineLevel="0" collapsed="false">
      <c r="A502" s="36" t="str">
        <f aca="false">IF(B502="","",ROW()-6)</f>
        <v/>
      </c>
      <c r="B502" s="37"/>
      <c r="C502" s="38"/>
      <c r="D502" s="38"/>
      <c r="E502" s="39"/>
      <c r="F502" s="39"/>
      <c r="G502" s="39"/>
      <c r="H502" s="40"/>
      <c r="I502" s="40"/>
      <c r="J502" s="40"/>
      <c r="K502" s="40"/>
      <c r="L502" s="39"/>
      <c r="M502" s="40"/>
      <c r="N502" s="40"/>
      <c r="O502" s="36" t="str">
        <f aca="false">IF($B502="","",INT((A502-1)/Parametros!$C$10)+1)</f>
        <v/>
      </c>
      <c r="P502" s="41" t="str">
        <f aca="false">IF($B502="","",IF(OR(C502="",D502=""),"",ROUND((D502-C502)*1440,0)))</f>
        <v/>
      </c>
      <c r="Q502" s="42" t="str">
        <f aca="false">IF($B502="","",I502*VLOOKUP(E502,Parametros!$B$18:$D$24,2,FALSE()))</f>
        <v/>
      </c>
      <c r="R502" s="42" t="str">
        <f aca="false">IF($B502="","",G502*VLOOKUP(E502,Parametros!$B$18:$D$24,3,FALSE()))</f>
        <v/>
      </c>
      <c r="S502" s="42" t="str">
        <f aca="false">IF($B502="","",Q502-R502)</f>
        <v/>
      </c>
      <c r="T502" s="43" t="str">
        <f aca="false">IF($B502="","",IF(S502&gt;0,"G","P"))</f>
        <v/>
      </c>
      <c r="U502" s="44" t="str">
        <f aca="false">IF($B502="","",S502/Parametros!$C$8)</f>
        <v/>
      </c>
      <c r="V502" s="42" t="str">
        <f aca="false">IF($B502="","",Parametros!$C$6+SUM($S$7:S502))</f>
        <v/>
      </c>
      <c r="W502" s="42" t="str">
        <f aca="false">IF($B502="","",MAX(V502,W501))</f>
        <v/>
      </c>
      <c r="X502" s="42" t="str">
        <f aca="false">IF($B502="","",V502-W502)</f>
        <v/>
      </c>
      <c r="Y502" s="45" t="str">
        <f aca="false">IF($B502="","",X502/W502)</f>
        <v/>
      </c>
      <c r="Z502" s="36" t="str">
        <f aca="false">IF($B502="","",IF(T502="G",IF(N(Z501)&gt;0,Z501+1,1),IF(N(Z501)&lt;0,Z501-1,-1)))</f>
        <v/>
      </c>
      <c r="AA502" s="46" t="str">
        <f aca="false">IF($B502="","",B502-WEEKDAY(B502,2)+1)</f>
        <v/>
      </c>
      <c r="AB502" s="47" t="str">
        <f aca="false">IF($B502="","",DATE(YEAR(B502),MONTH(B502),1))</f>
        <v/>
      </c>
      <c r="AC502" s="41" t="str">
        <f aca="false">IF($B502="","",CHOOSE(WEEKDAY(B502,2),"Lunes","Martes","Miércoles","Jueves","Viernes","Sábado","Domingo"))</f>
        <v/>
      </c>
      <c r="AD502" s="36" t="str">
        <f aca="false">IF($B502="","",HOUR(C502))</f>
        <v/>
      </c>
      <c r="AE502" s="42" t="str">
        <f aca="false">IF($B502="","",IF(O502&lt;&gt;O501,MAX(V502-S502,V502),MAX(V502,AE501)))</f>
        <v/>
      </c>
      <c r="AF502" s="42" t="str">
        <f aca="false">IF($B502="","",V502-AE502)</f>
        <v/>
      </c>
      <c r="AG502" s="36" t="str">
        <f aca="false">IF($B502="","",IF(O502&lt;&gt;O501,IF(T502="G",1,-1),IF(T502="G",IF(N(AG501)&gt;0,AG501+1,1),IF(N(AG501)&lt;0,AG501-1,-1))))</f>
        <v/>
      </c>
    </row>
    <row r="503" customFormat="false" ht="15" hidden="false" customHeight="false" outlineLevel="0" collapsed="false">
      <c r="A503" s="36" t="str">
        <f aca="false">IF(B503="","",ROW()-6)</f>
        <v/>
      </c>
      <c r="B503" s="37"/>
      <c r="C503" s="38"/>
      <c r="D503" s="38"/>
      <c r="E503" s="39"/>
      <c r="F503" s="39"/>
      <c r="G503" s="39"/>
      <c r="H503" s="40"/>
      <c r="I503" s="40"/>
      <c r="J503" s="40"/>
      <c r="K503" s="40"/>
      <c r="L503" s="39"/>
      <c r="M503" s="40"/>
      <c r="N503" s="40"/>
      <c r="O503" s="36" t="str">
        <f aca="false">IF($B503="","",INT((A503-1)/Parametros!$C$10)+1)</f>
        <v/>
      </c>
      <c r="P503" s="41" t="str">
        <f aca="false">IF($B503="","",IF(OR(C503="",D503=""),"",ROUND((D503-C503)*1440,0)))</f>
        <v/>
      </c>
      <c r="Q503" s="42" t="str">
        <f aca="false">IF($B503="","",I503*VLOOKUP(E503,Parametros!$B$18:$D$24,2,FALSE()))</f>
        <v/>
      </c>
      <c r="R503" s="42" t="str">
        <f aca="false">IF($B503="","",G503*VLOOKUP(E503,Parametros!$B$18:$D$24,3,FALSE()))</f>
        <v/>
      </c>
      <c r="S503" s="42" t="str">
        <f aca="false">IF($B503="","",Q503-R503)</f>
        <v/>
      </c>
      <c r="T503" s="43" t="str">
        <f aca="false">IF($B503="","",IF(S503&gt;0,"G","P"))</f>
        <v/>
      </c>
      <c r="U503" s="44" t="str">
        <f aca="false">IF($B503="","",S503/Parametros!$C$8)</f>
        <v/>
      </c>
      <c r="V503" s="42" t="str">
        <f aca="false">IF($B503="","",Parametros!$C$6+SUM($S$7:S503))</f>
        <v/>
      </c>
      <c r="W503" s="42" t="str">
        <f aca="false">IF($B503="","",MAX(V503,W502))</f>
        <v/>
      </c>
      <c r="X503" s="42" t="str">
        <f aca="false">IF($B503="","",V503-W503)</f>
        <v/>
      </c>
      <c r="Y503" s="45" t="str">
        <f aca="false">IF($B503="","",X503/W503)</f>
        <v/>
      </c>
      <c r="Z503" s="36" t="str">
        <f aca="false">IF($B503="","",IF(T503="G",IF(N(Z502)&gt;0,Z502+1,1),IF(N(Z502)&lt;0,Z502-1,-1)))</f>
        <v/>
      </c>
      <c r="AA503" s="46" t="str">
        <f aca="false">IF($B503="","",B503-WEEKDAY(B503,2)+1)</f>
        <v/>
      </c>
      <c r="AB503" s="47" t="str">
        <f aca="false">IF($B503="","",DATE(YEAR(B503),MONTH(B503),1))</f>
        <v/>
      </c>
      <c r="AC503" s="41" t="str">
        <f aca="false">IF($B503="","",CHOOSE(WEEKDAY(B503,2),"Lunes","Martes","Miércoles","Jueves","Viernes","Sábado","Domingo"))</f>
        <v/>
      </c>
      <c r="AD503" s="36" t="str">
        <f aca="false">IF($B503="","",HOUR(C503))</f>
        <v/>
      </c>
      <c r="AE503" s="42" t="str">
        <f aca="false">IF($B503="","",IF(O503&lt;&gt;O502,MAX(V503-S503,V503),MAX(V503,AE502)))</f>
        <v/>
      </c>
      <c r="AF503" s="42" t="str">
        <f aca="false">IF($B503="","",V503-AE503)</f>
        <v/>
      </c>
      <c r="AG503" s="36" t="str">
        <f aca="false">IF($B503="","",IF(O503&lt;&gt;O502,IF(T503="G",1,-1),IF(T503="G",IF(N(AG502)&gt;0,AG502+1,1),IF(N(AG502)&lt;0,AG502-1,-1))))</f>
        <v/>
      </c>
    </row>
    <row r="504" customFormat="false" ht="15" hidden="false" customHeight="false" outlineLevel="0" collapsed="false">
      <c r="A504" s="36" t="str">
        <f aca="false">IF(B504="","",ROW()-6)</f>
        <v/>
      </c>
      <c r="B504" s="37"/>
      <c r="C504" s="38"/>
      <c r="D504" s="38"/>
      <c r="E504" s="39"/>
      <c r="F504" s="39"/>
      <c r="G504" s="39"/>
      <c r="H504" s="40"/>
      <c r="I504" s="40"/>
      <c r="J504" s="40"/>
      <c r="K504" s="40"/>
      <c r="L504" s="39"/>
      <c r="M504" s="40"/>
      <c r="N504" s="40"/>
      <c r="O504" s="36" t="str">
        <f aca="false">IF($B504="","",INT((A504-1)/Parametros!$C$10)+1)</f>
        <v/>
      </c>
      <c r="P504" s="41" t="str">
        <f aca="false">IF($B504="","",IF(OR(C504="",D504=""),"",ROUND((D504-C504)*1440,0)))</f>
        <v/>
      </c>
      <c r="Q504" s="42" t="str">
        <f aca="false">IF($B504="","",I504*VLOOKUP(E504,Parametros!$B$18:$D$24,2,FALSE()))</f>
        <v/>
      </c>
      <c r="R504" s="42" t="str">
        <f aca="false">IF($B504="","",G504*VLOOKUP(E504,Parametros!$B$18:$D$24,3,FALSE()))</f>
        <v/>
      </c>
      <c r="S504" s="42" t="str">
        <f aca="false">IF($B504="","",Q504-R504)</f>
        <v/>
      </c>
      <c r="T504" s="43" t="str">
        <f aca="false">IF($B504="","",IF(S504&gt;0,"G","P"))</f>
        <v/>
      </c>
      <c r="U504" s="44" t="str">
        <f aca="false">IF($B504="","",S504/Parametros!$C$8)</f>
        <v/>
      </c>
      <c r="V504" s="42" t="str">
        <f aca="false">IF($B504="","",Parametros!$C$6+SUM($S$7:S504))</f>
        <v/>
      </c>
      <c r="W504" s="42" t="str">
        <f aca="false">IF($B504="","",MAX(V504,W503))</f>
        <v/>
      </c>
      <c r="X504" s="42" t="str">
        <f aca="false">IF($B504="","",V504-W504)</f>
        <v/>
      </c>
      <c r="Y504" s="45" t="str">
        <f aca="false">IF($B504="","",X504/W504)</f>
        <v/>
      </c>
      <c r="Z504" s="36" t="str">
        <f aca="false">IF($B504="","",IF(T504="G",IF(N(Z503)&gt;0,Z503+1,1),IF(N(Z503)&lt;0,Z503-1,-1)))</f>
        <v/>
      </c>
      <c r="AA504" s="46" t="str">
        <f aca="false">IF($B504="","",B504-WEEKDAY(B504,2)+1)</f>
        <v/>
      </c>
      <c r="AB504" s="47" t="str">
        <f aca="false">IF($B504="","",DATE(YEAR(B504),MONTH(B504),1))</f>
        <v/>
      </c>
      <c r="AC504" s="41" t="str">
        <f aca="false">IF($B504="","",CHOOSE(WEEKDAY(B504,2),"Lunes","Martes","Miércoles","Jueves","Viernes","Sábado","Domingo"))</f>
        <v/>
      </c>
      <c r="AD504" s="36" t="str">
        <f aca="false">IF($B504="","",HOUR(C504))</f>
        <v/>
      </c>
      <c r="AE504" s="42" t="str">
        <f aca="false">IF($B504="","",IF(O504&lt;&gt;O503,MAX(V504-S504,V504),MAX(V504,AE503)))</f>
        <v/>
      </c>
      <c r="AF504" s="42" t="str">
        <f aca="false">IF($B504="","",V504-AE504)</f>
        <v/>
      </c>
      <c r="AG504" s="36" t="str">
        <f aca="false">IF($B504="","",IF(O504&lt;&gt;O503,IF(T504="G",1,-1),IF(T504="G",IF(N(AG503)&gt;0,AG503+1,1),IF(N(AG503)&lt;0,AG503-1,-1))))</f>
        <v/>
      </c>
    </row>
    <row r="505" customFormat="false" ht="15" hidden="false" customHeight="false" outlineLevel="0" collapsed="false">
      <c r="A505" s="36" t="str">
        <f aca="false">IF(B505="","",ROW()-6)</f>
        <v/>
      </c>
      <c r="B505" s="37"/>
      <c r="C505" s="38"/>
      <c r="D505" s="38"/>
      <c r="E505" s="39"/>
      <c r="F505" s="39"/>
      <c r="G505" s="39"/>
      <c r="H505" s="40"/>
      <c r="I505" s="40"/>
      <c r="J505" s="40"/>
      <c r="K505" s="40"/>
      <c r="L505" s="39"/>
      <c r="M505" s="40"/>
      <c r="N505" s="40"/>
      <c r="O505" s="36" t="str">
        <f aca="false">IF($B505="","",INT((A505-1)/Parametros!$C$10)+1)</f>
        <v/>
      </c>
      <c r="P505" s="41" t="str">
        <f aca="false">IF($B505="","",IF(OR(C505="",D505=""),"",ROUND((D505-C505)*1440,0)))</f>
        <v/>
      </c>
      <c r="Q505" s="42" t="str">
        <f aca="false">IF($B505="","",I505*VLOOKUP(E505,Parametros!$B$18:$D$24,2,FALSE()))</f>
        <v/>
      </c>
      <c r="R505" s="42" t="str">
        <f aca="false">IF($B505="","",G505*VLOOKUP(E505,Parametros!$B$18:$D$24,3,FALSE()))</f>
        <v/>
      </c>
      <c r="S505" s="42" t="str">
        <f aca="false">IF($B505="","",Q505-R505)</f>
        <v/>
      </c>
      <c r="T505" s="43" t="str">
        <f aca="false">IF($B505="","",IF(S505&gt;0,"G","P"))</f>
        <v/>
      </c>
      <c r="U505" s="44" t="str">
        <f aca="false">IF($B505="","",S505/Parametros!$C$8)</f>
        <v/>
      </c>
      <c r="V505" s="42" t="str">
        <f aca="false">IF($B505="","",Parametros!$C$6+SUM($S$7:S505))</f>
        <v/>
      </c>
      <c r="W505" s="42" t="str">
        <f aca="false">IF($B505="","",MAX(V505,W504))</f>
        <v/>
      </c>
      <c r="X505" s="42" t="str">
        <f aca="false">IF($B505="","",V505-W505)</f>
        <v/>
      </c>
      <c r="Y505" s="45" t="str">
        <f aca="false">IF($B505="","",X505/W505)</f>
        <v/>
      </c>
      <c r="Z505" s="36" t="str">
        <f aca="false">IF($B505="","",IF(T505="G",IF(N(Z504)&gt;0,Z504+1,1),IF(N(Z504)&lt;0,Z504-1,-1)))</f>
        <v/>
      </c>
      <c r="AA505" s="46" t="str">
        <f aca="false">IF($B505="","",B505-WEEKDAY(B505,2)+1)</f>
        <v/>
      </c>
      <c r="AB505" s="47" t="str">
        <f aca="false">IF($B505="","",DATE(YEAR(B505),MONTH(B505),1))</f>
        <v/>
      </c>
      <c r="AC505" s="41" t="str">
        <f aca="false">IF($B505="","",CHOOSE(WEEKDAY(B505,2),"Lunes","Martes","Miércoles","Jueves","Viernes","Sábado","Domingo"))</f>
        <v/>
      </c>
      <c r="AD505" s="36" t="str">
        <f aca="false">IF($B505="","",HOUR(C505))</f>
        <v/>
      </c>
      <c r="AE505" s="42" t="str">
        <f aca="false">IF($B505="","",IF(O505&lt;&gt;O504,MAX(V505-S505,V505),MAX(V505,AE504)))</f>
        <v/>
      </c>
      <c r="AF505" s="42" t="str">
        <f aca="false">IF($B505="","",V505-AE505)</f>
        <v/>
      </c>
      <c r="AG505" s="36" t="str">
        <f aca="false">IF($B505="","",IF(O505&lt;&gt;O504,IF(T505="G",1,-1),IF(T505="G",IF(N(AG504)&gt;0,AG504+1,1),IF(N(AG504)&lt;0,AG504-1,-1))))</f>
        <v/>
      </c>
    </row>
    <row r="506" customFormat="false" ht="15" hidden="false" customHeight="false" outlineLevel="0" collapsed="false">
      <c r="A506" s="36" t="str">
        <f aca="false">IF(B506="","",ROW()-6)</f>
        <v/>
      </c>
      <c r="B506" s="37"/>
      <c r="C506" s="38"/>
      <c r="D506" s="38"/>
      <c r="E506" s="39"/>
      <c r="F506" s="39"/>
      <c r="G506" s="39"/>
      <c r="H506" s="40"/>
      <c r="I506" s="40"/>
      <c r="J506" s="40"/>
      <c r="K506" s="40"/>
      <c r="L506" s="39"/>
      <c r="M506" s="40"/>
      <c r="N506" s="40"/>
      <c r="O506" s="36" t="str">
        <f aca="false">IF($B506="","",INT((A506-1)/Parametros!$C$10)+1)</f>
        <v/>
      </c>
      <c r="P506" s="41" t="str">
        <f aca="false">IF($B506="","",IF(OR(C506="",D506=""),"",ROUND((D506-C506)*1440,0)))</f>
        <v/>
      </c>
      <c r="Q506" s="42" t="str">
        <f aca="false">IF($B506="","",I506*VLOOKUP(E506,Parametros!$B$18:$D$24,2,FALSE()))</f>
        <v/>
      </c>
      <c r="R506" s="42" t="str">
        <f aca="false">IF($B506="","",G506*VLOOKUP(E506,Parametros!$B$18:$D$24,3,FALSE()))</f>
        <v/>
      </c>
      <c r="S506" s="42" t="str">
        <f aca="false">IF($B506="","",Q506-R506)</f>
        <v/>
      </c>
      <c r="T506" s="43" t="str">
        <f aca="false">IF($B506="","",IF(S506&gt;0,"G","P"))</f>
        <v/>
      </c>
      <c r="U506" s="44" t="str">
        <f aca="false">IF($B506="","",S506/Parametros!$C$8)</f>
        <v/>
      </c>
      <c r="V506" s="42" t="str">
        <f aca="false">IF($B506="","",Parametros!$C$6+SUM($S$7:S506))</f>
        <v/>
      </c>
      <c r="W506" s="42" t="str">
        <f aca="false">IF($B506="","",MAX(V506,W505))</f>
        <v/>
      </c>
      <c r="X506" s="42" t="str">
        <f aca="false">IF($B506="","",V506-W506)</f>
        <v/>
      </c>
      <c r="Y506" s="45" t="str">
        <f aca="false">IF($B506="","",X506/W506)</f>
        <v/>
      </c>
      <c r="Z506" s="36" t="str">
        <f aca="false">IF($B506="","",IF(T506="G",IF(N(Z505)&gt;0,Z505+1,1),IF(N(Z505)&lt;0,Z505-1,-1)))</f>
        <v/>
      </c>
      <c r="AA506" s="46" t="str">
        <f aca="false">IF($B506="","",B506-WEEKDAY(B506,2)+1)</f>
        <v/>
      </c>
      <c r="AB506" s="47" t="str">
        <f aca="false">IF($B506="","",DATE(YEAR(B506),MONTH(B506),1))</f>
        <v/>
      </c>
      <c r="AC506" s="41" t="str">
        <f aca="false">IF($B506="","",CHOOSE(WEEKDAY(B506,2),"Lunes","Martes","Miércoles","Jueves","Viernes","Sábado","Domingo"))</f>
        <v/>
      </c>
      <c r="AD506" s="36" t="str">
        <f aca="false">IF($B506="","",HOUR(C506))</f>
        <v/>
      </c>
      <c r="AE506" s="42" t="str">
        <f aca="false">IF($B506="","",IF(O506&lt;&gt;O505,MAX(V506-S506,V506),MAX(V506,AE505)))</f>
        <v/>
      </c>
      <c r="AF506" s="42" t="str">
        <f aca="false">IF($B506="","",V506-AE506)</f>
        <v/>
      </c>
      <c r="AG506" s="36" t="str">
        <f aca="false">IF($B506="","",IF(O506&lt;&gt;O505,IF(T506="G",1,-1),IF(T506="G",IF(N(AG505)&gt;0,AG505+1,1),IF(N(AG505)&lt;0,AG505-1,-1))))</f>
        <v/>
      </c>
    </row>
  </sheetData>
  <mergeCells count="5">
    <mergeCell ref="B2:N2"/>
    <mergeCell ref="P2:AG3"/>
    <mergeCell ref="B3:N3"/>
    <mergeCell ref="B5:N5"/>
    <mergeCell ref="O5:AG5"/>
  </mergeCells>
  <conditionalFormatting sqref="S7:U506">
    <cfRule type="expression" priority="2" aboveAverage="0" equalAverage="0" bottom="0" percent="0" rank="0" text="" dxfId="0">
      <formula>$T7="G"</formula>
    </cfRule>
    <cfRule type="expression" priority="3" aboveAverage="0" equalAverage="0" bottom="0" percent="0" rank="0" text="" dxfId="1">
      <formula>$T7="P"</formula>
    </cfRule>
  </conditionalFormatting>
  <conditionalFormatting sqref="L7:M506">
    <cfRule type="expression" priority="4" aboveAverage="0" equalAverage="0" bottom="0" percent="0" rank="0" text="" dxfId="1">
      <formula>$L7="NO"</formula>
    </cfRule>
  </conditionalFormatting>
  <conditionalFormatting sqref="A7:A506">
    <cfRule type="expression" priority="5" aboveAverage="0" equalAverage="0" bottom="0" percent="0" rank="0" text="" dxfId="6">
      <formula>AND($A7&lt;&gt;"",MOD($O7,2)=0)</formula>
    </cfRule>
  </conditionalFormatting>
  <conditionalFormatting sqref="O7:AG506">
    <cfRule type="expression" priority="6" aboveAverage="0" equalAverage="0" bottom="0" percent="0" rank="0" text="" dxfId="7">
      <formula>AND($A7&lt;&gt;"",MOD($O7,2)=0)</formula>
    </cfRule>
  </conditionalFormatting>
  <conditionalFormatting sqref="A7:AG506">
    <cfRule type="expression" priority="7" aboveAverage="0" equalAverage="0" bottom="0" percent="0" rank="0" text="" dxfId="8">
      <formula>AND($A7&lt;&gt;"",MOD($A7,20)=0)</formula>
    </cfRule>
  </conditionalFormatting>
  <dataValidations count="5">
    <dataValidation allowBlank="true" error="Usa L (largo) o C (corto)." errorStyle="stop" errorTitle="Valor no válido" operator="between" showDropDown="false" showErrorMessage="true" showInputMessage="false" sqref="F7:F506" type="list">
      <formula1>"L,C"</formula1>
      <formula2>0</formula2>
    </dataValidation>
    <dataValidation allowBlank="true" error="Usa SI o NO." errorStyle="stop" errorTitle="Valor no válido" operator="between" showDropDown="false" showErrorMessage="true" showInputMessage="false" sqref="L7:L506" type="list">
      <formula1>"SI,NO"</formula1>
      <formula2>0</formula2>
    </dataValidation>
    <dataValidation allowBlank="true" error="Símbolo no definido en Parametros." errorStyle="stop" errorTitle="Valor no válido" operator="between" showDropDown="false" showErrorMessage="true" showInputMessage="false" sqref="E7:E506" type="list">
      <formula1>Parametros!$B$18:$B$24</formula1>
      <formula2>0</formula2>
    </dataValidation>
    <dataValidation allowBlank="true" error="Patrón no definido en Parametros." errorStyle="stop" errorTitle="Valor no válido" operator="between" showDropDown="false" showErrorMessage="true" showInputMessage="false" sqref="H7:H506" type="list">
      <formula1>Parametros!$B$29:$B$38</formula1>
      <formula2>0</formula2>
    </dataValidation>
    <dataValidation allowBlank="true" error="Motivo no definido en Parametros." errorStyle="stop" errorTitle="Valor no válido" operator="between" showDropDown="false" showErrorMessage="true" showInputMessage="false" sqref="M7:M506" type="list">
      <formula1>Parametros!$E$29:$E$38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400"/>
    <pageSetUpPr fitToPage="false"/>
  </sheetPr>
  <dimension ref="B1:U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21" min="19" style="0" width="8"/>
  </cols>
  <sheetData>
    <row r="1" customFormat="false" ht="9.75" hidden="false" customHeight="true" outlineLevel="0" collapsed="false"/>
    <row r="2" customFormat="false" ht="33.75" hidden="false" customHeight="true" outlineLevel="0" collapsed="false">
      <c r="B2" s="1" t="s">
        <v>96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9.5" hidden="false" customHeight="true" outlineLevel="0" collapsed="false">
      <c r="B3" s="2" t="s">
        <v>97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3.7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6" customFormat="false" ht="21.75" hidden="false" customHeight="true" outlineLevel="0" collapsed="false">
      <c r="B6" s="48" t="s">
        <v>98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8" customFormat="false" ht="24" hidden="false" customHeight="true" outlineLevel="0" collapsed="false">
      <c r="B8" s="50" t="s">
        <v>99</v>
      </c>
      <c r="C8" s="50"/>
      <c r="D8" s="50" t="s">
        <v>13</v>
      </c>
      <c r="E8" s="50" t="s">
        <v>100</v>
      </c>
      <c r="F8" s="50" t="s">
        <v>36</v>
      </c>
      <c r="G8" s="50" t="s">
        <v>101</v>
      </c>
      <c r="H8" s="50"/>
      <c r="I8" s="50" t="s">
        <v>74</v>
      </c>
      <c r="J8" s="50"/>
      <c r="K8" s="50" t="s">
        <v>102</v>
      </c>
      <c r="L8" s="50"/>
      <c r="M8" s="50" t="s">
        <v>103</v>
      </c>
      <c r="N8" s="50"/>
      <c r="O8" s="50" t="s">
        <v>104</v>
      </c>
      <c r="P8" s="50"/>
      <c r="R8" s="51" t="str">
        <f aca="false">IF(Dashboard!O39=0,"",IF(Dashboard!O38=1,"Primer bloque: por ahora coincide con el global",IF(INDEX($L$15:$L$39,Dashboard!O38)&gt;=Dashboard!E26,"▲ El bloque actual va MEJOR que el global","▼ El bloque actual va por debajo del global")))</f>
        <v>Primer bloque: por ahora coincide con el global</v>
      </c>
      <c r="S8" s="51"/>
    </row>
    <row r="9" customFormat="false" ht="24" hidden="false" customHeight="true" outlineLevel="0" collapsed="false">
      <c r="B9" s="52" t="str">
        <f aca="false">"Bloque "&amp;Dashboard!O38</f>
        <v>Bloque 1</v>
      </c>
      <c r="C9" s="52"/>
      <c r="D9" s="53" t="n">
        <f aca="false">INDEX($C$15:$C$39,Dashboard!O38)</f>
        <v>16</v>
      </c>
      <c r="E9" s="54" t="n">
        <f aca="false">INDEX($J$15:$J$39,Dashboard!O38)</f>
        <v>0.375</v>
      </c>
      <c r="F9" s="55" t="n">
        <f aca="false">INDEX($L$15:$L$39,Dashboard!O38)</f>
        <v>1.10315301702428</v>
      </c>
      <c r="G9" s="56" t="str">
        <f aca="false">INDEX($H$15:$H$39,Dashboard!O38)&amp;" / "&amp;INDEX($I$15:$I$39,Dashboard!O38)</f>
        <v>6 / 10</v>
      </c>
      <c r="H9" s="56"/>
      <c r="I9" s="57" t="n">
        <f aca="false">INDEX($K$15:$K$39,Dashboard!O38)</f>
        <v>163.84</v>
      </c>
      <c r="J9" s="57"/>
      <c r="K9" s="57" t="n">
        <f aca="false">INDEX($M$15:$M$39,Dashboard!O38)</f>
        <v>10.24</v>
      </c>
      <c r="L9" s="57"/>
      <c r="M9" s="57" t="n">
        <f aca="false">INDEX($O$15:$O$39,Dashboard!O38)</f>
        <v>-680.959999999999</v>
      </c>
      <c r="N9" s="57"/>
      <c r="O9" s="54" t="n">
        <f aca="false">INDEX($Q$15:$Q$39,Dashboard!O38)</f>
        <v>0.9375</v>
      </c>
      <c r="P9" s="54"/>
      <c r="R9" s="51"/>
      <c r="S9" s="51"/>
    </row>
    <row r="10" customFormat="false" ht="24" hidden="false" customHeight="true" outlineLevel="0" collapsed="false">
      <c r="B10" s="58" t="str">
        <f aca="false">"Global"</f>
        <v>Global</v>
      </c>
      <c r="C10" s="58"/>
      <c r="D10" s="53" t="n">
        <f aca="false">Dashboard!E18</f>
        <v>16</v>
      </c>
      <c r="E10" s="54" t="n">
        <f aca="false">Dashboard!E21</f>
        <v>0.375</v>
      </c>
      <c r="F10" s="55" t="n">
        <f aca="false">Dashboard!E26</f>
        <v>1.10315301702428</v>
      </c>
      <c r="G10" s="56" t="str">
        <f aca="false">Dashboard!E19&amp;" / "&amp;Dashboard!E20</f>
        <v>6 / 10</v>
      </c>
      <c r="H10" s="56"/>
      <c r="I10" s="57" t="n">
        <f aca="false">Dashboard!E23</f>
        <v>163.84</v>
      </c>
      <c r="J10" s="57"/>
      <c r="K10" s="57" t="n">
        <f aca="false">Dashboard!J21</f>
        <v>10.24</v>
      </c>
      <c r="L10" s="57"/>
      <c r="M10" s="57" t="n">
        <f aca="false">Dashboard!O34</f>
        <v>-680.959999999999</v>
      </c>
      <c r="N10" s="57"/>
      <c r="O10" s="54" t="n">
        <f aca="false">Dashboard!J25</f>
        <v>0.9375</v>
      </c>
      <c r="P10" s="54"/>
      <c r="R10" s="51"/>
      <c r="S10" s="51"/>
    </row>
    <row r="12" customFormat="false" ht="21.75" hidden="false" customHeight="true" outlineLevel="0" collapsed="false">
      <c r="B12" s="48" t="s">
        <v>105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</row>
    <row r="14" customFormat="false" ht="36" hidden="false" customHeight="true" outlineLevel="0" collapsed="false">
      <c r="B14" s="50" t="s">
        <v>70</v>
      </c>
      <c r="C14" s="50" t="s">
        <v>106</v>
      </c>
      <c r="D14" s="50" t="s">
        <v>107</v>
      </c>
      <c r="E14" s="50" t="s">
        <v>108</v>
      </c>
      <c r="F14" s="50" t="s">
        <v>109</v>
      </c>
      <c r="G14" s="50" t="s">
        <v>110</v>
      </c>
      <c r="H14" s="50" t="s">
        <v>111</v>
      </c>
      <c r="I14" s="50" t="s">
        <v>112</v>
      </c>
      <c r="J14" s="50" t="s">
        <v>100</v>
      </c>
      <c r="K14" s="50" t="s">
        <v>74</v>
      </c>
      <c r="L14" s="50" t="s">
        <v>36</v>
      </c>
      <c r="M14" s="50" t="s">
        <v>102</v>
      </c>
      <c r="N14" s="50" t="s">
        <v>113</v>
      </c>
      <c r="O14" s="50" t="s">
        <v>114</v>
      </c>
      <c r="P14" s="50" t="s">
        <v>115</v>
      </c>
      <c r="Q14" s="50" t="s">
        <v>104</v>
      </c>
      <c r="R14" s="50" t="s">
        <v>116</v>
      </c>
      <c r="S14" s="50" t="s">
        <v>117</v>
      </c>
      <c r="T14" s="50" t="s">
        <v>118</v>
      </c>
      <c r="U14" s="50" t="s">
        <v>119</v>
      </c>
    </row>
    <row r="15" customFormat="false" ht="19.5" hidden="false" customHeight="true" outlineLevel="0" collapsed="false">
      <c r="B15" s="59" t="n">
        <v>1</v>
      </c>
      <c r="C15" s="60" t="n">
        <f aca="false">COUNTIFS('CARGAR OPERACIONES'!$O$7:$O$506,$B15)</f>
        <v>16</v>
      </c>
      <c r="D15" s="61" t="n">
        <f aca="false">IF(C15=0,"",C15/Parametros!$C$10)</f>
        <v>0.8</v>
      </c>
      <c r="E15" s="62" t="str">
        <f aca="false">IF(C15=0,"Pendiente",IF(C15&gt;=Parametros!$C$10,"Completado","En curso"))</f>
        <v>En curso</v>
      </c>
      <c r="F15" s="63" t="n">
        <f aca="false">IF(C15=0,"-",_xlfn.MINIFS('CARGAR OPERACIONES'!$B$7:$B$506,'CARGAR OPERACIONES'!$O$7:$O$506,$B15))</f>
        <v>46248</v>
      </c>
      <c r="G15" s="63" t="n">
        <f aca="false">IF(C15=0,"-",_xlfn.MAXIFS('CARGAR OPERACIONES'!$B$7:$B$506,'CARGAR OPERACIONES'!$O$7:$O$506,$B15))</f>
        <v>46304</v>
      </c>
      <c r="H15" s="60" t="n">
        <f aca="false">COUNTIFS('CARGAR OPERACIONES'!$O$7:$O$506,$B15,'CARGAR OPERACIONES'!$S$7:$S$506,"&gt;0")</f>
        <v>6</v>
      </c>
      <c r="I15" s="60" t="n">
        <f aca="false">COUNTIFS('CARGAR OPERACIONES'!$O$7:$O$506,$B15,'CARGAR OPERACIONES'!$S$7:$S$506,"&lt;=0")</f>
        <v>10</v>
      </c>
      <c r="J15" s="64" t="n">
        <f aca="false">IF(C15=0,"-",H15/C15)</f>
        <v>0.375</v>
      </c>
      <c r="K15" s="65" t="n">
        <f aca="false">IF(C15=0,"-",SUMIFS('CARGAR OPERACIONES'!$S$7:$S$506,'CARGAR OPERACIONES'!$O$7:$O$506,$B15))</f>
        <v>163.84</v>
      </c>
      <c r="L15" s="66" t="n">
        <f aca="false">IF(C15=0,"-",IF(I15=0,99,SUMIFS('CARGAR OPERACIONES'!$S$7:$S$506,'CARGAR OPERACIONES'!$O$7:$O$506,$B15,'CARGAR OPERACIONES'!$S$7:$S$506,"&gt;0")/-SUMIFS('CARGAR OPERACIONES'!$S$7:$S$506,'CARGAR OPERACIONES'!$O$7:$O$506,$B15,'CARGAR OPERACIONES'!$S$7:$S$506,"&lt;=0")))</f>
        <v>1.10315301702428</v>
      </c>
      <c r="M15" s="65" t="n">
        <f aca="false">IF(C15=0,"-",K15/C15)</f>
        <v>10.24</v>
      </c>
      <c r="N15" s="67" t="n">
        <f aca="false">IF(C15=0,"-",AVERAGEIFS('CARGAR OPERACIONES'!$U$7:$U$506,'CARGAR OPERACIONES'!$O$7:$O$506,$B15))</f>
        <v>0.0682666666666667</v>
      </c>
      <c r="O15" s="65" t="n">
        <f aca="false">IF(C15=0,"-",_xlfn.MINIFS('CARGAR OPERACIONES'!$AF$7:$AF$506,'CARGAR OPERACIONES'!$O$7:$O$506,$B15))</f>
        <v>-680.959999999999</v>
      </c>
      <c r="P15" s="68" t="n">
        <f aca="false">IF(C15=0,"-",-MIN(0,_xlfn.MINIFS('CARGAR OPERACIONES'!$AG$7:$AG$506,'CARGAR OPERACIONES'!$O$7:$O$506,$B15)))</f>
        <v>4</v>
      </c>
      <c r="Q15" s="61" t="n">
        <f aca="false">IF(C15=0,"-",COUNTIFS('CARGAR OPERACIONES'!$O$7:$O$506,$B15,'CARGAR OPERACIONES'!$L$7:$L$506,"SI")/C15)</f>
        <v>0.9375</v>
      </c>
      <c r="R15" s="65" t="n">
        <f aca="false">IF(C15=0,"-",Parametros!$C$6+SUMIFS('CARGAR OPERACIONES'!$S$7:$S$506,'CARGAR OPERACIONES'!$O$7:$O$506,"&lt;="&amp;$B15))</f>
        <v>8748.36</v>
      </c>
      <c r="S15" s="62" t="str">
        <f aca="false">IF(C15=0,"",IF(L15&gt;=Parametros!$C$11,"✔","✘"))</f>
        <v>✘</v>
      </c>
      <c r="T15" s="62" t="str">
        <f aca="false">IF(C15=0,"",IF(J15&gt;=Parametros!$C$12,"✔","✘"))</f>
        <v>✘</v>
      </c>
      <c r="U15" s="62" t="str">
        <f aca="false">IF(C15=0,"",IF(Q15&gt;=Parametros!$C$13,"✔","✘"))</f>
        <v>✘</v>
      </c>
    </row>
    <row r="16" customFormat="false" ht="19.5" hidden="false" customHeight="true" outlineLevel="0" collapsed="false">
      <c r="B16" s="69" t="n">
        <v>2</v>
      </c>
      <c r="C16" s="70" t="n">
        <f aca="false">COUNTIFS('CARGAR OPERACIONES'!$O$7:$O$506,$B16)</f>
        <v>0</v>
      </c>
      <c r="D16" s="71" t="str">
        <f aca="false">IF(C16=0,"",C16/Parametros!$C$10)</f>
        <v/>
      </c>
      <c r="E16" s="72" t="str">
        <f aca="false">IF(C16=0,"Pendiente",IF(C16&gt;=Parametros!$C$10,"Completado","En curso"))</f>
        <v>Pendiente</v>
      </c>
      <c r="F16" s="73" t="str">
        <f aca="false">IF(C16=0,"-",_xlfn.MINIFS('CARGAR OPERACIONES'!$B$7:$B$506,'CARGAR OPERACIONES'!$O$7:$O$506,$B16))</f>
        <v>-</v>
      </c>
      <c r="G16" s="73" t="str">
        <f aca="false">IF(C16=0,"-",_xlfn.MAXIFS('CARGAR OPERACIONES'!$B$7:$B$506,'CARGAR OPERACIONES'!$O$7:$O$506,$B16))</f>
        <v>-</v>
      </c>
      <c r="H16" s="70" t="n">
        <f aca="false">COUNTIFS('CARGAR OPERACIONES'!$O$7:$O$506,$B16,'CARGAR OPERACIONES'!$S$7:$S$506,"&gt;0")</f>
        <v>0</v>
      </c>
      <c r="I16" s="70" t="n">
        <f aca="false">COUNTIFS('CARGAR OPERACIONES'!$O$7:$O$506,$B16,'CARGAR OPERACIONES'!$S$7:$S$506,"&lt;=0")</f>
        <v>0</v>
      </c>
      <c r="J16" s="74" t="str">
        <f aca="false">IF(C16=0,"-",H16/C16)</f>
        <v>-</v>
      </c>
      <c r="K16" s="75" t="str">
        <f aca="false">IF(C16=0,"-",SUMIFS('CARGAR OPERACIONES'!$S$7:$S$506,'CARGAR OPERACIONES'!$O$7:$O$506,$B16))</f>
        <v>-</v>
      </c>
      <c r="L16" s="76" t="str">
        <f aca="false">IF(C16=0,"-",IF(I16=0,99,SUMIFS('CARGAR OPERACIONES'!$S$7:$S$506,'CARGAR OPERACIONES'!$O$7:$O$506,$B16,'CARGAR OPERACIONES'!$S$7:$S$506,"&gt;0")/-SUMIFS('CARGAR OPERACIONES'!$S$7:$S$506,'CARGAR OPERACIONES'!$O$7:$O$506,$B16,'CARGAR OPERACIONES'!$S$7:$S$506,"&lt;=0")))</f>
        <v>-</v>
      </c>
      <c r="M16" s="75" t="str">
        <f aca="false">IF(C16=0,"-",K16/C16)</f>
        <v>-</v>
      </c>
      <c r="N16" s="77" t="str">
        <f aca="false">IF(C16=0,"-",AVERAGEIFS('CARGAR OPERACIONES'!$U$7:$U$506,'CARGAR OPERACIONES'!$O$7:$O$506,$B16))</f>
        <v>-</v>
      </c>
      <c r="O16" s="75" t="str">
        <f aca="false">IF(C16=0,"-",_xlfn.MINIFS('CARGAR OPERACIONES'!$AF$7:$AF$506,'CARGAR OPERACIONES'!$O$7:$O$506,$B16))</f>
        <v>-</v>
      </c>
      <c r="P16" s="78" t="str">
        <f aca="false">IF(C16=0,"-",-MIN(0,_xlfn.MINIFS('CARGAR OPERACIONES'!$AG$7:$AG$506,'CARGAR OPERACIONES'!$O$7:$O$506,$B16)))</f>
        <v>-</v>
      </c>
      <c r="Q16" s="71" t="str">
        <f aca="false">IF(C16=0,"-",COUNTIFS('CARGAR OPERACIONES'!$O$7:$O$506,$B16,'CARGAR OPERACIONES'!$L$7:$L$506,"SI")/C16)</f>
        <v>-</v>
      </c>
      <c r="R16" s="75" t="str">
        <f aca="false">IF(C16=0,"-",Parametros!$C$6+SUMIFS('CARGAR OPERACIONES'!$S$7:$S$506,'CARGAR OPERACIONES'!$O$7:$O$506,"&lt;="&amp;$B16))</f>
        <v>-</v>
      </c>
      <c r="S16" s="72" t="str">
        <f aca="false">IF(C16=0,"",IF(L16&gt;=Parametros!$C$11,"✔","✘"))</f>
        <v/>
      </c>
      <c r="T16" s="72" t="str">
        <f aca="false">IF(C16=0,"",IF(J16&gt;=Parametros!$C$12,"✔","✘"))</f>
        <v/>
      </c>
      <c r="U16" s="72" t="str">
        <f aca="false">IF(C16=0,"",IF(Q16&gt;=Parametros!$C$13,"✔","✘"))</f>
        <v/>
      </c>
    </row>
    <row r="17" customFormat="false" ht="19.5" hidden="false" customHeight="true" outlineLevel="0" collapsed="false">
      <c r="B17" s="59" t="n">
        <v>3</v>
      </c>
      <c r="C17" s="60" t="n">
        <f aca="false">COUNTIFS('CARGAR OPERACIONES'!$O$7:$O$506,$B17)</f>
        <v>0</v>
      </c>
      <c r="D17" s="61" t="str">
        <f aca="false">IF(C17=0,"",C17/Parametros!$C$10)</f>
        <v/>
      </c>
      <c r="E17" s="62" t="str">
        <f aca="false">IF(C17=0,"Pendiente",IF(C17&gt;=Parametros!$C$10,"Completado","En curso"))</f>
        <v>Pendiente</v>
      </c>
      <c r="F17" s="63" t="str">
        <f aca="false">IF(C17=0,"-",_xlfn.MINIFS('CARGAR OPERACIONES'!$B$7:$B$506,'CARGAR OPERACIONES'!$O$7:$O$506,$B17))</f>
        <v>-</v>
      </c>
      <c r="G17" s="63" t="str">
        <f aca="false">IF(C17=0,"-",_xlfn.MAXIFS('CARGAR OPERACIONES'!$B$7:$B$506,'CARGAR OPERACIONES'!$O$7:$O$506,$B17))</f>
        <v>-</v>
      </c>
      <c r="H17" s="60" t="n">
        <f aca="false">COUNTIFS('CARGAR OPERACIONES'!$O$7:$O$506,$B17,'CARGAR OPERACIONES'!$S$7:$S$506,"&gt;0")</f>
        <v>0</v>
      </c>
      <c r="I17" s="60" t="n">
        <f aca="false">COUNTIFS('CARGAR OPERACIONES'!$O$7:$O$506,$B17,'CARGAR OPERACIONES'!$S$7:$S$506,"&lt;=0")</f>
        <v>0</v>
      </c>
      <c r="J17" s="64" t="str">
        <f aca="false">IF(C17=0,"-",H17/C17)</f>
        <v>-</v>
      </c>
      <c r="K17" s="65" t="str">
        <f aca="false">IF(C17=0,"-",SUMIFS('CARGAR OPERACIONES'!$S$7:$S$506,'CARGAR OPERACIONES'!$O$7:$O$506,$B17))</f>
        <v>-</v>
      </c>
      <c r="L17" s="66" t="str">
        <f aca="false">IF(C17=0,"-",IF(I17=0,99,SUMIFS('CARGAR OPERACIONES'!$S$7:$S$506,'CARGAR OPERACIONES'!$O$7:$O$506,$B17,'CARGAR OPERACIONES'!$S$7:$S$506,"&gt;0")/-SUMIFS('CARGAR OPERACIONES'!$S$7:$S$506,'CARGAR OPERACIONES'!$O$7:$O$506,$B17,'CARGAR OPERACIONES'!$S$7:$S$506,"&lt;=0")))</f>
        <v>-</v>
      </c>
      <c r="M17" s="65" t="str">
        <f aca="false">IF(C17=0,"-",K17/C17)</f>
        <v>-</v>
      </c>
      <c r="N17" s="67" t="str">
        <f aca="false">IF(C17=0,"-",AVERAGEIFS('CARGAR OPERACIONES'!$U$7:$U$506,'CARGAR OPERACIONES'!$O$7:$O$506,$B17))</f>
        <v>-</v>
      </c>
      <c r="O17" s="65" t="str">
        <f aca="false">IF(C17=0,"-",_xlfn.MINIFS('CARGAR OPERACIONES'!$AF$7:$AF$506,'CARGAR OPERACIONES'!$O$7:$O$506,$B17))</f>
        <v>-</v>
      </c>
      <c r="P17" s="68" t="str">
        <f aca="false">IF(C17=0,"-",-MIN(0,_xlfn.MINIFS('CARGAR OPERACIONES'!$AG$7:$AG$506,'CARGAR OPERACIONES'!$O$7:$O$506,$B17)))</f>
        <v>-</v>
      </c>
      <c r="Q17" s="61" t="str">
        <f aca="false">IF(C17=0,"-",COUNTIFS('CARGAR OPERACIONES'!$O$7:$O$506,$B17,'CARGAR OPERACIONES'!$L$7:$L$506,"SI")/C17)</f>
        <v>-</v>
      </c>
      <c r="R17" s="65" t="str">
        <f aca="false">IF(C17=0,"-",Parametros!$C$6+SUMIFS('CARGAR OPERACIONES'!$S$7:$S$506,'CARGAR OPERACIONES'!$O$7:$O$506,"&lt;="&amp;$B17))</f>
        <v>-</v>
      </c>
      <c r="S17" s="62" t="str">
        <f aca="false">IF(C17=0,"",IF(L17&gt;=Parametros!$C$11,"✔","✘"))</f>
        <v/>
      </c>
      <c r="T17" s="62" t="str">
        <f aca="false">IF(C17=0,"",IF(J17&gt;=Parametros!$C$12,"✔","✘"))</f>
        <v/>
      </c>
      <c r="U17" s="62" t="str">
        <f aca="false">IF(C17=0,"",IF(Q17&gt;=Parametros!$C$13,"✔","✘"))</f>
        <v/>
      </c>
    </row>
    <row r="18" customFormat="false" ht="19.5" hidden="false" customHeight="true" outlineLevel="0" collapsed="false">
      <c r="B18" s="69" t="n">
        <v>4</v>
      </c>
      <c r="C18" s="70" t="n">
        <f aca="false">COUNTIFS('CARGAR OPERACIONES'!$O$7:$O$506,$B18)</f>
        <v>0</v>
      </c>
      <c r="D18" s="71" t="str">
        <f aca="false">IF(C18=0,"",C18/Parametros!$C$10)</f>
        <v/>
      </c>
      <c r="E18" s="72" t="str">
        <f aca="false">IF(C18=0,"Pendiente",IF(C18&gt;=Parametros!$C$10,"Completado","En curso"))</f>
        <v>Pendiente</v>
      </c>
      <c r="F18" s="73" t="str">
        <f aca="false">IF(C18=0,"-",_xlfn.MINIFS('CARGAR OPERACIONES'!$B$7:$B$506,'CARGAR OPERACIONES'!$O$7:$O$506,$B18))</f>
        <v>-</v>
      </c>
      <c r="G18" s="73" t="str">
        <f aca="false">IF(C18=0,"-",_xlfn.MAXIFS('CARGAR OPERACIONES'!$B$7:$B$506,'CARGAR OPERACIONES'!$O$7:$O$506,$B18))</f>
        <v>-</v>
      </c>
      <c r="H18" s="70" t="n">
        <f aca="false">COUNTIFS('CARGAR OPERACIONES'!$O$7:$O$506,$B18,'CARGAR OPERACIONES'!$S$7:$S$506,"&gt;0")</f>
        <v>0</v>
      </c>
      <c r="I18" s="70" t="n">
        <f aca="false">COUNTIFS('CARGAR OPERACIONES'!$O$7:$O$506,$B18,'CARGAR OPERACIONES'!$S$7:$S$506,"&lt;=0")</f>
        <v>0</v>
      </c>
      <c r="J18" s="74" t="str">
        <f aca="false">IF(C18=0,"-",H18/C18)</f>
        <v>-</v>
      </c>
      <c r="K18" s="75" t="str">
        <f aca="false">IF(C18=0,"-",SUMIFS('CARGAR OPERACIONES'!$S$7:$S$506,'CARGAR OPERACIONES'!$O$7:$O$506,$B18))</f>
        <v>-</v>
      </c>
      <c r="L18" s="76" t="str">
        <f aca="false">IF(C18=0,"-",IF(I18=0,99,SUMIFS('CARGAR OPERACIONES'!$S$7:$S$506,'CARGAR OPERACIONES'!$O$7:$O$506,$B18,'CARGAR OPERACIONES'!$S$7:$S$506,"&gt;0")/-SUMIFS('CARGAR OPERACIONES'!$S$7:$S$506,'CARGAR OPERACIONES'!$O$7:$O$506,$B18,'CARGAR OPERACIONES'!$S$7:$S$506,"&lt;=0")))</f>
        <v>-</v>
      </c>
      <c r="M18" s="75" t="str">
        <f aca="false">IF(C18=0,"-",K18/C18)</f>
        <v>-</v>
      </c>
      <c r="N18" s="77" t="str">
        <f aca="false">IF(C18=0,"-",AVERAGEIFS('CARGAR OPERACIONES'!$U$7:$U$506,'CARGAR OPERACIONES'!$O$7:$O$506,$B18))</f>
        <v>-</v>
      </c>
      <c r="O18" s="75" t="str">
        <f aca="false">IF(C18=0,"-",_xlfn.MINIFS('CARGAR OPERACIONES'!$AF$7:$AF$506,'CARGAR OPERACIONES'!$O$7:$O$506,$B18))</f>
        <v>-</v>
      </c>
      <c r="P18" s="78" t="str">
        <f aca="false">IF(C18=0,"-",-MIN(0,_xlfn.MINIFS('CARGAR OPERACIONES'!$AG$7:$AG$506,'CARGAR OPERACIONES'!$O$7:$O$506,$B18)))</f>
        <v>-</v>
      </c>
      <c r="Q18" s="71" t="str">
        <f aca="false">IF(C18=0,"-",COUNTIFS('CARGAR OPERACIONES'!$O$7:$O$506,$B18,'CARGAR OPERACIONES'!$L$7:$L$506,"SI")/C18)</f>
        <v>-</v>
      </c>
      <c r="R18" s="75" t="str">
        <f aca="false">IF(C18=0,"-",Parametros!$C$6+SUMIFS('CARGAR OPERACIONES'!$S$7:$S$506,'CARGAR OPERACIONES'!$O$7:$O$506,"&lt;="&amp;$B18))</f>
        <v>-</v>
      </c>
      <c r="S18" s="72" t="str">
        <f aca="false">IF(C18=0,"",IF(L18&gt;=Parametros!$C$11,"✔","✘"))</f>
        <v/>
      </c>
      <c r="T18" s="72" t="str">
        <f aca="false">IF(C18=0,"",IF(J18&gt;=Parametros!$C$12,"✔","✘"))</f>
        <v/>
      </c>
      <c r="U18" s="72" t="str">
        <f aca="false">IF(C18=0,"",IF(Q18&gt;=Parametros!$C$13,"✔","✘"))</f>
        <v/>
      </c>
    </row>
    <row r="19" customFormat="false" ht="19.5" hidden="false" customHeight="true" outlineLevel="0" collapsed="false">
      <c r="B19" s="59" t="n">
        <v>5</v>
      </c>
      <c r="C19" s="60" t="n">
        <f aca="false">COUNTIFS('CARGAR OPERACIONES'!$O$7:$O$506,$B19)</f>
        <v>0</v>
      </c>
      <c r="D19" s="61" t="str">
        <f aca="false">IF(C19=0,"",C19/Parametros!$C$10)</f>
        <v/>
      </c>
      <c r="E19" s="62" t="str">
        <f aca="false">IF(C19=0,"Pendiente",IF(C19&gt;=Parametros!$C$10,"Completado","En curso"))</f>
        <v>Pendiente</v>
      </c>
      <c r="F19" s="63" t="str">
        <f aca="false">IF(C19=0,"-",_xlfn.MINIFS('CARGAR OPERACIONES'!$B$7:$B$506,'CARGAR OPERACIONES'!$O$7:$O$506,$B19))</f>
        <v>-</v>
      </c>
      <c r="G19" s="63" t="str">
        <f aca="false">IF(C19=0,"-",_xlfn.MAXIFS('CARGAR OPERACIONES'!$B$7:$B$506,'CARGAR OPERACIONES'!$O$7:$O$506,$B19))</f>
        <v>-</v>
      </c>
      <c r="H19" s="60" t="n">
        <f aca="false">COUNTIFS('CARGAR OPERACIONES'!$O$7:$O$506,$B19,'CARGAR OPERACIONES'!$S$7:$S$506,"&gt;0")</f>
        <v>0</v>
      </c>
      <c r="I19" s="60" t="n">
        <f aca="false">COUNTIFS('CARGAR OPERACIONES'!$O$7:$O$506,$B19,'CARGAR OPERACIONES'!$S$7:$S$506,"&lt;=0")</f>
        <v>0</v>
      </c>
      <c r="J19" s="64" t="str">
        <f aca="false">IF(C19=0,"-",H19/C19)</f>
        <v>-</v>
      </c>
      <c r="K19" s="65" t="str">
        <f aca="false">IF(C19=0,"-",SUMIFS('CARGAR OPERACIONES'!$S$7:$S$506,'CARGAR OPERACIONES'!$O$7:$O$506,$B19))</f>
        <v>-</v>
      </c>
      <c r="L19" s="66" t="str">
        <f aca="false">IF(C19=0,"-",IF(I19=0,99,SUMIFS('CARGAR OPERACIONES'!$S$7:$S$506,'CARGAR OPERACIONES'!$O$7:$O$506,$B19,'CARGAR OPERACIONES'!$S$7:$S$506,"&gt;0")/-SUMIFS('CARGAR OPERACIONES'!$S$7:$S$506,'CARGAR OPERACIONES'!$O$7:$O$506,$B19,'CARGAR OPERACIONES'!$S$7:$S$506,"&lt;=0")))</f>
        <v>-</v>
      </c>
      <c r="M19" s="65" t="str">
        <f aca="false">IF(C19=0,"-",K19/C19)</f>
        <v>-</v>
      </c>
      <c r="N19" s="67" t="str">
        <f aca="false">IF(C19=0,"-",AVERAGEIFS('CARGAR OPERACIONES'!$U$7:$U$506,'CARGAR OPERACIONES'!$O$7:$O$506,$B19))</f>
        <v>-</v>
      </c>
      <c r="O19" s="65" t="str">
        <f aca="false">IF(C19=0,"-",_xlfn.MINIFS('CARGAR OPERACIONES'!$AF$7:$AF$506,'CARGAR OPERACIONES'!$O$7:$O$506,$B19))</f>
        <v>-</v>
      </c>
      <c r="P19" s="68" t="str">
        <f aca="false">IF(C19=0,"-",-MIN(0,_xlfn.MINIFS('CARGAR OPERACIONES'!$AG$7:$AG$506,'CARGAR OPERACIONES'!$O$7:$O$506,$B19)))</f>
        <v>-</v>
      </c>
      <c r="Q19" s="61" t="str">
        <f aca="false">IF(C19=0,"-",COUNTIFS('CARGAR OPERACIONES'!$O$7:$O$506,$B19,'CARGAR OPERACIONES'!$L$7:$L$506,"SI")/C19)</f>
        <v>-</v>
      </c>
      <c r="R19" s="65" t="str">
        <f aca="false">IF(C19=0,"-",Parametros!$C$6+SUMIFS('CARGAR OPERACIONES'!$S$7:$S$506,'CARGAR OPERACIONES'!$O$7:$O$506,"&lt;="&amp;$B19))</f>
        <v>-</v>
      </c>
      <c r="S19" s="62" t="str">
        <f aca="false">IF(C19=0,"",IF(L19&gt;=Parametros!$C$11,"✔","✘"))</f>
        <v/>
      </c>
      <c r="T19" s="62" t="str">
        <f aca="false">IF(C19=0,"",IF(J19&gt;=Parametros!$C$12,"✔","✘"))</f>
        <v/>
      </c>
      <c r="U19" s="62" t="str">
        <f aca="false">IF(C19=0,"",IF(Q19&gt;=Parametros!$C$13,"✔","✘"))</f>
        <v/>
      </c>
    </row>
    <row r="20" customFormat="false" ht="19.5" hidden="false" customHeight="true" outlineLevel="0" collapsed="false">
      <c r="B20" s="69" t="n">
        <v>6</v>
      </c>
      <c r="C20" s="70" t="n">
        <f aca="false">COUNTIFS('CARGAR OPERACIONES'!$O$7:$O$506,$B20)</f>
        <v>0</v>
      </c>
      <c r="D20" s="71" t="str">
        <f aca="false">IF(C20=0,"",C20/Parametros!$C$10)</f>
        <v/>
      </c>
      <c r="E20" s="72" t="str">
        <f aca="false">IF(C20=0,"Pendiente",IF(C20&gt;=Parametros!$C$10,"Completado","En curso"))</f>
        <v>Pendiente</v>
      </c>
      <c r="F20" s="73" t="str">
        <f aca="false">IF(C20=0,"-",_xlfn.MINIFS('CARGAR OPERACIONES'!$B$7:$B$506,'CARGAR OPERACIONES'!$O$7:$O$506,$B20))</f>
        <v>-</v>
      </c>
      <c r="G20" s="73" t="str">
        <f aca="false">IF(C20=0,"-",_xlfn.MAXIFS('CARGAR OPERACIONES'!$B$7:$B$506,'CARGAR OPERACIONES'!$O$7:$O$506,$B20))</f>
        <v>-</v>
      </c>
      <c r="H20" s="70" t="n">
        <f aca="false">COUNTIFS('CARGAR OPERACIONES'!$O$7:$O$506,$B20,'CARGAR OPERACIONES'!$S$7:$S$506,"&gt;0")</f>
        <v>0</v>
      </c>
      <c r="I20" s="70" t="n">
        <f aca="false">COUNTIFS('CARGAR OPERACIONES'!$O$7:$O$506,$B20,'CARGAR OPERACIONES'!$S$7:$S$506,"&lt;=0")</f>
        <v>0</v>
      </c>
      <c r="J20" s="74" t="str">
        <f aca="false">IF(C20=0,"-",H20/C20)</f>
        <v>-</v>
      </c>
      <c r="K20" s="75" t="str">
        <f aca="false">IF(C20=0,"-",SUMIFS('CARGAR OPERACIONES'!$S$7:$S$506,'CARGAR OPERACIONES'!$O$7:$O$506,$B20))</f>
        <v>-</v>
      </c>
      <c r="L20" s="76" t="str">
        <f aca="false">IF(C20=0,"-",IF(I20=0,99,SUMIFS('CARGAR OPERACIONES'!$S$7:$S$506,'CARGAR OPERACIONES'!$O$7:$O$506,$B20,'CARGAR OPERACIONES'!$S$7:$S$506,"&gt;0")/-SUMIFS('CARGAR OPERACIONES'!$S$7:$S$506,'CARGAR OPERACIONES'!$O$7:$O$506,$B20,'CARGAR OPERACIONES'!$S$7:$S$506,"&lt;=0")))</f>
        <v>-</v>
      </c>
      <c r="M20" s="75" t="str">
        <f aca="false">IF(C20=0,"-",K20/C20)</f>
        <v>-</v>
      </c>
      <c r="N20" s="77" t="str">
        <f aca="false">IF(C20=0,"-",AVERAGEIFS('CARGAR OPERACIONES'!$U$7:$U$506,'CARGAR OPERACIONES'!$O$7:$O$506,$B20))</f>
        <v>-</v>
      </c>
      <c r="O20" s="75" t="str">
        <f aca="false">IF(C20=0,"-",_xlfn.MINIFS('CARGAR OPERACIONES'!$AF$7:$AF$506,'CARGAR OPERACIONES'!$O$7:$O$506,$B20))</f>
        <v>-</v>
      </c>
      <c r="P20" s="78" t="str">
        <f aca="false">IF(C20=0,"-",-MIN(0,_xlfn.MINIFS('CARGAR OPERACIONES'!$AG$7:$AG$506,'CARGAR OPERACIONES'!$O$7:$O$506,$B20)))</f>
        <v>-</v>
      </c>
      <c r="Q20" s="71" t="str">
        <f aca="false">IF(C20=0,"-",COUNTIFS('CARGAR OPERACIONES'!$O$7:$O$506,$B20,'CARGAR OPERACIONES'!$L$7:$L$506,"SI")/C20)</f>
        <v>-</v>
      </c>
      <c r="R20" s="75" t="str">
        <f aca="false">IF(C20=0,"-",Parametros!$C$6+SUMIFS('CARGAR OPERACIONES'!$S$7:$S$506,'CARGAR OPERACIONES'!$O$7:$O$506,"&lt;="&amp;$B20))</f>
        <v>-</v>
      </c>
      <c r="S20" s="72" t="str">
        <f aca="false">IF(C20=0,"",IF(L20&gt;=Parametros!$C$11,"✔","✘"))</f>
        <v/>
      </c>
      <c r="T20" s="72" t="str">
        <f aca="false">IF(C20=0,"",IF(J20&gt;=Parametros!$C$12,"✔","✘"))</f>
        <v/>
      </c>
      <c r="U20" s="72" t="str">
        <f aca="false">IF(C20=0,"",IF(Q20&gt;=Parametros!$C$13,"✔","✘"))</f>
        <v/>
      </c>
    </row>
    <row r="21" customFormat="false" ht="19.5" hidden="false" customHeight="true" outlineLevel="0" collapsed="false">
      <c r="B21" s="59" t="n">
        <v>7</v>
      </c>
      <c r="C21" s="60" t="n">
        <f aca="false">COUNTIFS('CARGAR OPERACIONES'!$O$7:$O$506,$B21)</f>
        <v>0</v>
      </c>
      <c r="D21" s="61" t="str">
        <f aca="false">IF(C21=0,"",C21/Parametros!$C$10)</f>
        <v/>
      </c>
      <c r="E21" s="62" t="str">
        <f aca="false">IF(C21=0,"Pendiente",IF(C21&gt;=Parametros!$C$10,"Completado","En curso"))</f>
        <v>Pendiente</v>
      </c>
      <c r="F21" s="63" t="str">
        <f aca="false">IF(C21=0,"-",_xlfn.MINIFS('CARGAR OPERACIONES'!$B$7:$B$506,'CARGAR OPERACIONES'!$O$7:$O$506,$B21))</f>
        <v>-</v>
      </c>
      <c r="G21" s="63" t="str">
        <f aca="false">IF(C21=0,"-",_xlfn.MAXIFS('CARGAR OPERACIONES'!$B$7:$B$506,'CARGAR OPERACIONES'!$O$7:$O$506,$B21))</f>
        <v>-</v>
      </c>
      <c r="H21" s="60" t="n">
        <f aca="false">COUNTIFS('CARGAR OPERACIONES'!$O$7:$O$506,$B21,'CARGAR OPERACIONES'!$S$7:$S$506,"&gt;0")</f>
        <v>0</v>
      </c>
      <c r="I21" s="60" t="n">
        <f aca="false">COUNTIFS('CARGAR OPERACIONES'!$O$7:$O$506,$B21,'CARGAR OPERACIONES'!$S$7:$S$506,"&lt;=0")</f>
        <v>0</v>
      </c>
      <c r="J21" s="64" t="str">
        <f aca="false">IF(C21=0,"-",H21/C21)</f>
        <v>-</v>
      </c>
      <c r="K21" s="65" t="str">
        <f aca="false">IF(C21=0,"-",SUMIFS('CARGAR OPERACIONES'!$S$7:$S$506,'CARGAR OPERACIONES'!$O$7:$O$506,$B21))</f>
        <v>-</v>
      </c>
      <c r="L21" s="66" t="str">
        <f aca="false">IF(C21=0,"-",IF(I21=0,99,SUMIFS('CARGAR OPERACIONES'!$S$7:$S$506,'CARGAR OPERACIONES'!$O$7:$O$506,$B21,'CARGAR OPERACIONES'!$S$7:$S$506,"&gt;0")/-SUMIFS('CARGAR OPERACIONES'!$S$7:$S$506,'CARGAR OPERACIONES'!$O$7:$O$506,$B21,'CARGAR OPERACIONES'!$S$7:$S$506,"&lt;=0")))</f>
        <v>-</v>
      </c>
      <c r="M21" s="65" t="str">
        <f aca="false">IF(C21=0,"-",K21/C21)</f>
        <v>-</v>
      </c>
      <c r="N21" s="67" t="str">
        <f aca="false">IF(C21=0,"-",AVERAGEIFS('CARGAR OPERACIONES'!$U$7:$U$506,'CARGAR OPERACIONES'!$O$7:$O$506,$B21))</f>
        <v>-</v>
      </c>
      <c r="O21" s="65" t="str">
        <f aca="false">IF(C21=0,"-",_xlfn.MINIFS('CARGAR OPERACIONES'!$AF$7:$AF$506,'CARGAR OPERACIONES'!$O$7:$O$506,$B21))</f>
        <v>-</v>
      </c>
      <c r="P21" s="68" t="str">
        <f aca="false">IF(C21=0,"-",-MIN(0,_xlfn.MINIFS('CARGAR OPERACIONES'!$AG$7:$AG$506,'CARGAR OPERACIONES'!$O$7:$O$506,$B21)))</f>
        <v>-</v>
      </c>
      <c r="Q21" s="61" t="str">
        <f aca="false">IF(C21=0,"-",COUNTIFS('CARGAR OPERACIONES'!$O$7:$O$506,$B21,'CARGAR OPERACIONES'!$L$7:$L$506,"SI")/C21)</f>
        <v>-</v>
      </c>
      <c r="R21" s="65" t="str">
        <f aca="false">IF(C21=0,"-",Parametros!$C$6+SUMIFS('CARGAR OPERACIONES'!$S$7:$S$506,'CARGAR OPERACIONES'!$O$7:$O$506,"&lt;="&amp;$B21))</f>
        <v>-</v>
      </c>
      <c r="S21" s="62" t="str">
        <f aca="false">IF(C21=0,"",IF(L21&gt;=Parametros!$C$11,"✔","✘"))</f>
        <v/>
      </c>
      <c r="T21" s="62" t="str">
        <f aca="false">IF(C21=0,"",IF(J21&gt;=Parametros!$C$12,"✔","✘"))</f>
        <v/>
      </c>
      <c r="U21" s="62" t="str">
        <f aca="false">IF(C21=0,"",IF(Q21&gt;=Parametros!$C$13,"✔","✘"))</f>
        <v/>
      </c>
    </row>
    <row r="22" customFormat="false" ht="19.5" hidden="false" customHeight="true" outlineLevel="0" collapsed="false">
      <c r="B22" s="69" t="n">
        <v>8</v>
      </c>
      <c r="C22" s="70" t="n">
        <f aca="false">COUNTIFS('CARGAR OPERACIONES'!$O$7:$O$506,$B22)</f>
        <v>0</v>
      </c>
      <c r="D22" s="71" t="str">
        <f aca="false">IF(C22=0,"",C22/Parametros!$C$10)</f>
        <v/>
      </c>
      <c r="E22" s="72" t="str">
        <f aca="false">IF(C22=0,"Pendiente",IF(C22&gt;=Parametros!$C$10,"Completado","En curso"))</f>
        <v>Pendiente</v>
      </c>
      <c r="F22" s="73" t="str">
        <f aca="false">IF(C22=0,"-",_xlfn.MINIFS('CARGAR OPERACIONES'!$B$7:$B$506,'CARGAR OPERACIONES'!$O$7:$O$506,$B22))</f>
        <v>-</v>
      </c>
      <c r="G22" s="73" t="str">
        <f aca="false">IF(C22=0,"-",_xlfn.MAXIFS('CARGAR OPERACIONES'!$B$7:$B$506,'CARGAR OPERACIONES'!$O$7:$O$506,$B22))</f>
        <v>-</v>
      </c>
      <c r="H22" s="70" t="n">
        <f aca="false">COUNTIFS('CARGAR OPERACIONES'!$O$7:$O$506,$B22,'CARGAR OPERACIONES'!$S$7:$S$506,"&gt;0")</f>
        <v>0</v>
      </c>
      <c r="I22" s="70" t="n">
        <f aca="false">COUNTIFS('CARGAR OPERACIONES'!$O$7:$O$506,$B22,'CARGAR OPERACIONES'!$S$7:$S$506,"&lt;=0")</f>
        <v>0</v>
      </c>
      <c r="J22" s="74" t="str">
        <f aca="false">IF(C22=0,"-",H22/C22)</f>
        <v>-</v>
      </c>
      <c r="K22" s="75" t="str">
        <f aca="false">IF(C22=0,"-",SUMIFS('CARGAR OPERACIONES'!$S$7:$S$506,'CARGAR OPERACIONES'!$O$7:$O$506,$B22))</f>
        <v>-</v>
      </c>
      <c r="L22" s="76" t="str">
        <f aca="false">IF(C22=0,"-",IF(I22=0,99,SUMIFS('CARGAR OPERACIONES'!$S$7:$S$506,'CARGAR OPERACIONES'!$O$7:$O$506,$B22,'CARGAR OPERACIONES'!$S$7:$S$506,"&gt;0")/-SUMIFS('CARGAR OPERACIONES'!$S$7:$S$506,'CARGAR OPERACIONES'!$O$7:$O$506,$B22,'CARGAR OPERACIONES'!$S$7:$S$506,"&lt;=0")))</f>
        <v>-</v>
      </c>
      <c r="M22" s="75" t="str">
        <f aca="false">IF(C22=0,"-",K22/C22)</f>
        <v>-</v>
      </c>
      <c r="N22" s="77" t="str">
        <f aca="false">IF(C22=0,"-",AVERAGEIFS('CARGAR OPERACIONES'!$U$7:$U$506,'CARGAR OPERACIONES'!$O$7:$O$506,$B22))</f>
        <v>-</v>
      </c>
      <c r="O22" s="75" t="str">
        <f aca="false">IF(C22=0,"-",_xlfn.MINIFS('CARGAR OPERACIONES'!$AF$7:$AF$506,'CARGAR OPERACIONES'!$O$7:$O$506,$B22))</f>
        <v>-</v>
      </c>
      <c r="P22" s="78" t="str">
        <f aca="false">IF(C22=0,"-",-MIN(0,_xlfn.MINIFS('CARGAR OPERACIONES'!$AG$7:$AG$506,'CARGAR OPERACIONES'!$O$7:$O$506,$B22)))</f>
        <v>-</v>
      </c>
      <c r="Q22" s="71" t="str">
        <f aca="false">IF(C22=0,"-",COUNTIFS('CARGAR OPERACIONES'!$O$7:$O$506,$B22,'CARGAR OPERACIONES'!$L$7:$L$506,"SI")/C22)</f>
        <v>-</v>
      </c>
      <c r="R22" s="75" t="str">
        <f aca="false">IF(C22=0,"-",Parametros!$C$6+SUMIFS('CARGAR OPERACIONES'!$S$7:$S$506,'CARGAR OPERACIONES'!$O$7:$O$506,"&lt;="&amp;$B22))</f>
        <v>-</v>
      </c>
      <c r="S22" s="72" t="str">
        <f aca="false">IF(C22=0,"",IF(L22&gt;=Parametros!$C$11,"✔","✘"))</f>
        <v/>
      </c>
      <c r="T22" s="72" t="str">
        <f aca="false">IF(C22=0,"",IF(J22&gt;=Parametros!$C$12,"✔","✘"))</f>
        <v/>
      </c>
      <c r="U22" s="72" t="str">
        <f aca="false">IF(C22=0,"",IF(Q22&gt;=Parametros!$C$13,"✔","✘"))</f>
        <v/>
      </c>
    </row>
    <row r="23" customFormat="false" ht="19.5" hidden="false" customHeight="true" outlineLevel="0" collapsed="false">
      <c r="B23" s="59" t="n">
        <v>9</v>
      </c>
      <c r="C23" s="60" t="n">
        <f aca="false">COUNTIFS('CARGAR OPERACIONES'!$O$7:$O$506,$B23)</f>
        <v>0</v>
      </c>
      <c r="D23" s="61" t="str">
        <f aca="false">IF(C23=0,"",C23/Parametros!$C$10)</f>
        <v/>
      </c>
      <c r="E23" s="62" t="str">
        <f aca="false">IF(C23=0,"Pendiente",IF(C23&gt;=Parametros!$C$10,"Completado","En curso"))</f>
        <v>Pendiente</v>
      </c>
      <c r="F23" s="63" t="str">
        <f aca="false">IF(C23=0,"-",_xlfn.MINIFS('CARGAR OPERACIONES'!$B$7:$B$506,'CARGAR OPERACIONES'!$O$7:$O$506,$B23))</f>
        <v>-</v>
      </c>
      <c r="G23" s="63" t="str">
        <f aca="false">IF(C23=0,"-",_xlfn.MAXIFS('CARGAR OPERACIONES'!$B$7:$B$506,'CARGAR OPERACIONES'!$O$7:$O$506,$B23))</f>
        <v>-</v>
      </c>
      <c r="H23" s="60" t="n">
        <f aca="false">COUNTIFS('CARGAR OPERACIONES'!$O$7:$O$506,$B23,'CARGAR OPERACIONES'!$S$7:$S$506,"&gt;0")</f>
        <v>0</v>
      </c>
      <c r="I23" s="60" t="n">
        <f aca="false">COUNTIFS('CARGAR OPERACIONES'!$O$7:$O$506,$B23,'CARGAR OPERACIONES'!$S$7:$S$506,"&lt;=0")</f>
        <v>0</v>
      </c>
      <c r="J23" s="64" t="str">
        <f aca="false">IF(C23=0,"-",H23/C23)</f>
        <v>-</v>
      </c>
      <c r="K23" s="65" t="str">
        <f aca="false">IF(C23=0,"-",SUMIFS('CARGAR OPERACIONES'!$S$7:$S$506,'CARGAR OPERACIONES'!$O$7:$O$506,$B23))</f>
        <v>-</v>
      </c>
      <c r="L23" s="66" t="str">
        <f aca="false">IF(C23=0,"-",IF(I23=0,99,SUMIFS('CARGAR OPERACIONES'!$S$7:$S$506,'CARGAR OPERACIONES'!$O$7:$O$506,$B23,'CARGAR OPERACIONES'!$S$7:$S$506,"&gt;0")/-SUMIFS('CARGAR OPERACIONES'!$S$7:$S$506,'CARGAR OPERACIONES'!$O$7:$O$506,$B23,'CARGAR OPERACIONES'!$S$7:$S$506,"&lt;=0")))</f>
        <v>-</v>
      </c>
      <c r="M23" s="65" t="str">
        <f aca="false">IF(C23=0,"-",K23/C23)</f>
        <v>-</v>
      </c>
      <c r="N23" s="67" t="str">
        <f aca="false">IF(C23=0,"-",AVERAGEIFS('CARGAR OPERACIONES'!$U$7:$U$506,'CARGAR OPERACIONES'!$O$7:$O$506,$B23))</f>
        <v>-</v>
      </c>
      <c r="O23" s="65" t="str">
        <f aca="false">IF(C23=0,"-",_xlfn.MINIFS('CARGAR OPERACIONES'!$AF$7:$AF$506,'CARGAR OPERACIONES'!$O$7:$O$506,$B23))</f>
        <v>-</v>
      </c>
      <c r="P23" s="68" t="str">
        <f aca="false">IF(C23=0,"-",-MIN(0,_xlfn.MINIFS('CARGAR OPERACIONES'!$AG$7:$AG$506,'CARGAR OPERACIONES'!$O$7:$O$506,$B23)))</f>
        <v>-</v>
      </c>
      <c r="Q23" s="61" t="str">
        <f aca="false">IF(C23=0,"-",COUNTIFS('CARGAR OPERACIONES'!$O$7:$O$506,$B23,'CARGAR OPERACIONES'!$L$7:$L$506,"SI")/C23)</f>
        <v>-</v>
      </c>
      <c r="R23" s="65" t="str">
        <f aca="false">IF(C23=0,"-",Parametros!$C$6+SUMIFS('CARGAR OPERACIONES'!$S$7:$S$506,'CARGAR OPERACIONES'!$O$7:$O$506,"&lt;="&amp;$B23))</f>
        <v>-</v>
      </c>
      <c r="S23" s="62" t="str">
        <f aca="false">IF(C23=0,"",IF(L23&gt;=Parametros!$C$11,"✔","✘"))</f>
        <v/>
      </c>
      <c r="T23" s="62" t="str">
        <f aca="false">IF(C23=0,"",IF(J23&gt;=Parametros!$C$12,"✔","✘"))</f>
        <v/>
      </c>
      <c r="U23" s="62" t="str">
        <f aca="false">IF(C23=0,"",IF(Q23&gt;=Parametros!$C$13,"✔","✘"))</f>
        <v/>
      </c>
    </row>
    <row r="24" customFormat="false" ht="19.5" hidden="false" customHeight="true" outlineLevel="0" collapsed="false">
      <c r="B24" s="69" t="n">
        <v>10</v>
      </c>
      <c r="C24" s="70" t="n">
        <f aca="false">COUNTIFS('CARGAR OPERACIONES'!$O$7:$O$506,$B24)</f>
        <v>0</v>
      </c>
      <c r="D24" s="71" t="str">
        <f aca="false">IF(C24=0,"",C24/Parametros!$C$10)</f>
        <v/>
      </c>
      <c r="E24" s="72" t="str">
        <f aca="false">IF(C24=0,"Pendiente",IF(C24&gt;=Parametros!$C$10,"Completado","En curso"))</f>
        <v>Pendiente</v>
      </c>
      <c r="F24" s="73" t="str">
        <f aca="false">IF(C24=0,"-",_xlfn.MINIFS('CARGAR OPERACIONES'!$B$7:$B$506,'CARGAR OPERACIONES'!$O$7:$O$506,$B24))</f>
        <v>-</v>
      </c>
      <c r="G24" s="73" t="str">
        <f aca="false">IF(C24=0,"-",_xlfn.MAXIFS('CARGAR OPERACIONES'!$B$7:$B$506,'CARGAR OPERACIONES'!$O$7:$O$506,$B24))</f>
        <v>-</v>
      </c>
      <c r="H24" s="70" t="n">
        <f aca="false">COUNTIFS('CARGAR OPERACIONES'!$O$7:$O$506,$B24,'CARGAR OPERACIONES'!$S$7:$S$506,"&gt;0")</f>
        <v>0</v>
      </c>
      <c r="I24" s="70" t="n">
        <f aca="false">COUNTIFS('CARGAR OPERACIONES'!$O$7:$O$506,$B24,'CARGAR OPERACIONES'!$S$7:$S$506,"&lt;=0")</f>
        <v>0</v>
      </c>
      <c r="J24" s="74" t="str">
        <f aca="false">IF(C24=0,"-",H24/C24)</f>
        <v>-</v>
      </c>
      <c r="K24" s="75" t="str">
        <f aca="false">IF(C24=0,"-",SUMIFS('CARGAR OPERACIONES'!$S$7:$S$506,'CARGAR OPERACIONES'!$O$7:$O$506,$B24))</f>
        <v>-</v>
      </c>
      <c r="L24" s="76" t="str">
        <f aca="false">IF(C24=0,"-",IF(I24=0,99,SUMIFS('CARGAR OPERACIONES'!$S$7:$S$506,'CARGAR OPERACIONES'!$O$7:$O$506,$B24,'CARGAR OPERACIONES'!$S$7:$S$506,"&gt;0")/-SUMIFS('CARGAR OPERACIONES'!$S$7:$S$506,'CARGAR OPERACIONES'!$O$7:$O$506,$B24,'CARGAR OPERACIONES'!$S$7:$S$506,"&lt;=0")))</f>
        <v>-</v>
      </c>
      <c r="M24" s="75" t="str">
        <f aca="false">IF(C24=0,"-",K24/C24)</f>
        <v>-</v>
      </c>
      <c r="N24" s="77" t="str">
        <f aca="false">IF(C24=0,"-",AVERAGEIFS('CARGAR OPERACIONES'!$U$7:$U$506,'CARGAR OPERACIONES'!$O$7:$O$506,$B24))</f>
        <v>-</v>
      </c>
      <c r="O24" s="75" t="str">
        <f aca="false">IF(C24=0,"-",_xlfn.MINIFS('CARGAR OPERACIONES'!$AF$7:$AF$506,'CARGAR OPERACIONES'!$O$7:$O$506,$B24))</f>
        <v>-</v>
      </c>
      <c r="P24" s="78" t="str">
        <f aca="false">IF(C24=0,"-",-MIN(0,_xlfn.MINIFS('CARGAR OPERACIONES'!$AG$7:$AG$506,'CARGAR OPERACIONES'!$O$7:$O$506,$B24)))</f>
        <v>-</v>
      </c>
      <c r="Q24" s="71" t="str">
        <f aca="false">IF(C24=0,"-",COUNTIFS('CARGAR OPERACIONES'!$O$7:$O$506,$B24,'CARGAR OPERACIONES'!$L$7:$L$506,"SI")/C24)</f>
        <v>-</v>
      </c>
      <c r="R24" s="75" t="str">
        <f aca="false">IF(C24=0,"-",Parametros!$C$6+SUMIFS('CARGAR OPERACIONES'!$S$7:$S$506,'CARGAR OPERACIONES'!$O$7:$O$506,"&lt;="&amp;$B24))</f>
        <v>-</v>
      </c>
      <c r="S24" s="72" t="str">
        <f aca="false">IF(C24=0,"",IF(L24&gt;=Parametros!$C$11,"✔","✘"))</f>
        <v/>
      </c>
      <c r="T24" s="72" t="str">
        <f aca="false">IF(C24=0,"",IF(J24&gt;=Parametros!$C$12,"✔","✘"))</f>
        <v/>
      </c>
      <c r="U24" s="72" t="str">
        <f aca="false">IF(C24=0,"",IF(Q24&gt;=Parametros!$C$13,"✔","✘"))</f>
        <v/>
      </c>
    </row>
    <row r="25" customFormat="false" ht="19.5" hidden="false" customHeight="true" outlineLevel="0" collapsed="false">
      <c r="B25" s="59" t="n">
        <v>11</v>
      </c>
      <c r="C25" s="60" t="n">
        <f aca="false">COUNTIFS('CARGAR OPERACIONES'!$O$7:$O$506,$B25)</f>
        <v>0</v>
      </c>
      <c r="D25" s="61" t="str">
        <f aca="false">IF(C25=0,"",C25/Parametros!$C$10)</f>
        <v/>
      </c>
      <c r="E25" s="62" t="str">
        <f aca="false">IF(C25=0,"Pendiente",IF(C25&gt;=Parametros!$C$10,"Completado","En curso"))</f>
        <v>Pendiente</v>
      </c>
      <c r="F25" s="63" t="str">
        <f aca="false">IF(C25=0,"-",_xlfn.MINIFS('CARGAR OPERACIONES'!$B$7:$B$506,'CARGAR OPERACIONES'!$O$7:$O$506,$B25))</f>
        <v>-</v>
      </c>
      <c r="G25" s="63" t="str">
        <f aca="false">IF(C25=0,"-",_xlfn.MAXIFS('CARGAR OPERACIONES'!$B$7:$B$506,'CARGAR OPERACIONES'!$O$7:$O$506,$B25))</f>
        <v>-</v>
      </c>
      <c r="H25" s="60" t="n">
        <f aca="false">COUNTIFS('CARGAR OPERACIONES'!$O$7:$O$506,$B25,'CARGAR OPERACIONES'!$S$7:$S$506,"&gt;0")</f>
        <v>0</v>
      </c>
      <c r="I25" s="60" t="n">
        <f aca="false">COUNTIFS('CARGAR OPERACIONES'!$O$7:$O$506,$B25,'CARGAR OPERACIONES'!$S$7:$S$506,"&lt;=0")</f>
        <v>0</v>
      </c>
      <c r="J25" s="64" t="str">
        <f aca="false">IF(C25=0,"-",H25/C25)</f>
        <v>-</v>
      </c>
      <c r="K25" s="65" t="str">
        <f aca="false">IF(C25=0,"-",SUMIFS('CARGAR OPERACIONES'!$S$7:$S$506,'CARGAR OPERACIONES'!$O$7:$O$506,$B25))</f>
        <v>-</v>
      </c>
      <c r="L25" s="66" t="str">
        <f aca="false">IF(C25=0,"-",IF(I25=0,99,SUMIFS('CARGAR OPERACIONES'!$S$7:$S$506,'CARGAR OPERACIONES'!$O$7:$O$506,$B25,'CARGAR OPERACIONES'!$S$7:$S$506,"&gt;0")/-SUMIFS('CARGAR OPERACIONES'!$S$7:$S$506,'CARGAR OPERACIONES'!$O$7:$O$506,$B25,'CARGAR OPERACIONES'!$S$7:$S$506,"&lt;=0")))</f>
        <v>-</v>
      </c>
      <c r="M25" s="65" t="str">
        <f aca="false">IF(C25=0,"-",K25/C25)</f>
        <v>-</v>
      </c>
      <c r="N25" s="67" t="str">
        <f aca="false">IF(C25=0,"-",AVERAGEIFS('CARGAR OPERACIONES'!$U$7:$U$506,'CARGAR OPERACIONES'!$O$7:$O$506,$B25))</f>
        <v>-</v>
      </c>
      <c r="O25" s="65" t="str">
        <f aca="false">IF(C25=0,"-",_xlfn.MINIFS('CARGAR OPERACIONES'!$AF$7:$AF$506,'CARGAR OPERACIONES'!$O$7:$O$506,$B25))</f>
        <v>-</v>
      </c>
      <c r="P25" s="68" t="str">
        <f aca="false">IF(C25=0,"-",-MIN(0,_xlfn.MINIFS('CARGAR OPERACIONES'!$AG$7:$AG$506,'CARGAR OPERACIONES'!$O$7:$O$506,$B25)))</f>
        <v>-</v>
      </c>
      <c r="Q25" s="61" t="str">
        <f aca="false">IF(C25=0,"-",COUNTIFS('CARGAR OPERACIONES'!$O$7:$O$506,$B25,'CARGAR OPERACIONES'!$L$7:$L$506,"SI")/C25)</f>
        <v>-</v>
      </c>
      <c r="R25" s="65" t="str">
        <f aca="false">IF(C25=0,"-",Parametros!$C$6+SUMIFS('CARGAR OPERACIONES'!$S$7:$S$506,'CARGAR OPERACIONES'!$O$7:$O$506,"&lt;="&amp;$B25))</f>
        <v>-</v>
      </c>
      <c r="S25" s="62" t="str">
        <f aca="false">IF(C25=0,"",IF(L25&gt;=Parametros!$C$11,"✔","✘"))</f>
        <v/>
      </c>
      <c r="T25" s="62" t="str">
        <f aca="false">IF(C25=0,"",IF(J25&gt;=Parametros!$C$12,"✔","✘"))</f>
        <v/>
      </c>
      <c r="U25" s="62" t="str">
        <f aca="false">IF(C25=0,"",IF(Q25&gt;=Parametros!$C$13,"✔","✘"))</f>
        <v/>
      </c>
    </row>
    <row r="26" customFormat="false" ht="19.5" hidden="false" customHeight="true" outlineLevel="0" collapsed="false">
      <c r="B26" s="69" t="n">
        <v>12</v>
      </c>
      <c r="C26" s="70" t="n">
        <f aca="false">COUNTIFS('CARGAR OPERACIONES'!$O$7:$O$506,$B26)</f>
        <v>0</v>
      </c>
      <c r="D26" s="71" t="str">
        <f aca="false">IF(C26=0,"",C26/Parametros!$C$10)</f>
        <v/>
      </c>
      <c r="E26" s="72" t="str">
        <f aca="false">IF(C26=0,"Pendiente",IF(C26&gt;=Parametros!$C$10,"Completado","En curso"))</f>
        <v>Pendiente</v>
      </c>
      <c r="F26" s="73" t="str">
        <f aca="false">IF(C26=0,"-",_xlfn.MINIFS('CARGAR OPERACIONES'!$B$7:$B$506,'CARGAR OPERACIONES'!$O$7:$O$506,$B26))</f>
        <v>-</v>
      </c>
      <c r="G26" s="73" t="str">
        <f aca="false">IF(C26=0,"-",_xlfn.MAXIFS('CARGAR OPERACIONES'!$B$7:$B$506,'CARGAR OPERACIONES'!$O$7:$O$506,$B26))</f>
        <v>-</v>
      </c>
      <c r="H26" s="70" t="n">
        <f aca="false">COUNTIFS('CARGAR OPERACIONES'!$O$7:$O$506,$B26,'CARGAR OPERACIONES'!$S$7:$S$506,"&gt;0")</f>
        <v>0</v>
      </c>
      <c r="I26" s="70" t="n">
        <f aca="false">COUNTIFS('CARGAR OPERACIONES'!$O$7:$O$506,$B26,'CARGAR OPERACIONES'!$S$7:$S$506,"&lt;=0")</f>
        <v>0</v>
      </c>
      <c r="J26" s="74" t="str">
        <f aca="false">IF(C26=0,"-",H26/C26)</f>
        <v>-</v>
      </c>
      <c r="K26" s="75" t="str">
        <f aca="false">IF(C26=0,"-",SUMIFS('CARGAR OPERACIONES'!$S$7:$S$506,'CARGAR OPERACIONES'!$O$7:$O$506,$B26))</f>
        <v>-</v>
      </c>
      <c r="L26" s="76" t="str">
        <f aca="false">IF(C26=0,"-",IF(I26=0,99,SUMIFS('CARGAR OPERACIONES'!$S$7:$S$506,'CARGAR OPERACIONES'!$O$7:$O$506,$B26,'CARGAR OPERACIONES'!$S$7:$S$506,"&gt;0")/-SUMIFS('CARGAR OPERACIONES'!$S$7:$S$506,'CARGAR OPERACIONES'!$O$7:$O$506,$B26,'CARGAR OPERACIONES'!$S$7:$S$506,"&lt;=0")))</f>
        <v>-</v>
      </c>
      <c r="M26" s="75" t="str">
        <f aca="false">IF(C26=0,"-",K26/C26)</f>
        <v>-</v>
      </c>
      <c r="N26" s="77" t="str">
        <f aca="false">IF(C26=0,"-",AVERAGEIFS('CARGAR OPERACIONES'!$U$7:$U$506,'CARGAR OPERACIONES'!$O$7:$O$506,$B26))</f>
        <v>-</v>
      </c>
      <c r="O26" s="75" t="str">
        <f aca="false">IF(C26=0,"-",_xlfn.MINIFS('CARGAR OPERACIONES'!$AF$7:$AF$506,'CARGAR OPERACIONES'!$O$7:$O$506,$B26))</f>
        <v>-</v>
      </c>
      <c r="P26" s="78" t="str">
        <f aca="false">IF(C26=0,"-",-MIN(0,_xlfn.MINIFS('CARGAR OPERACIONES'!$AG$7:$AG$506,'CARGAR OPERACIONES'!$O$7:$O$506,$B26)))</f>
        <v>-</v>
      </c>
      <c r="Q26" s="71" t="str">
        <f aca="false">IF(C26=0,"-",COUNTIFS('CARGAR OPERACIONES'!$O$7:$O$506,$B26,'CARGAR OPERACIONES'!$L$7:$L$506,"SI")/C26)</f>
        <v>-</v>
      </c>
      <c r="R26" s="75" t="str">
        <f aca="false">IF(C26=0,"-",Parametros!$C$6+SUMIFS('CARGAR OPERACIONES'!$S$7:$S$506,'CARGAR OPERACIONES'!$O$7:$O$506,"&lt;="&amp;$B26))</f>
        <v>-</v>
      </c>
      <c r="S26" s="72" t="str">
        <f aca="false">IF(C26=0,"",IF(L26&gt;=Parametros!$C$11,"✔","✘"))</f>
        <v/>
      </c>
      <c r="T26" s="72" t="str">
        <f aca="false">IF(C26=0,"",IF(J26&gt;=Parametros!$C$12,"✔","✘"))</f>
        <v/>
      </c>
      <c r="U26" s="72" t="str">
        <f aca="false">IF(C26=0,"",IF(Q26&gt;=Parametros!$C$13,"✔","✘"))</f>
        <v/>
      </c>
    </row>
    <row r="27" customFormat="false" ht="19.5" hidden="false" customHeight="true" outlineLevel="0" collapsed="false">
      <c r="B27" s="59" t="n">
        <v>13</v>
      </c>
      <c r="C27" s="60" t="n">
        <f aca="false">COUNTIFS('CARGAR OPERACIONES'!$O$7:$O$506,$B27)</f>
        <v>0</v>
      </c>
      <c r="D27" s="61" t="str">
        <f aca="false">IF(C27=0,"",C27/Parametros!$C$10)</f>
        <v/>
      </c>
      <c r="E27" s="62" t="str">
        <f aca="false">IF(C27=0,"Pendiente",IF(C27&gt;=Parametros!$C$10,"Completado","En curso"))</f>
        <v>Pendiente</v>
      </c>
      <c r="F27" s="63" t="str">
        <f aca="false">IF(C27=0,"-",_xlfn.MINIFS('CARGAR OPERACIONES'!$B$7:$B$506,'CARGAR OPERACIONES'!$O$7:$O$506,$B27))</f>
        <v>-</v>
      </c>
      <c r="G27" s="63" t="str">
        <f aca="false">IF(C27=0,"-",_xlfn.MAXIFS('CARGAR OPERACIONES'!$B$7:$B$506,'CARGAR OPERACIONES'!$O$7:$O$506,$B27))</f>
        <v>-</v>
      </c>
      <c r="H27" s="60" t="n">
        <f aca="false">COUNTIFS('CARGAR OPERACIONES'!$O$7:$O$506,$B27,'CARGAR OPERACIONES'!$S$7:$S$506,"&gt;0")</f>
        <v>0</v>
      </c>
      <c r="I27" s="60" t="n">
        <f aca="false">COUNTIFS('CARGAR OPERACIONES'!$O$7:$O$506,$B27,'CARGAR OPERACIONES'!$S$7:$S$506,"&lt;=0")</f>
        <v>0</v>
      </c>
      <c r="J27" s="64" t="str">
        <f aca="false">IF(C27=0,"-",H27/C27)</f>
        <v>-</v>
      </c>
      <c r="K27" s="65" t="str">
        <f aca="false">IF(C27=0,"-",SUMIFS('CARGAR OPERACIONES'!$S$7:$S$506,'CARGAR OPERACIONES'!$O$7:$O$506,$B27))</f>
        <v>-</v>
      </c>
      <c r="L27" s="66" t="str">
        <f aca="false">IF(C27=0,"-",IF(I27=0,99,SUMIFS('CARGAR OPERACIONES'!$S$7:$S$506,'CARGAR OPERACIONES'!$O$7:$O$506,$B27,'CARGAR OPERACIONES'!$S$7:$S$506,"&gt;0")/-SUMIFS('CARGAR OPERACIONES'!$S$7:$S$506,'CARGAR OPERACIONES'!$O$7:$O$506,$B27,'CARGAR OPERACIONES'!$S$7:$S$506,"&lt;=0")))</f>
        <v>-</v>
      </c>
      <c r="M27" s="65" t="str">
        <f aca="false">IF(C27=0,"-",K27/C27)</f>
        <v>-</v>
      </c>
      <c r="N27" s="67" t="str">
        <f aca="false">IF(C27=0,"-",AVERAGEIFS('CARGAR OPERACIONES'!$U$7:$U$506,'CARGAR OPERACIONES'!$O$7:$O$506,$B27))</f>
        <v>-</v>
      </c>
      <c r="O27" s="65" t="str">
        <f aca="false">IF(C27=0,"-",_xlfn.MINIFS('CARGAR OPERACIONES'!$AF$7:$AF$506,'CARGAR OPERACIONES'!$O$7:$O$506,$B27))</f>
        <v>-</v>
      </c>
      <c r="P27" s="68" t="str">
        <f aca="false">IF(C27=0,"-",-MIN(0,_xlfn.MINIFS('CARGAR OPERACIONES'!$AG$7:$AG$506,'CARGAR OPERACIONES'!$O$7:$O$506,$B27)))</f>
        <v>-</v>
      </c>
      <c r="Q27" s="61" t="str">
        <f aca="false">IF(C27=0,"-",COUNTIFS('CARGAR OPERACIONES'!$O$7:$O$506,$B27,'CARGAR OPERACIONES'!$L$7:$L$506,"SI")/C27)</f>
        <v>-</v>
      </c>
      <c r="R27" s="65" t="str">
        <f aca="false">IF(C27=0,"-",Parametros!$C$6+SUMIFS('CARGAR OPERACIONES'!$S$7:$S$506,'CARGAR OPERACIONES'!$O$7:$O$506,"&lt;="&amp;$B27))</f>
        <v>-</v>
      </c>
      <c r="S27" s="62" t="str">
        <f aca="false">IF(C27=0,"",IF(L27&gt;=Parametros!$C$11,"✔","✘"))</f>
        <v/>
      </c>
      <c r="T27" s="62" t="str">
        <f aca="false">IF(C27=0,"",IF(J27&gt;=Parametros!$C$12,"✔","✘"))</f>
        <v/>
      </c>
      <c r="U27" s="62" t="str">
        <f aca="false">IF(C27=0,"",IF(Q27&gt;=Parametros!$C$13,"✔","✘"))</f>
        <v/>
      </c>
    </row>
    <row r="28" customFormat="false" ht="19.5" hidden="false" customHeight="true" outlineLevel="0" collapsed="false">
      <c r="B28" s="69" t="n">
        <v>14</v>
      </c>
      <c r="C28" s="70" t="n">
        <f aca="false">COUNTIFS('CARGAR OPERACIONES'!$O$7:$O$506,$B28)</f>
        <v>0</v>
      </c>
      <c r="D28" s="71" t="str">
        <f aca="false">IF(C28=0,"",C28/Parametros!$C$10)</f>
        <v/>
      </c>
      <c r="E28" s="72" t="str">
        <f aca="false">IF(C28=0,"Pendiente",IF(C28&gt;=Parametros!$C$10,"Completado","En curso"))</f>
        <v>Pendiente</v>
      </c>
      <c r="F28" s="73" t="str">
        <f aca="false">IF(C28=0,"-",_xlfn.MINIFS('CARGAR OPERACIONES'!$B$7:$B$506,'CARGAR OPERACIONES'!$O$7:$O$506,$B28))</f>
        <v>-</v>
      </c>
      <c r="G28" s="73" t="str">
        <f aca="false">IF(C28=0,"-",_xlfn.MAXIFS('CARGAR OPERACIONES'!$B$7:$B$506,'CARGAR OPERACIONES'!$O$7:$O$506,$B28))</f>
        <v>-</v>
      </c>
      <c r="H28" s="70" t="n">
        <f aca="false">COUNTIFS('CARGAR OPERACIONES'!$O$7:$O$506,$B28,'CARGAR OPERACIONES'!$S$7:$S$506,"&gt;0")</f>
        <v>0</v>
      </c>
      <c r="I28" s="70" t="n">
        <f aca="false">COUNTIFS('CARGAR OPERACIONES'!$O$7:$O$506,$B28,'CARGAR OPERACIONES'!$S$7:$S$506,"&lt;=0")</f>
        <v>0</v>
      </c>
      <c r="J28" s="74" t="str">
        <f aca="false">IF(C28=0,"-",H28/C28)</f>
        <v>-</v>
      </c>
      <c r="K28" s="75" t="str">
        <f aca="false">IF(C28=0,"-",SUMIFS('CARGAR OPERACIONES'!$S$7:$S$506,'CARGAR OPERACIONES'!$O$7:$O$506,$B28))</f>
        <v>-</v>
      </c>
      <c r="L28" s="76" t="str">
        <f aca="false">IF(C28=0,"-",IF(I28=0,99,SUMIFS('CARGAR OPERACIONES'!$S$7:$S$506,'CARGAR OPERACIONES'!$O$7:$O$506,$B28,'CARGAR OPERACIONES'!$S$7:$S$506,"&gt;0")/-SUMIFS('CARGAR OPERACIONES'!$S$7:$S$506,'CARGAR OPERACIONES'!$O$7:$O$506,$B28,'CARGAR OPERACIONES'!$S$7:$S$506,"&lt;=0")))</f>
        <v>-</v>
      </c>
      <c r="M28" s="75" t="str">
        <f aca="false">IF(C28=0,"-",K28/C28)</f>
        <v>-</v>
      </c>
      <c r="N28" s="77" t="str">
        <f aca="false">IF(C28=0,"-",AVERAGEIFS('CARGAR OPERACIONES'!$U$7:$U$506,'CARGAR OPERACIONES'!$O$7:$O$506,$B28))</f>
        <v>-</v>
      </c>
      <c r="O28" s="75" t="str">
        <f aca="false">IF(C28=0,"-",_xlfn.MINIFS('CARGAR OPERACIONES'!$AF$7:$AF$506,'CARGAR OPERACIONES'!$O$7:$O$506,$B28))</f>
        <v>-</v>
      </c>
      <c r="P28" s="78" t="str">
        <f aca="false">IF(C28=0,"-",-MIN(0,_xlfn.MINIFS('CARGAR OPERACIONES'!$AG$7:$AG$506,'CARGAR OPERACIONES'!$O$7:$O$506,$B28)))</f>
        <v>-</v>
      </c>
      <c r="Q28" s="71" t="str">
        <f aca="false">IF(C28=0,"-",COUNTIFS('CARGAR OPERACIONES'!$O$7:$O$506,$B28,'CARGAR OPERACIONES'!$L$7:$L$506,"SI")/C28)</f>
        <v>-</v>
      </c>
      <c r="R28" s="75" t="str">
        <f aca="false">IF(C28=0,"-",Parametros!$C$6+SUMIFS('CARGAR OPERACIONES'!$S$7:$S$506,'CARGAR OPERACIONES'!$O$7:$O$506,"&lt;="&amp;$B28))</f>
        <v>-</v>
      </c>
      <c r="S28" s="72" t="str">
        <f aca="false">IF(C28=0,"",IF(L28&gt;=Parametros!$C$11,"✔","✘"))</f>
        <v/>
      </c>
      <c r="T28" s="72" t="str">
        <f aca="false">IF(C28=0,"",IF(J28&gt;=Parametros!$C$12,"✔","✘"))</f>
        <v/>
      </c>
      <c r="U28" s="72" t="str">
        <f aca="false">IF(C28=0,"",IF(Q28&gt;=Parametros!$C$13,"✔","✘"))</f>
        <v/>
      </c>
    </row>
    <row r="29" customFormat="false" ht="19.5" hidden="false" customHeight="true" outlineLevel="0" collapsed="false">
      <c r="B29" s="59" t="n">
        <v>15</v>
      </c>
      <c r="C29" s="60" t="n">
        <f aca="false">COUNTIFS('CARGAR OPERACIONES'!$O$7:$O$506,$B29)</f>
        <v>0</v>
      </c>
      <c r="D29" s="61" t="str">
        <f aca="false">IF(C29=0,"",C29/Parametros!$C$10)</f>
        <v/>
      </c>
      <c r="E29" s="62" t="str">
        <f aca="false">IF(C29=0,"Pendiente",IF(C29&gt;=Parametros!$C$10,"Completado","En curso"))</f>
        <v>Pendiente</v>
      </c>
      <c r="F29" s="63" t="str">
        <f aca="false">IF(C29=0,"-",_xlfn.MINIFS('CARGAR OPERACIONES'!$B$7:$B$506,'CARGAR OPERACIONES'!$O$7:$O$506,$B29))</f>
        <v>-</v>
      </c>
      <c r="G29" s="63" t="str">
        <f aca="false">IF(C29=0,"-",_xlfn.MAXIFS('CARGAR OPERACIONES'!$B$7:$B$506,'CARGAR OPERACIONES'!$O$7:$O$506,$B29))</f>
        <v>-</v>
      </c>
      <c r="H29" s="60" t="n">
        <f aca="false">COUNTIFS('CARGAR OPERACIONES'!$O$7:$O$506,$B29,'CARGAR OPERACIONES'!$S$7:$S$506,"&gt;0")</f>
        <v>0</v>
      </c>
      <c r="I29" s="60" t="n">
        <f aca="false">COUNTIFS('CARGAR OPERACIONES'!$O$7:$O$506,$B29,'CARGAR OPERACIONES'!$S$7:$S$506,"&lt;=0")</f>
        <v>0</v>
      </c>
      <c r="J29" s="64" t="str">
        <f aca="false">IF(C29=0,"-",H29/C29)</f>
        <v>-</v>
      </c>
      <c r="K29" s="65" t="str">
        <f aca="false">IF(C29=0,"-",SUMIFS('CARGAR OPERACIONES'!$S$7:$S$506,'CARGAR OPERACIONES'!$O$7:$O$506,$B29))</f>
        <v>-</v>
      </c>
      <c r="L29" s="66" t="str">
        <f aca="false">IF(C29=0,"-",IF(I29=0,99,SUMIFS('CARGAR OPERACIONES'!$S$7:$S$506,'CARGAR OPERACIONES'!$O$7:$O$506,$B29,'CARGAR OPERACIONES'!$S$7:$S$506,"&gt;0")/-SUMIFS('CARGAR OPERACIONES'!$S$7:$S$506,'CARGAR OPERACIONES'!$O$7:$O$506,$B29,'CARGAR OPERACIONES'!$S$7:$S$506,"&lt;=0")))</f>
        <v>-</v>
      </c>
      <c r="M29" s="65" t="str">
        <f aca="false">IF(C29=0,"-",K29/C29)</f>
        <v>-</v>
      </c>
      <c r="N29" s="67" t="str">
        <f aca="false">IF(C29=0,"-",AVERAGEIFS('CARGAR OPERACIONES'!$U$7:$U$506,'CARGAR OPERACIONES'!$O$7:$O$506,$B29))</f>
        <v>-</v>
      </c>
      <c r="O29" s="65" t="str">
        <f aca="false">IF(C29=0,"-",_xlfn.MINIFS('CARGAR OPERACIONES'!$AF$7:$AF$506,'CARGAR OPERACIONES'!$O$7:$O$506,$B29))</f>
        <v>-</v>
      </c>
      <c r="P29" s="68" t="str">
        <f aca="false">IF(C29=0,"-",-MIN(0,_xlfn.MINIFS('CARGAR OPERACIONES'!$AG$7:$AG$506,'CARGAR OPERACIONES'!$O$7:$O$506,$B29)))</f>
        <v>-</v>
      </c>
      <c r="Q29" s="61" t="str">
        <f aca="false">IF(C29=0,"-",COUNTIFS('CARGAR OPERACIONES'!$O$7:$O$506,$B29,'CARGAR OPERACIONES'!$L$7:$L$506,"SI")/C29)</f>
        <v>-</v>
      </c>
      <c r="R29" s="65" t="str">
        <f aca="false">IF(C29=0,"-",Parametros!$C$6+SUMIFS('CARGAR OPERACIONES'!$S$7:$S$506,'CARGAR OPERACIONES'!$O$7:$O$506,"&lt;="&amp;$B29))</f>
        <v>-</v>
      </c>
      <c r="S29" s="62" t="str">
        <f aca="false">IF(C29=0,"",IF(L29&gt;=Parametros!$C$11,"✔","✘"))</f>
        <v/>
      </c>
      <c r="T29" s="62" t="str">
        <f aca="false">IF(C29=0,"",IF(J29&gt;=Parametros!$C$12,"✔","✘"))</f>
        <v/>
      </c>
      <c r="U29" s="62" t="str">
        <f aca="false">IF(C29=0,"",IF(Q29&gt;=Parametros!$C$13,"✔","✘"))</f>
        <v/>
      </c>
    </row>
    <row r="30" customFormat="false" ht="19.5" hidden="false" customHeight="true" outlineLevel="0" collapsed="false">
      <c r="B30" s="69" t="n">
        <v>16</v>
      </c>
      <c r="C30" s="70" t="n">
        <f aca="false">COUNTIFS('CARGAR OPERACIONES'!$O$7:$O$506,$B30)</f>
        <v>0</v>
      </c>
      <c r="D30" s="71" t="str">
        <f aca="false">IF(C30=0,"",C30/Parametros!$C$10)</f>
        <v/>
      </c>
      <c r="E30" s="72" t="str">
        <f aca="false">IF(C30=0,"Pendiente",IF(C30&gt;=Parametros!$C$10,"Completado","En curso"))</f>
        <v>Pendiente</v>
      </c>
      <c r="F30" s="73" t="str">
        <f aca="false">IF(C30=0,"-",_xlfn.MINIFS('CARGAR OPERACIONES'!$B$7:$B$506,'CARGAR OPERACIONES'!$O$7:$O$506,$B30))</f>
        <v>-</v>
      </c>
      <c r="G30" s="73" t="str">
        <f aca="false">IF(C30=0,"-",_xlfn.MAXIFS('CARGAR OPERACIONES'!$B$7:$B$506,'CARGAR OPERACIONES'!$O$7:$O$506,$B30))</f>
        <v>-</v>
      </c>
      <c r="H30" s="70" t="n">
        <f aca="false">COUNTIFS('CARGAR OPERACIONES'!$O$7:$O$506,$B30,'CARGAR OPERACIONES'!$S$7:$S$506,"&gt;0")</f>
        <v>0</v>
      </c>
      <c r="I30" s="70" t="n">
        <f aca="false">COUNTIFS('CARGAR OPERACIONES'!$O$7:$O$506,$B30,'CARGAR OPERACIONES'!$S$7:$S$506,"&lt;=0")</f>
        <v>0</v>
      </c>
      <c r="J30" s="74" t="str">
        <f aca="false">IF(C30=0,"-",H30/C30)</f>
        <v>-</v>
      </c>
      <c r="K30" s="75" t="str">
        <f aca="false">IF(C30=0,"-",SUMIFS('CARGAR OPERACIONES'!$S$7:$S$506,'CARGAR OPERACIONES'!$O$7:$O$506,$B30))</f>
        <v>-</v>
      </c>
      <c r="L30" s="76" t="str">
        <f aca="false">IF(C30=0,"-",IF(I30=0,99,SUMIFS('CARGAR OPERACIONES'!$S$7:$S$506,'CARGAR OPERACIONES'!$O$7:$O$506,$B30,'CARGAR OPERACIONES'!$S$7:$S$506,"&gt;0")/-SUMIFS('CARGAR OPERACIONES'!$S$7:$S$506,'CARGAR OPERACIONES'!$O$7:$O$506,$B30,'CARGAR OPERACIONES'!$S$7:$S$506,"&lt;=0")))</f>
        <v>-</v>
      </c>
      <c r="M30" s="75" t="str">
        <f aca="false">IF(C30=0,"-",K30/C30)</f>
        <v>-</v>
      </c>
      <c r="N30" s="77" t="str">
        <f aca="false">IF(C30=0,"-",AVERAGEIFS('CARGAR OPERACIONES'!$U$7:$U$506,'CARGAR OPERACIONES'!$O$7:$O$506,$B30))</f>
        <v>-</v>
      </c>
      <c r="O30" s="75" t="str">
        <f aca="false">IF(C30=0,"-",_xlfn.MINIFS('CARGAR OPERACIONES'!$AF$7:$AF$506,'CARGAR OPERACIONES'!$O$7:$O$506,$B30))</f>
        <v>-</v>
      </c>
      <c r="P30" s="78" t="str">
        <f aca="false">IF(C30=0,"-",-MIN(0,_xlfn.MINIFS('CARGAR OPERACIONES'!$AG$7:$AG$506,'CARGAR OPERACIONES'!$O$7:$O$506,$B30)))</f>
        <v>-</v>
      </c>
      <c r="Q30" s="71" t="str">
        <f aca="false">IF(C30=0,"-",COUNTIFS('CARGAR OPERACIONES'!$O$7:$O$506,$B30,'CARGAR OPERACIONES'!$L$7:$L$506,"SI")/C30)</f>
        <v>-</v>
      </c>
      <c r="R30" s="75" t="str">
        <f aca="false">IF(C30=0,"-",Parametros!$C$6+SUMIFS('CARGAR OPERACIONES'!$S$7:$S$506,'CARGAR OPERACIONES'!$O$7:$O$506,"&lt;="&amp;$B30))</f>
        <v>-</v>
      </c>
      <c r="S30" s="72" t="str">
        <f aca="false">IF(C30=0,"",IF(L30&gt;=Parametros!$C$11,"✔","✘"))</f>
        <v/>
      </c>
      <c r="T30" s="72" t="str">
        <f aca="false">IF(C30=0,"",IF(J30&gt;=Parametros!$C$12,"✔","✘"))</f>
        <v/>
      </c>
      <c r="U30" s="72" t="str">
        <f aca="false">IF(C30=0,"",IF(Q30&gt;=Parametros!$C$13,"✔","✘"))</f>
        <v/>
      </c>
    </row>
    <row r="31" customFormat="false" ht="19.5" hidden="false" customHeight="true" outlineLevel="0" collapsed="false">
      <c r="B31" s="59" t="n">
        <v>17</v>
      </c>
      <c r="C31" s="60" t="n">
        <f aca="false">COUNTIFS('CARGAR OPERACIONES'!$O$7:$O$506,$B31)</f>
        <v>0</v>
      </c>
      <c r="D31" s="61" t="str">
        <f aca="false">IF(C31=0,"",C31/Parametros!$C$10)</f>
        <v/>
      </c>
      <c r="E31" s="62" t="str">
        <f aca="false">IF(C31=0,"Pendiente",IF(C31&gt;=Parametros!$C$10,"Completado","En curso"))</f>
        <v>Pendiente</v>
      </c>
      <c r="F31" s="63" t="str">
        <f aca="false">IF(C31=0,"-",_xlfn.MINIFS('CARGAR OPERACIONES'!$B$7:$B$506,'CARGAR OPERACIONES'!$O$7:$O$506,$B31))</f>
        <v>-</v>
      </c>
      <c r="G31" s="63" t="str">
        <f aca="false">IF(C31=0,"-",_xlfn.MAXIFS('CARGAR OPERACIONES'!$B$7:$B$506,'CARGAR OPERACIONES'!$O$7:$O$506,$B31))</f>
        <v>-</v>
      </c>
      <c r="H31" s="60" t="n">
        <f aca="false">COUNTIFS('CARGAR OPERACIONES'!$O$7:$O$506,$B31,'CARGAR OPERACIONES'!$S$7:$S$506,"&gt;0")</f>
        <v>0</v>
      </c>
      <c r="I31" s="60" t="n">
        <f aca="false">COUNTIFS('CARGAR OPERACIONES'!$O$7:$O$506,$B31,'CARGAR OPERACIONES'!$S$7:$S$506,"&lt;=0")</f>
        <v>0</v>
      </c>
      <c r="J31" s="64" t="str">
        <f aca="false">IF(C31=0,"-",H31/C31)</f>
        <v>-</v>
      </c>
      <c r="K31" s="65" t="str">
        <f aca="false">IF(C31=0,"-",SUMIFS('CARGAR OPERACIONES'!$S$7:$S$506,'CARGAR OPERACIONES'!$O$7:$O$506,$B31))</f>
        <v>-</v>
      </c>
      <c r="L31" s="66" t="str">
        <f aca="false">IF(C31=0,"-",IF(I31=0,99,SUMIFS('CARGAR OPERACIONES'!$S$7:$S$506,'CARGAR OPERACIONES'!$O$7:$O$506,$B31,'CARGAR OPERACIONES'!$S$7:$S$506,"&gt;0")/-SUMIFS('CARGAR OPERACIONES'!$S$7:$S$506,'CARGAR OPERACIONES'!$O$7:$O$506,$B31,'CARGAR OPERACIONES'!$S$7:$S$506,"&lt;=0")))</f>
        <v>-</v>
      </c>
      <c r="M31" s="65" t="str">
        <f aca="false">IF(C31=0,"-",K31/C31)</f>
        <v>-</v>
      </c>
      <c r="N31" s="67" t="str">
        <f aca="false">IF(C31=0,"-",AVERAGEIFS('CARGAR OPERACIONES'!$U$7:$U$506,'CARGAR OPERACIONES'!$O$7:$O$506,$B31))</f>
        <v>-</v>
      </c>
      <c r="O31" s="65" t="str">
        <f aca="false">IF(C31=0,"-",_xlfn.MINIFS('CARGAR OPERACIONES'!$AF$7:$AF$506,'CARGAR OPERACIONES'!$O$7:$O$506,$B31))</f>
        <v>-</v>
      </c>
      <c r="P31" s="68" t="str">
        <f aca="false">IF(C31=0,"-",-MIN(0,_xlfn.MINIFS('CARGAR OPERACIONES'!$AG$7:$AG$506,'CARGAR OPERACIONES'!$O$7:$O$506,$B31)))</f>
        <v>-</v>
      </c>
      <c r="Q31" s="61" t="str">
        <f aca="false">IF(C31=0,"-",COUNTIFS('CARGAR OPERACIONES'!$O$7:$O$506,$B31,'CARGAR OPERACIONES'!$L$7:$L$506,"SI")/C31)</f>
        <v>-</v>
      </c>
      <c r="R31" s="65" t="str">
        <f aca="false">IF(C31=0,"-",Parametros!$C$6+SUMIFS('CARGAR OPERACIONES'!$S$7:$S$506,'CARGAR OPERACIONES'!$O$7:$O$506,"&lt;="&amp;$B31))</f>
        <v>-</v>
      </c>
      <c r="S31" s="62" t="str">
        <f aca="false">IF(C31=0,"",IF(L31&gt;=Parametros!$C$11,"✔","✘"))</f>
        <v/>
      </c>
      <c r="T31" s="62" t="str">
        <f aca="false">IF(C31=0,"",IF(J31&gt;=Parametros!$C$12,"✔","✘"))</f>
        <v/>
      </c>
      <c r="U31" s="62" t="str">
        <f aca="false">IF(C31=0,"",IF(Q31&gt;=Parametros!$C$13,"✔","✘"))</f>
        <v/>
      </c>
    </row>
    <row r="32" customFormat="false" ht="19.5" hidden="false" customHeight="true" outlineLevel="0" collapsed="false">
      <c r="B32" s="69" t="n">
        <v>18</v>
      </c>
      <c r="C32" s="70" t="n">
        <f aca="false">COUNTIFS('CARGAR OPERACIONES'!$O$7:$O$506,$B32)</f>
        <v>0</v>
      </c>
      <c r="D32" s="71" t="str">
        <f aca="false">IF(C32=0,"",C32/Parametros!$C$10)</f>
        <v/>
      </c>
      <c r="E32" s="72" t="str">
        <f aca="false">IF(C32=0,"Pendiente",IF(C32&gt;=Parametros!$C$10,"Completado","En curso"))</f>
        <v>Pendiente</v>
      </c>
      <c r="F32" s="73" t="str">
        <f aca="false">IF(C32=0,"-",_xlfn.MINIFS('CARGAR OPERACIONES'!$B$7:$B$506,'CARGAR OPERACIONES'!$O$7:$O$506,$B32))</f>
        <v>-</v>
      </c>
      <c r="G32" s="73" t="str">
        <f aca="false">IF(C32=0,"-",_xlfn.MAXIFS('CARGAR OPERACIONES'!$B$7:$B$506,'CARGAR OPERACIONES'!$O$7:$O$506,$B32))</f>
        <v>-</v>
      </c>
      <c r="H32" s="70" t="n">
        <f aca="false">COUNTIFS('CARGAR OPERACIONES'!$O$7:$O$506,$B32,'CARGAR OPERACIONES'!$S$7:$S$506,"&gt;0")</f>
        <v>0</v>
      </c>
      <c r="I32" s="70" t="n">
        <f aca="false">COUNTIFS('CARGAR OPERACIONES'!$O$7:$O$506,$B32,'CARGAR OPERACIONES'!$S$7:$S$506,"&lt;=0")</f>
        <v>0</v>
      </c>
      <c r="J32" s="74" t="str">
        <f aca="false">IF(C32=0,"-",H32/C32)</f>
        <v>-</v>
      </c>
      <c r="K32" s="75" t="str">
        <f aca="false">IF(C32=0,"-",SUMIFS('CARGAR OPERACIONES'!$S$7:$S$506,'CARGAR OPERACIONES'!$O$7:$O$506,$B32))</f>
        <v>-</v>
      </c>
      <c r="L32" s="76" t="str">
        <f aca="false">IF(C32=0,"-",IF(I32=0,99,SUMIFS('CARGAR OPERACIONES'!$S$7:$S$506,'CARGAR OPERACIONES'!$O$7:$O$506,$B32,'CARGAR OPERACIONES'!$S$7:$S$506,"&gt;0")/-SUMIFS('CARGAR OPERACIONES'!$S$7:$S$506,'CARGAR OPERACIONES'!$O$7:$O$506,$B32,'CARGAR OPERACIONES'!$S$7:$S$506,"&lt;=0")))</f>
        <v>-</v>
      </c>
      <c r="M32" s="75" t="str">
        <f aca="false">IF(C32=0,"-",K32/C32)</f>
        <v>-</v>
      </c>
      <c r="N32" s="77" t="str">
        <f aca="false">IF(C32=0,"-",AVERAGEIFS('CARGAR OPERACIONES'!$U$7:$U$506,'CARGAR OPERACIONES'!$O$7:$O$506,$B32))</f>
        <v>-</v>
      </c>
      <c r="O32" s="75" t="str">
        <f aca="false">IF(C32=0,"-",_xlfn.MINIFS('CARGAR OPERACIONES'!$AF$7:$AF$506,'CARGAR OPERACIONES'!$O$7:$O$506,$B32))</f>
        <v>-</v>
      </c>
      <c r="P32" s="78" t="str">
        <f aca="false">IF(C32=0,"-",-MIN(0,_xlfn.MINIFS('CARGAR OPERACIONES'!$AG$7:$AG$506,'CARGAR OPERACIONES'!$O$7:$O$506,$B32)))</f>
        <v>-</v>
      </c>
      <c r="Q32" s="71" t="str">
        <f aca="false">IF(C32=0,"-",COUNTIFS('CARGAR OPERACIONES'!$O$7:$O$506,$B32,'CARGAR OPERACIONES'!$L$7:$L$506,"SI")/C32)</f>
        <v>-</v>
      </c>
      <c r="R32" s="75" t="str">
        <f aca="false">IF(C32=0,"-",Parametros!$C$6+SUMIFS('CARGAR OPERACIONES'!$S$7:$S$506,'CARGAR OPERACIONES'!$O$7:$O$506,"&lt;="&amp;$B32))</f>
        <v>-</v>
      </c>
      <c r="S32" s="72" t="str">
        <f aca="false">IF(C32=0,"",IF(L32&gt;=Parametros!$C$11,"✔","✘"))</f>
        <v/>
      </c>
      <c r="T32" s="72" t="str">
        <f aca="false">IF(C32=0,"",IF(J32&gt;=Parametros!$C$12,"✔","✘"))</f>
        <v/>
      </c>
      <c r="U32" s="72" t="str">
        <f aca="false">IF(C32=0,"",IF(Q32&gt;=Parametros!$C$13,"✔","✘"))</f>
        <v/>
      </c>
    </row>
    <row r="33" customFormat="false" ht="19.5" hidden="false" customHeight="true" outlineLevel="0" collapsed="false">
      <c r="B33" s="59" t="n">
        <v>19</v>
      </c>
      <c r="C33" s="60" t="n">
        <f aca="false">COUNTIFS('CARGAR OPERACIONES'!$O$7:$O$506,$B33)</f>
        <v>0</v>
      </c>
      <c r="D33" s="61" t="str">
        <f aca="false">IF(C33=0,"",C33/Parametros!$C$10)</f>
        <v/>
      </c>
      <c r="E33" s="62" t="str">
        <f aca="false">IF(C33=0,"Pendiente",IF(C33&gt;=Parametros!$C$10,"Completado","En curso"))</f>
        <v>Pendiente</v>
      </c>
      <c r="F33" s="63" t="str">
        <f aca="false">IF(C33=0,"-",_xlfn.MINIFS('CARGAR OPERACIONES'!$B$7:$B$506,'CARGAR OPERACIONES'!$O$7:$O$506,$B33))</f>
        <v>-</v>
      </c>
      <c r="G33" s="63" t="str">
        <f aca="false">IF(C33=0,"-",_xlfn.MAXIFS('CARGAR OPERACIONES'!$B$7:$B$506,'CARGAR OPERACIONES'!$O$7:$O$506,$B33))</f>
        <v>-</v>
      </c>
      <c r="H33" s="60" t="n">
        <f aca="false">COUNTIFS('CARGAR OPERACIONES'!$O$7:$O$506,$B33,'CARGAR OPERACIONES'!$S$7:$S$506,"&gt;0")</f>
        <v>0</v>
      </c>
      <c r="I33" s="60" t="n">
        <f aca="false">COUNTIFS('CARGAR OPERACIONES'!$O$7:$O$506,$B33,'CARGAR OPERACIONES'!$S$7:$S$506,"&lt;=0")</f>
        <v>0</v>
      </c>
      <c r="J33" s="64" t="str">
        <f aca="false">IF(C33=0,"-",H33/C33)</f>
        <v>-</v>
      </c>
      <c r="K33" s="65" t="str">
        <f aca="false">IF(C33=0,"-",SUMIFS('CARGAR OPERACIONES'!$S$7:$S$506,'CARGAR OPERACIONES'!$O$7:$O$506,$B33))</f>
        <v>-</v>
      </c>
      <c r="L33" s="66" t="str">
        <f aca="false">IF(C33=0,"-",IF(I33=0,99,SUMIFS('CARGAR OPERACIONES'!$S$7:$S$506,'CARGAR OPERACIONES'!$O$7:$O$506,$B33,'CARGAR OPERACIONES'!$S$7:$S$506,"&gt;0")/-SUMIFS('CARGAR OPERACIONES'!$S$7:$S$506,'CARGAR OPERACIONES'!$O$7:$O$506,$B33,'CARGAR OPERACIONES'!$S$7:$S$506,"&lt;=0")))</f>
        <v>-</v>
      </c>
      <c r="M33" s="65" t="str">
        <f aca="false">IF(C33=0,"-",K33/C33)</f>
        <v>-</v>
      </c>
      <c r="N33" s="67" t="str">
        <f aca="false">IF(C33=0,"-",AVERAGEIFS('CARGAR OPERACIONES'!$U$7:$U$506,'CARGAR OPERACIONES'!$O$7:$O$506,$B33))</f>
        <v>-</v>
      </c>
      <c r="O33" s="65" t="str">
        <f aca="false">IF(C33=0,"-",_xlfn.MINIFS('CARGAR OPERACIONES'!$AF$7:$AF$506,'CARGAR OPERACIONES'!$O$7:$O$506,$B33))</f>
        <v>-</v>
      </c>
      <c r="P33" s="68" t="str">
        <f aca="false">IF(C33=0,"-",-MIN(0,_xlfn.MINIFS('CARGAR OPERACIONES'!$AG$7:$AG$506,'CARGAR OPERACIONES'!$O$7:$O$506,$B33)))</f>
        <v>-</v>
      </c>
      <c r="Q33" s="61" t="str">
        <f aca="false">IF(C33=0,"-",COUNTIFS('CARGAR OPERACIONES'!$O$7:$O$506,$B33,'CARGAR OPERACIONES'!$L$7:$L$506,"SI")/C33)</f>
        <v>-</v>
      </c>
      <c r="R33" s="65" t="str">
        <f aca="false">IF(C33=0,"-",Parametros!$C$6+SUMIFS('CARGAR OPERACIONES'!$S$7:$S$506,'CARGAR OPERACIONES'!$O$7:$O$506,"&lt;="&amp;$B33))</f>
        <v>-</v>
      </c>
      <c r="S33" s="62" t="str">
        <f aca="false">IF(C33=0,"",IF(L33&gt;=Parametros!$C$11,"✔","✘"))</f>
        <v/>
      </c>
      <c r="T33" s="62" t="str">
        <f aca="false">IF(C33=0,"",IF(J33&gt;=Parametros!$C$12,"✔","✘"))</f>
        <v/>
      </c>
      <c r="U33" s="62" t="str">
        <f aca="false">IF(C33=0,"",IF(Q33&gt;=Parametros!$C$13,"✔","✘"))</f>
        <v/>
      </c>
    </row>
    <row r="34" customFormat="false" ht="19.5" hidden="false" customHeight="true" outlineLevel="0" collapsed="false">
      <c r="B34" s="69" t="n">
        <v>20</v>
      </c>
      <c r="C34" s="70" t="n">
        <f aca="false">COUNTIFS('CARGAR OPERACIONES'!$O$7:$O$506,$B34)</f>
        <v>0</v>
      </c>
      <c r="D34" s="71" t="str">
        <f aca="false">IF(C34=0,"",C34/Parametros!$C$10)</f>
        <v/>
      </c>
      <c r="E34" s="72" t="str">
        <f aca="false">IF(C34=0,"Pendiente",IF(C34&gt;=Parametros!$C$10,"Completado","En curso"))</f>
        <v>Pendiente</v>
      </c>
      <c r="F34" s="73" t="str">
        <f aca="false">IF(C34=0,"-",_xlfn.MINIFS('CARGAR OPERACIONES'!$B$7:$B$506,'CARGAR OPERACIONES'!$O$7:$O$506,$B34))</f>
        <v>-</v>
      </c>
      <c r="G34" s="73" t="str">
        <f aca="false">IF(C34=0,"-",_xlfn.MAXIFS('CARGAR OPERACIONES'!$B$7:$B$506,'CARGAR OPERACIONES'!$O$7:$O$506,$B34))</f>
        <v>-</v>
      </c>
      <c r="H34" s="70" t="n">
        <f aca="false">COUNTIFS('CARGAR OPERACIONES'!$O$7:$O$506,$B34,'CARGAR OPERACIONES'!$S$7:$S$506,"&gt;0")</f>
        <v>0</v>
      </c>
      <c r="I34" s="70" t="n">
        <f aca="false">COUNTIFS('CARGAR OPERACIONES'!$O$7:$O$506,$B34,'CARGAR OPERACIONES'!$S$7:$S$506,"&lt;=0")</f>
        <v>0</v>
      </c>
      <c r="J34" s="74" t="str">
        <f aca="false">IF(C34=0,"-",H34/C34)</f>
        <v>-</v>
      </c>
      <c r="K34" s="75" t="str">
        <f aca="false">IF(C34=0,"-",SUMIFS('CARGAR OPERACIONES'!$S$7:$S$506,'CARGAR OPERACIONES'!$O$7:$O$506,$B34))</f>
        <v>-</v>
      </c>
      <c r="L34" s="76" t="str">
        <f aca="false">IF(C34=0,"-",IF(I34=0,99,SUMIFS('CARGAR OPERACIONES'!$S$7:$S$506,'CARGAR OPERACIONES'!$O$7:$O$506,$B34,'CARGAR OPERACIONES'!$S$7:$S$506,"&gt;0")/-SUMIFS('CARGAR OPERACIONES'!$S$7:$S$506,'CARGAR OPERACIONES'!$O$7:$O$506,$B34,'CARGAR OPERACIONES'!$S$7:$S$506,"&lt;=0")))</f>
        <v>-</v>
      </c>
      <c r="M34" s="75" t="str">
        <f aca="false">IF(C34=0,"-",K34/C34)</f>
        <v>-</v>
      </c>
      <c r="N34" s="77" t="str">
        <f aca="false">IF(C34=0,"-",AVERAGEIFS('CARGAR OPERACIONES'!$U$7:$U$506,'CARGAR OPERACIONES'!$O$7:$O$506,$B34))</f>
        <v>-</v>
      </c>
      <c r="O34" s="75" t="str">
        <f aca="false">IF(C34=0,"-",_xlfn.MINIFS('CARGAR OPERACIONES'!$AF$7:$AF$506,'CARGAR OPERACIONES'!$O$7:$O$506,$B34))</f>
        <v>-</v>
      </c>
      <c r="P34" s="78" t="str">
        <f aca="false">IF(C34=0,"-",-MIN(0,_xlfn.MINIFS('CARGAR OPERACIONES'!$AG$7:$AG$506,'CARGAR OPERACIONES'!$O$7:$O$506,$B34)))</f>
        <v>-</v>
      </c>
      <c r="Q34" s="71" t="str">
        <f aca="false">IF(C34=0,"-",COUNTIFS('CARGAR OPERACIONES'!$O$7:$O$506,$B34,'CARGAR OPERACIONES'!$L$7:$L$506,"SI")/C34)</f>
        <v>-</v>
      </c>
      <c r="R34" s="75" t="str">
        <f aca="false">IF(C34=0,"-",Parametros!$C$6+SUMIFS('CARGAR OPERACIONES'!$S$7:$S$506,'CARGAR OPERACIONES'!$O$7:$O$506,"&lt;="&amp;$B34))</f>
        <v>-</v>
      </c>
      <c r="S34" s="72" t="str">
        <f aca="false">IF(C34=0,"",IF(L34&gt;=Parametros!$C$11,"✔","✘"))</f>
        <v/>
      </c>
      <c r="T34" s="72" t="str">
        <f aca="false">IF(C34=0,"",IF(J34&gt;=Parametros!$C$12,"✔","✘"))</f>
        <v/>
      </c>
      <c r="U34" s="72" t="str">
        <f aca="false">IF(C34=0,"",IF(Q34&gt;=Parametros!$C$13,"✔","✘"))</f>
        <v/>
      </c>
    </row>
    <row r="35" customFormat="false" ht="19.5" hidden="false" customHeight="true" outlineLevel="0" collapsed="false">
      <c r="B35" s="59" t="n">
        <v>21</v>
      </c>
      <c r="C35" s="60" t="n">
        <f aca="false">COUNTIFS('CARGAR OPERACIONES'!$O$7:$O$506,$B35)</f>
        <v>0</v>
      </c>
      <c r="D35" s="61" t="str">
        <f aca="false">IF(C35=0,"",C35/Parametros!$C$10)</f>
        <v/>
      </c>
      <c r="E35" s="62" t="str">
        <f aca="false">IF(C35=0,"Pendiente",IF(C35&gt;=Parametros!$C$10,"Completado","En curso"))</f>
        <v>Pendiente</v>
      </c>
      <c r="F35" s="63" t="str">
        <f aca="false">IF(C35=0,"-",_xlfn.MINIFS('CARGAR OPERACIONES'!$B$7:$B$506,'CARGAR OPERACIONES'!$O$7:$O$506,$B35))</f>
        <v>-</v>
      </c>
      <c r="G35" s="63" t="str">
        <f aca="false">IF(C35=0,"-",_xlfn.MAXIFS('CARGAR OPERACIONES'!$B$7:$B$506,'CARGAR OPERACIONES'!$O$7:$O$506,$B35))</f>
        <v>-</v>
      </c>
      <c r="H35" s="60" t="n">
        <f aca="false">COUNTIFS('CARGAR OPERACIONES'!$O$7:$O$506,$B35,'CARGAR OPERACIONES'!$S$7:$S$506,"&gt;0")</f>
        <v>0</v>
      </c>
      <c r="I35" s="60" t="n">
        <f aca="false">COUNTIFS('CARGAR OPERACIONES'!$O$7:$O$506,$B35,'CARGAR OPERACIONES'!$S$7:$S$506,"&lt;=0")</f>
        <v>0</v>
      </c>
      <c r="J35" s="64" t="str">
        <f aca="false">IF(C35=0,"-",H35/C35)</f>
        <v>-</v>
      </c>
      <c r="K35" s="65" t="str">
        <f aca="false">IF(C35=0,"-",SUMIFS('CARGAR OPERACIONES'!$S$7:$S$506,'CARGAR OPERACIONES'!$O$7:$O$506,$B35))</f>
        <v>-</v>
      </c>
      <c r="L35" s="66" t="str">
        <f aca="false">IF(C35=0,"-",IF(I35=0,99,SUMIFS('CARGAR OPERACIONES'!$S$7:$S$506,'CARGAR OPERACIONES'!$O$7:$O$506,$B35,'CARGAR OPERACIONES'!$S$7:$S$506,"&gt;0")/-SUMIFS('CARGAR OPERACIONES'!$S$7:$S$506,'CARGAR OPERACIONES'!$O$7:$O$506,$B35,'CARGAR OPERACIONES'!$S$7:$S$506,"&lt;=0")))</f>
        <v>-</v>
      </c>
      <c r="M35" s="65" t="str">
        <f aca="false">IF(C35=0,"-",K35/C35)</f>
        <v>-</v>
      </c>
      <c r="N35" s="67" t="str">
        <f aca="false">IF(C35=0,"-",AVERAGEIFS('CARGAR OPERACIONES'!$U$7:$U$506,'CARGAR OPERACIONES'!$O$7:$O$506,$B35))</f>
        <v>-</v>
      </c>
      <c r="O35" s="65" t="str">
        <f aca="false">IF(C35=0,"-",_xlfn.MINIFS('CARGAR OPERACIONES'!$AF$7:$AF$506,'CARGAR OPERACIONES'!$O$7:$O$506,$B35))</f>
        <v>-</v>
      </c>
      <c r="P35" s="68" t="str">
        <f aca="false">IF(C35=0,"-",-MIN(0,_xlfn.MINIFS('CARGAR OPERACIONES'!$AG$7:$AG$506,'CARGAR OPERACIONES'!$O$7:$O$506,$B35)))</f>
        <v>-</v>
      </c>
      <c r="Q35" s="61" t="str">
        <f aca="false">IF(C35=0,"-",COUNTIFS('CARGAR OPERACIONES'!$O$7:$O$506,$B35,'CARGAR OPERACIONES'!$L$7:$L$506,"SI")/C35)</f>
        <v>-</v>
      </c>
      <c r="R35" s="65" t="str">
        <f aca="false">IF(C35=0,"-",Parametros!$C$6+SUMIFS('CARGAR OPERACIONES'!$S$7:$S$506,'CARGAR OPERACIONES'!$O$7:$O$506,"&lt;="&amp;$B35))</f>
        <v>-</v>
      </c>
      <c r="S35" s="62" t="str">
        <f aca="false">IF(C35=0,"",IF(L35&gt;=Parametros!$C$11,"✔","✘"))</f>
        <v/>
      </c>
      <c r="T35" s="62" t="str">
        <f aca="false">IF(C35=0,"",IF(J35&gt;=Parametros!$C$12,"✔","✘"))</f>
        <v/>
      </c>
      <c r="U35" s="62" t="str">
        <f aca="false">IF(C35=0,"",IF(Q35&gt;=Parametros!$C$13,"✔","✘"))</f>
        <v/>
      </c>
    </row>
    <row r="36" customFormat="false" ht="19.5" hidden="false" customHeight="true" outlineLevel="0" collapsed="false">
      <c r="B36" s="69" t="n">
        <v>22</v>
      </c>
      <c r="C36" s="70" t="n">
        <f aca="false">COUNTIFS('CARGAR OPERACIONES'!$O$7:$O$506,$B36)</f>
        <v>0</v>
      </c>
      <c r="D36" s="71" t="str">
        <f aca="false">IF(C36=0,"",C36/Parametros!$C$10)</f>
        <v/>
      </c>
      <c r="E36" s="72" t="str">
        <f aca="false">IF(C36=0,"Pendiente",IF(C36&gt;=Parametros!$C$10,"Completado","En curso"))</f>
        <v>Pendiente</v>
      </c>
      <c r="F36" s="73" t="str">
        <f aca="false">IF(C36=0,"-",_xlfn.MINIFS('CARGAR OPERACIONES'!$B$7:$B$506,'CARGAR OPERACIONES'!$O$7:$O$506,$B36))</f>
        <v>-</v>
      </c>
      <c r="G36" s="73" t="str">
        <f aca="false">IF(C36=0,"-",_xlfn.MAXIFS('CARGAR OPERACIONES'!$B$7:$B$506,'CARGAR OPERACIONES'!$O$7:$O$506,$B36))</f>
        <v>-</v>
      </c>
      <c r="H36" s="70" t="n">
        <f aca="false">COUNTIFS('CARGAR OPERACIONES'!$O$7:$O$506,$B36,'CARGAR OPERACIONES'!$S$7:$S$506,"&gt;0")</f>
        <v>0</v>
      </c>
      <c r="I36" s="70" t="n">
        <f aca="false">COUNTIFS('CARGAR OPERACIONES'!$O$7:$O$506,$B36,'CARGAR OPERACIONES'!$S$7:$S$506,"&lt;=0")</f>
        <v>0</v>
      </c>
      <c r="J36" s="74" t="str">
        <f aca="false">IF(C36=0,"-",H36/C36)</f>
        <v>-</v>
      </c>
      <c r="K36" s="75" t="str">
        <f aca="false">IF(C36=0,"-",SUMIFS('CARGAR OPERACIONES'!$S$7:$S$506,'CARGAR OPERACIONES'!$O$7:$O$506,$B36))</f>
        <v>-</v>
      </c>
      <c r="L36" s="76" t="str">
        <f aca="false">IF(C36=0,"-",IF(I36=0,99,SUMIFS('CARGAR OPERACIONES'!$S$7:$S$506,'CARGAR OPERACIONES'!$O$7:$O$506,$B36,'CARGAR OPERACIONES'!$S$7:$S$506,"&gt;0")/-SUMIFS('CARGAR OPERACIONES'!$S$7:$S$506,'CARGAR OPERACIONES'!$O$7:$O$506,$B36,'CARGAR OPERACIONES'!$S$7:$S$506,"&lt;=0")))</f>
        <v>-</v>
      </c>
      <c r="M36" s="75" t="str">
        <f aca="false">IF(C36=0,"-",K36/C36)</f>
        <v>-</v>
      </c>
      <c r="N36" s="77" t="str">
        <f aca="false">IF(C36=0,"-",AVERAGEIFS('CARGAR OPERACIONES'!$U$7:$U$506,'CARGAR OPERACIONES'!$O$7:$O$506,$B36))</f>
        <v>-</v>
      </c>
      <c r="O36" s="75" t="str">
        <f aca="false">IF(C36=0,"-",_xlfn.MINIFS('CARGAR OPERACIONES'!$AF$7:$AF$506,'CARGAR OPERACIONES'!$O$7:$O$506,$B36))</f>
        <v>-</v>
      </c>
      <c r="P36" s="78" t="str">
        <f aca="false">IF(C36=0,"-",-MIN(0,_xlfn.MINIFS('CARGAR OPERACIONES'!$AG$7:$AG$506,'CARGAR OPERACIONES'!$O$7:$O$506,$B36)))</f>
        <v>-</v>
      </c>
      <c r="Q36" s="71" t="str">
        <f aca="false">IF(C36=0,"-",COUNTIFS('CARGAR OPERACIONES'!$O$7:$O$506,$B36,'CARGAR OPERACIONES'!$L$7:$L$506,"SI")/C36)</f>
        <v>-</v>
      </c>
      <c r="R36" s="75" t="str">
        <f aca="false">IF(C36=0,"-",Parametros!$C$6+SUMIFS('CARGAR OPERACIONES'!$S$7:$S$506,'CARGAR OPERACIONES'!$O$7:$O$506,"&lt;="&amp;$B36))</f>
        <v>-</v>
      </c>
      <c r="S36" s="72" t="str">
        <f aca="false">IF(C36=0,"",IF(L36&gt;=Parametros!$C$11,"✔","✘"))</f>
        <v/>
      </c>
      <c r="T36" s="72" t="str">
        <f aca="false">IF(C36=0,"",IF(J36&gt;=Parametros!$C$12,"✔","✘"))</f>
        <v/>
      </c>
      <c r="U36" s="72" t="str">
        <f aca="false">IF(C36=0,"",IF(Q36&gt;=Parametros!$C$13,"✔","✘"))</f>
        <v/>
      </c>
    </row>
    <row r="37" customFormat="false" ht="19.5" hidden="false" customHeight="true" outlineLevel="0" collapsed="false">
      <c r="B37" s="59" t="n">
        <v>23</v>
      </c>
      <c r="C37" s="60" t="n">
        <f aca="false">COUNTIFS('CARGAR OPERACIONES'!$O$7:$O$506,$B37)</f>
        <v>0</v>
      </c>
      <c r="D37" s="61" t="str">
        <f aca="false">IF(C37=0,"",C37/Parametros!$C$10)</f>
        <v/>
      </c>
      <c r="E37" s="62" t="str">
        <f aca="false">IF(C37=0,"Pendiente",IF(C37&gt;=Parametros!$C$10,"Completado","En curso"))</f>
        <v>Pendiente</v>
      </c>
      <c r="F37" s="63" t="str">
        <f aca="false">IF(C37=0,"-",_xlfn.MINIFS('CARGAR OPERACIONES'!$B$7:$B$506,'CARGAR OPERACIONES'!$O$7:$O$506,$B37))</f>
        <v>-</v>
      </c>
      <c r="G37" s="63" t="str">
        <f aca="false">IF(C37=0,"-",_xlfn.MAXIFS('CARGAR OPERACIONES'!$B$7:$B$506,'CARGAR OPERACIONES'!$O$7:$O$506,$B37))</f>
        <v>-</v>
      </c>
      <c r="H37" s="60" t="n">
        <f aca="false">COUNTIFS('CARGAR OPERACIONES'!$O$7:$O$506,$B37,'CARGAR OPERACIONES'!$S$7:$S$506,"&gt;0")</f>
        <v>0</v>
      </c>
      <c r="I37" s="60" t="n">
        <f aca="false">COUNTIFS('CARGAR OPERACIONES'!$O$7:$O$506,$B37,'CARGAR OPERACIONES'!$S$7:$S$506,"&lt;=0")</f>
        <v>0</v>
      </c>
      <c r="J37" s="64" t="str">
        <f aca="false">IF(C37=0,"-",H37/C37)</f>
        <v>-</v>
      </c>
      <c r="K37" s="65" t="str">
        <f aca="false">IF(C37=0,"-",SUMIFS('CARGAR OPERACIONES'!$S$7:$S$506,'CARGAR OPERACIONES'!$O$7:$O$506,$B37))</f>
        <v>-</v>
      </c>
      <c r="L37" s="66" t="str">
        <f aca="false">IF(C37=0,"-",IF(I37=0,99,SUMIFS('CARGAR OPERACIONES'!$S$7:$S$506,'CARGAR OPERACIONES'!$O$7:$O$506,$B37,'CARGAR OPERACIONES'!$S$7:$S$506,"&gt;0")/-SUMIFS('CARGAR OPERACIONES'!$S$7:$S$506,'CARGAR OPERACIONES'!$O$7:$O$506,$B37,'CARGAR OPERACIONES'!$S$7:$S$506,"&lt;=0")))</f>
        <v>-</v>
      </c>
      <c r="M37" s="65" t="str">
        <f aca="false">IF(C37=0,"-",K37/C37)</f>
        <v>-</v>
      </c>
      <c r="N37" s="67" t="str">
        <f aca="false">IF(C37=0,"-",AVERAGEIFS('CARGAR OPERACIONES'!$U$7:$U$506,'CARGAR OPERACIONES'!$O$7:$O$506,$B37))</f>
        <v>-</v>
      </c>
      <c r="O37" s="65" t="str">
        <f aca="false">IF(C37=0,"-",_xlfn.MINIFS('CARGAR OPERACIONES'!$AF$7:$AF$506,'CARGAR OPERACIONES'!$O$7:$O$506,$B37))</f>
        <v>-</v>
      </c>
      <c r="P37" s="68" t="str">
        <f aca="false">IF(C37=0,"-",-MIN(0,_xlfn.MINIFS('CARGAR OPERACIONES'!$AG$7:$AG$506,'CARGAR OPERACIONES'!$O$7:$O$506,$B37)))</f>
        <v>-</v>
      </c>
      <c r="Q37" s="61" t="str">
        <f aca="false">IF(C37=0,"-",COUNTIFS('CARGAR OPERACIONES'!$O$7:$O$506,$B37,'CARGAR OPERACIONES'!$L$7:$L$506,"SI")/C37)</f>
        <v>-</v>
      </c>
      <c r="R37" s="65" t="str">
        <f aca="false">IF(C37=0,"-",Parametros!$C$6+SUMIFS('CARGAR OPERACIONES'!$S$7:$S$506,'CARGAR OPERACIONES'!$O$7:$O$506,"&lt;="&amp;$B37))</f>
        <v>-</v>
      </c>
      <c r="S37" s="62" t="str">
        <f aca="false">IF(C37=0,"",IF(L37&gt;=Parametros!$C$11,"✔","✘"))</f>
        <v/>
      </c>
      <c r="T37" s="62" t="str">
        <f aca="false">IF(C37=0,"",IF(J37&gt;=Parametros!$C$12,"✔","✘"))</f>
        <v/>
      </c>
      <c r="U37" s="62" t="str">
        <f aca="false">IF(C37=0,"",IF(Q37&gt;=Parametros!$C$13,"✔","✘"))</f>
        <v/>
      </c>
    </row>
    <row r="38" customFormat="false" ht="19.5" hidden="false" customHeight="true" outlineLevel="0" collapsed="false">
      <c r="B38" s="69" t="n">
        <v>24</v>
      </c>
      <c r="C38" s="70" t="n">
        <f aca="false">COUNTIFS('CARGAR OPERACIONES'!$O$7:$O$506,$B38)</f>
        <v>0</v>
      </c>
      <c r="D38" s="71" t="str">
        <f aca="false">IF(C38=0,"",C38/Parametros!$C$10)</f>
        <v/>
      </c>
      <c r="E38" s="72" t="str">
        <f aca="false">IF(C38=0,"Pendiente",IF(C38&gt;=Parametros!$C$10,"Completado","En curso"))</f>
        <v>Pendiente</v>
      </c>
      <c r="F38" s="73" t="str">
        <f aca="false">IF(C38=0,"-",_xlfn.MINIFS('CARGAR OPERACIONES'!$B$7:$B$506,'CARGAR OPERACIONES'!$O$7:$O$506,$B38))</f>
        <v>-</v>
      </c>
      <c r="G38" s="73" t="str">
        <f aca="false">IF(C38=0,"-",_xlfn.MAXIFS('CARGAR OPERACIONES'!$B$7:$B$506,'CARGAR OPERACIONES'!$O$7:$O$506,$B38))</f>
        <v>-</v>
      </c>
      <c r="H38" s="70" t="n">
        <f aca="false">COUNTIFS('CARGAR OPERACIONES'!$O$7:$O$506,$B38,'CARGAR OPERACIONES'!$S$7:$S$506,"&gt;0")</f>
        <v>0</v>
      </c>
      <c r="I38" s="70" t="n">
        <f aca="false">COUNTIFS('CARGAR OPERACIONES'!$O$7:$O$506,$B38,'CARGAR OPERACIONES'!$S$7:$S$506,"&lt;=0")</f>
        <v>0</v>
      </c>
      <c r="J38" s="74" t="str">
        <f aca="false">IF(C38=0,"-",H38/C38)</f>
        <v>-</v>
      </c>
      <c r="K38" s="75" t="str">
        <f aca="false">IF(C38=0,"-",SUMIFS('CARGAR OPERACIONES'!$S$7:$S$506,'CARGAR OPERACIONES'!$O$7:$O$506,$B38))</f>
        <v>-</v>
      </c>
      <c r="L38" s="76" t="str">
        <f aca="false">IF(C38=0,"-",IF(I38=0,99,SUMIFS('CARGAR OPERACIONES'!$S$7:$S$506,'CARGAR OPERACIONES'!$O$7:$O$506,$B38,'CARGAR OPERACIONES'!$S$7:$S$506,"&gt;0")/-SUMIFS('CARGAR OPERACIONES'!$S$7:$S$506,'CARGAR OPERACIONES'!$O$7:$O$506,$B38,'CARGAR OPERACIONES'!$S$7:$S$506,"&lt;=0")))</f>
        <v>-</v>
      </c>
      <c r="M38" s="75" t="str">
        <f aca="false">IF(C38=0,"-",K38/C38)</f>
        <v>-</v>
      </c>
      <c r="N38" s="77" t="str">
        <f aca="false">IF(C38=0,"-",AVERAGEIFS('CARGAR OPERACIONES'!$U$7:$U$506,'CARGAR OPERACIONES'!$O$7:$O$506,$B38))</f>
        <v>-</v>
      </c>
      <c r="O38" s="75" t="str">
        <f aca="false">IF(C38=0,"-",_xlfn.MINIFS('CARGAR OPERACIONES'!$AF$7:$AF$506,'CARGAR OPERACIONES'!$O$7:$O$506,$B38))</f>
        <v>-</v>
      </c>
      <c r="P38" s="78" t="str">
        <f aca="false">IF(C38=0,"-",-MIN(0,_xlfn.MINIFS('CARGAR OPERACIONES'!$AG$7:$AG$506,'CARGAR OPERACIONES'!$O$7:$O$506,$B38)))</f>
        <v>-</v>
      </c>
      <c r="Q38" s="71" t="str">
        <f aca="false">IF(C38=0,"-",COUNTIFS('CARGAR OPERACIONES'!$O$7:$O$506,$B38,'CARGAR OPERACIONES'!$L$7:$L$506,"SI")/C38)</f>
        <v>-</v>
      </c>
      <c r="R38" s="75" t="str">
        <f aca="false">IF(C38=0,"-",Parametros!$C$6+SUMIFS('CARGAR OPERACIONES'!$S$7:$S$506,'CARGAR OPERACIONES'!$O$7:$O$506,"&lt;="&amp;$B38))</f>
        <v>-</v>
      </c>
      <c r="S38" s="72" t="str">
        <f aca="false">IF(C38=0,"",IF(L38&gt;=Parametros!$C$11,"✔","✘"))</f>
        <v/>
      </c>
      <c r="T38" s="72" t="str">
        <f aca="false">IF(C38=0,"",IF(J38&gt;=Parametros!$C$12,"✔","✘"))</f>
        <v/>
      </c>
      <c r="U38" s="72" t="str">
        <f aca="false">IF(C38=0,"",IF(Q38&gt;=Parametros!$C$13,"✔","✘"))</f>
        <v/>
      </c>
    </row>
    <row r="39" customFormat="false" ht="19.5" hidden="false" customHeight="true" outlineLevel="0" collapsed="false">
      <c r="B39" s="59" t="n">
        <v>25</v>
      </c>
      <c r="C39" s="60" t="n">
        <f aca="false">COUNTIFS('CARGAR OPERACIONES'!$O$7:$O$506,$B39)</f>
        <v>0</v>
      </c>
      <c r="D39" s="61" t="str">
        <f aca="false">IF(C39=0,"",C39/Parametros!$C$10)</f>
        <v/>
      </c>
      <c r="E39" s="62" t="str">
        <f aca="false">IF(C39=0,"Pendiente",IF(C39&gt;=Parametros!$C$10,"Completado","En curso"))</f>
        <v>Pendiente</v>
      </c>
      <c r="F39" s="63" t="str">
        <f aca="false">IF(C39=0,"-",_xlfn.MINIFS('CARGAR OPERACIONES'!$B$7:$B$506,'CARGAR OPERACIONES'!$O$7:$O$506,$B39))</f>
        <v>-</v>
      </c>
      <c r="G39" s="63" t="str">
        <f aca="false">IF(C39=0,"-",_xlfn.MAXIFS('CARGAR OPERACIONES'!$B$7:$B$506,'CARGAR OPERACIONES'!$O$7:$O$506,$B39))</f>
        <v>-</v>
      </c>
      <c r="H39" s="60" t="n">
        <f aca="false">COUNTIFS('CARGAR OPERACIONES'!$O$7:$O$506,$B39,'CARGAR OPERACIONES'!$S$7:$S$506,"&gt;0")</f>
        <v>0</v>
      </c>
      <c r="I39" s="60" t="n">
        <f aca="false">COUNTIFS('CARGAR OPERACIONES'!$O$7:$O$506,$B39,'CARGAR OPERACIONES'!$S$7:$S$506,"&lt;=0")</f>
        <v>0</v>
      </c>
      <c r="J39" s="64" t="str">
        <f aca="false">IF(C39=0,"-",H39/C39)</f>
        <v>-</v>
      </c>
      <c r="K39" s="65" t="str">
        <f aca="false">IF(C39=0,"-",SUMIFS('CARGAR OPERACIONES'!$S$7:$S$506,'CARGAR OPERACIONES'!$O$7:$O$506,$B39))</f>
        <v>-</v>
      </c>
      <c r="L39" s="66" t="str">
        <f aca="false">IF(C39=0,"-",IF(I39=0,99,SUMIFS('CARGAR OPERACIONES'!$S$7:$S$506,'CARGAR OPERACIONES'!$O$7:$O$506,$B39,'CARGAR OPERACIONES'!$S$7:$S$506,"&gt;0")/-SUMIFS('CARGAR OPERACIONES'!$S$7:$S$506,'CARGAR OPERACIONES'!$O$7:$O$506,$B39,'CARGAR OPERACIONES'!$S$7:$S$506,"&lt;=0")))</f>
        <v>-</v>
      </c>
      <c r="M39" s="65" t="str">
        <f aca="false">IF(C39=0,"-",K39/C39)</f>
        <v>-</v>
      </c>
      <c r="N39" s="67" t="str">
        <f aca="false">IF(C39=0,"-",AVERAGEIFS('CARGAR OPERACIONES'!$U$7:$U$506,'CARGAR OPERACIONES'!$O$7:$O$506,$B39))</f>
        <v>-</v>
      </c>
      <c r="O39" s="65" t="str">
        <f aca="false">IF(C39=0,"-",_xlfn.MINIFS('CARGAR OPERACIONES'!$AF$7:$AF$506,'CARGAR OPERACIONES'!$O$7:$O$506,$B39))</f>
        <v>-</v>
      </c>
      <c r="P39" s="68" t="str">
        <f aca="false">IF(C39=0,"-",-MIN(0,_xlfn.MINIFS('CARGAR OPERACIONES'!$AG$7:$AG$506,'CARGAR OPERACIONES'!$O$7:$O$506,$B39)))</f>
        <v>-</v>
      </c>
      <c r="Q39" s="61" t="str">
        <f aca="false">IF(C39=0,"-",COUNTIFS('CARGAR OPERACIONES'!$O$7:$O$506,$B39,'CARGAR OPERACIONES'!$L$7:$L$506,"SI")/C39)</f>
        <v>-</v>
      </c>
      <c r="R39" s="65" t="str">
        <f aca="false">IF(C39=0,"-",Parametros!$C$6+SUMIFS('CARGAR OPERACIONES'!$S$7:$S$506,'CARGAR OPERACIONES'!$O$7:$O$506,"&lt;="&amp;$B39))</f>
        <v>-</v>
      </c>
      <c r="S39" s="62" t="str">
        <f aca="false">IF(C39=0,"",IF(L39&gt;=Parametros!$C$11,"✔","✘"))</f>
        <v/>
      </c>
      <c r="T39" s="62" t="str">
        <f aca="false">IF(C39=0,"",IF(J39&gt;=Parametros!$C$12,"✔","✘"))</f>
        <v/>
      </c>
      <c r="U39" s="62" t="str">
        <f aca="false">IF(C39=0,"",IF(Q39&gt;=Parametros!$C$13,"✔","✘"))</f>
        <v/>
      </c>
    </row>
    <row r="40" customFormat="false" ht="21.75" hidden="false" customHeight="true" outlineLevel="0" collapsed="false">
      <c r="B40" s="79" t="s">
        <v>120</v>
      </c>
      <c r="C40" s="80" t="n">
        <f aca="false">Dashboard!E18</f>
        <v>16</v>
      </c>
      <c r="D40" s="81"/>
      <c r="E40" s="81"/>
      <c r="F40" s="81"/>
      <c r="G40" s="81"/>
      <c r="H40" s="80" t="n">
        <f aca="false">Dashboard!E19</f>
        <v>6</v>
      </c>
      <c r="I40" s="80" t="n">
        <f aca="false">Dashboard!E20</f>
        <v>10</v>
      </c>
      <c r="J40" s="82" t="n">
        <f aca="false">Dashboard!E21</f>
        <v>0.375</v>
      </c>
      <c r="K40" s="83" t="n">
        <f aca="false">Dashboard!E23</f>
        <v>163.84</v>
      </c>
      <c r="L40" s="84" t="n">
        <f aca="false">Dashboard!E26</f>
        <v>1.10315301702428</v>
      </c>
      <c r="M40" s="83" t="n">
        <f aca="false">Dashboard!J21</f>
        <v>10.24</v>
      </c>
      <c r="N40" s="85" t="n">
        <f aca="false">Dashboard!J22</f>
        <v>0.0682666666666667</v>
      </c>
      <c r="O40" s="83" t="n">
        <f aca="false">Dashboard!O34</f>
        <v>-680.959999999999</v>
      </c>
      <c r="P40" s="80" t="n">
        <f aca="false">Dashboard!O19</f>
        <v>4</v>
      </c>
      <c r="Q40" s="86" t="n">
        <f aca="false">Dashboard!J25</f>
        <v>0.9375</v>
      </c>
      <c r="R40" s="83" t="n">
        <f aca="false">Dashboard!O31</f>
        <v>8748.36</v>
      </c>
      <c r="S40" s="81"/>
      <c r="T40" s="81"/>
      <c r="U40" s="81"/>
    </row>
    <row r="42" customFormat="false" ht="15" hidden="false" customHeight="true" outlineLevel="0" collapsed="false">
      <c r="B42" s="87" t="s">
        <v>121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</row>
    <row r="43" customFormat="false" ht="15" hidden="false" customHeight="false" outlineLevel="0" collapsed="false"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</row>
  </sheetData>
  <mergeCells count="22">
    <mergeCell ref="B2:U2"/>
    <mergeCell ref="B3:U3"/>
    <mergeCell ref="B8:C8"/>
    <mergeCell ref="G8:H8"/>
    <mergeCell ref="I8:J8"/>
    <mergeCell ref="K8:L8"/>
    <mergeCell ref="M8:N8"/>
    <mergeCell ref="O8:P8"/>
    <mergeCell ref="R8:S10"/>
    <mergeCell ref="B9:C9"/>
    <mergeCell ref="G9:H9"/>
    <mergeCell ref="I9:J9"/>
    <mergeCell ref="K9:L9"/>
    <mergeCell ref="M9:N9"/>
    <mergeCell ref="O9:P9"/>
    <mergeCell ref="B10:C10"/>
    <mergeCell ref="G10:H10"/>
    <mergeCell ref="I10:J10"/>
    <mergeCell ref="K10:L10"/>
    <mergeCell ref="M10:N10"/>
    <mergeCell ref="O10:P10"/>
    <mergeCell ref="B42:U43"/>
  </mergeCells>
  <conditionalFormatting sqref="F9:F10">
    <cfRule type="expression" priority="2" aboveAverage="0" equalAverage="0" bottom="0" percent="0" rank="0" text="" dxfId="0">
      <formula>F9&gt;=1</formula>
    </cfRule>
    <cfRule type="expression" priority="3" aboveAverage="0" equalAverage="0" bottom="0" percent="0" rank="0" text="" dxfId="1">
      <formula>F9&lt;1</formula>
    </cfRule>
  </conditionalFormatting>
  <conditionalFormatting sqref="I9:I10">
    <cfRule type="expression" priority="4" aboveAverage="0" equalAverage="0" bottom="0" percent="0" rank="0" text="" dxfId="0">
      <formula>I9&gt;0</formula>
    </cfRule>
    <cfRule type="expression" priority="5" aboveAverage="0" equalAverage="0" bottom="0" percent="0" rank="0" text="" dxfId="1">
      <formula>I9&lt;0</formula>
    </cfRule>
  </conditionalFormatting>
  <conditionalFormatting sqref="R8">
    <cfRule type="expression" priority="6" aboveAverage="0" equalAverage="0" bottom="0" percent="0" rank="0" text="" dxfId="0">
      <formula>LEFT(R8,1)="▲"</formula>
    </cfRule>
  </conditionalFormatting>
  <conditionalFormatting sqref="D15:D39">
    <cfRule type="dataBar" priority="7">
      <dataBar showValue="1" minLength="10" maxLength="90">
        <cfvo type="num" val="0"/>
        <cfvo type="num" val="1"/>
        <color rgb="FFF4B400"/>
      </dataBar>
      <extLst>
        <ext xmlns:x14="http://schemas.microsoft.com/office/spreadsheetml/2009/9/main" uri="{B025F937-C7B1-47D3-B67F-A62EFF666E3E}">
          <x14:id>{C844AFB5-00B1-4496-A12A-B61F6F4179AE}</x14:id>
        </ext>
      </extLst>
    </cfRule>
  </conditionalFormatting>
  <conditionalFormatting sqref="E15:E39">
    <cfRule type="cellIs" priority="8" operator="equal" aboveAverage="0" equalAverage="0" bottom="0" percent="0" rank="0" text="" dxfId="0">
      <formula>"Completado"</formula>
    </cfRule>
    <cfRule type="cellIs" priority="9" operator="equal" aboveAverage="0" equalAverage="0" bottom="0" percent="0" rank="0" text="" dxfId="9">
      <formula>"En curso"</formula>
    </cfRule>
  </conditionalFormatting>
  <conditionalFormatting sqref="B15:U39">
    <cfRule type="expression" priority="10" aboveAverage="0" equalAverage="0" bottom="0" percent="0" rank="0" text="" dxfId="10">
      <formula>$C15=0</formula>
    </cfRule>
  </conditionalFormatting>
  <conditionalFormatting sqref="K15:K39">
    <cfRule type="expression" priority="11" aboveAverage="0" equalAverage="0" bottom="0" percent="0" rank="0" text="" dxfId="0">
      <formula>AND(ISNUMBER(K15),K15&gt;0)</formula>
    </cfRule>
    <cfRule type="expression" priority="12" aboveAverage="0" equalAverage="0" bottom="0" percent="0" rank="0" text="" dxfId="1">
      <formula>AND(ISNUMBER(K15),K15&lt;0)</formula>
    </cfRule>
  </conditionalFormatting>
  <conditionalFormatting sqref="L15:L39">
    <cfRule type="expression" priority="13" aboveAverage="0" equalAverage="0" bottom="0" percent="0" rank="0" text="" dxfId="0">
      <formula>AND(ISNUMBER(L15),L15&gt;=1)</formula>
    </cfRule>
    <cfRule type="expression" priority="14" aboveAverage="0" equalAverage="0" bottom="0" percent="0" rank="0" text="" dxfId="1">
      <formula>AND(ISNUMBER(L15),L15&lt;1)</formula>
    </cfRule>
  </conditionalFormatting>
  <conditionalFormatting sqref="J15:J39">
    <cfRule type="expression" priority="15" aboveAverage="0" equalAverage="0" bottom="0" percent="0" rank="0" text="" dxfId="0">
      <formula>AND(ISNUMBER(J15),J15&gt;=0.4)</formula>
    </cfRule>
    <cfRule type="expression" priority="16" aboveAverage="0" equalAverage="0" bottom="0" percent="0" rank="0" text="" dxfId="1">
      <formula>AND(ISNUMBER(J15),J15&lt;0.35)</formula>
    </cfRule>
  </conditionalFormatting>
  <conditionalFormatting sqref="S15:S39">
    <cfRule type="cellIs" priority="17" operator="equal" aboveAverage="0" equalAverage="0" bottom="0" percent="0" rank="0" text="" dxfId="11">
      <formula>"✔"</formula>
    </cfRule>
    <cfRule type="cellIs" priority="18" operator="equal" aboveAverage="0" equalAverage="0" bottom="0" percent="0" rank="0" text="" dxfId="12">
      <formula>"✘"</formula>
    </cfRule>
  </conditionalFormatting>
  <conditionalFormatting sqref="T15:T39">
    <cfRule type="cellIs" priority="19" operator="equal" aboveAverage="0" equalAverage="0" bottom="0" percent="0" rank="0" text="" dxfId="11">
      <formula>"✔"</formula>
    </cfRule>
    <cfRule type="cellIs" priority="20" operator="equal" aboveAverage="0" equalAverage="0" bottom="0" percent="0" rank="0" text="" dxfId="12">
      <formula>"✘"</formula>
    </cfRule>
  </conditionalFormatting>
  <conditionalFormatting sqref="U15:U39">
    <cfRule type="cellIs" priority="21" operator="equal" aboveAverage="0" equalAverage="0" bottom="0" percent="0" rank="0" text="" dxfId="11">
      <formula>"✔"</formula>
    </cfRule>
    <cfRule type="cellIs" priority="22" operator="equal" aboveAverage="0" equalAverage="0" bottom="0" percent="0" rank="0" text="" dxfId="12">
      <formula>"✘"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44AFB5-00B1-4496-A12A-B61F6F4179A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4B400"/>
              <x14:axisColor rgb="FF000000"/>
            </x14:dataBar>
          </x14:cfRule>
          <xm:sqref>D15:D39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4B7C"/>
    <pageSetUpPr fitToPage="false"/>
  </sheetPr>
  <dimension ref="B1:V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9" min="7" style="0" width="12"/>
    <col collapsed="false" customWidth="true" hidden="false" outlineLevel="0" max="10" min="10" style="0" width="15"/>
    <col collapsed="false" customWidth="true" hidden="false" outlineLevel="0" max="11" min="11" style="0" width="3"/>
    <col collapsed="false" customWidth="true" hidden="false" outlineLevel="0" max="12" min="12" style="0" width="11"/>
    <col collapsed="false" customWidth="true" hidden="false" outlineLevel="0" max="13" min="13" style="0" width="7"/>
    <col collapsed="false" customWidth="true" hidden="false" outlineLevel="0" max="15" min="14" style="0" width="9"/>
    <col collapsed="false" customWidth="true" hidden="false" outlineLevel="0" max="16" min="16" style="0" width="10"/>
    <col collapsed="false" customWidth="true" hidden="false" outlineLevel="0" max="19" min="17" style="0" width="12"/>
    <col collapsed="false" customWidth="true" hidden="false" outlineLevel="0" max="20" min="20" style="0" width="15"/>
    <col collapsed="false" customWidth="true" hidden="true" outlineLevel="0" max="22" min="22" style="0" width="13"/>
  </cols>
  <sheetData>
    <row r="1" customFormat="false" ht="9.75" hidden="false" customHeight="true" outlineLevel="0" collapsed="false"/>
    <row r="2" customFormat="false" ht="33.75" hidden="false" customHeight="true" outlineLevel="0" collapsed="false">
      <c r="B2" s="1" t="s">
        <v>122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9.5" hidden="false" customHeight="true" outlineLevel="0" collapsed="false">
      <c r="B3" s="2" t="s">
        <v>123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3.7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6" customFormat="false" ht="16.15" hidden="false" customHeight="false" outlineLevel="0" collapsed="false">
      <c r="B6" s="48" t="s">
        <v>124</v>
      </c>
      <c r="C6" s="49"/>
      <c r="D6" s="49"/>
      <c r="E6" s="49"/>
      <c r="F6" s="49"/>
      <c r="G6" s="49"/>
      <c r="H6" s="49"/>
      <c r="I6" s="49"/>
      <c r="J6" s="49"/>
      <c r="L6" s="48" t="s">
        <v>125</v>
      </c>
      <c r="M6" s="49"/>
      <c r="N6" s="49"/>
      <c r="O6" s="49"/>
      <c r="P6" s="49"/>
      <c r="Q6" s="49"/>
      <c r="R6" s="49"/>
      <c r="S6" s="49"/>
      <c r="T6" s="49"/>
    </row>
    <row r="7" customFormat="false" ht="31.5" hidden="false" customHeight="true" outlineLevel="0" collapsed="false">
      <c r="B7" s="50" t="s">
        <v>82</v>
      </c>
      <c r="C7" s="50" t="s">
        <v>106</v>
      </c>
      <c r="D7" s="50" t="s">
        <v>126</v>
      </c>
      <c r="E7" s="50" t="s">
        <v>127</v>
      </c>
      <c r="F7" s="50" t="s">
        <v>100</v>
      </c>
      <c r="G7" s="50" t="s">
        <v>74</v>
      </c>
      <c r="H7" s="50" t="s">
        <v>36</v>
      </c>
      <c r="I7" s="50" t="s">
        <v>102</v>
      </c>
      <c r="J7" s="50" t="s">
        <v>116</v>
      </c>
      <c r="L7" s="50" t="s">
        <v>83</v>
      </c>
      <c r="M7" s="50" t="s">
        <v>106</v>
      </c>
      <c r="N7" s="50" t="s">
        <v>126</v>
      </c>
      <c r="O7" s="50" t="s">
        <v>127</v>
      </c>
      <c r="P7" s="50" t="s">
        <v>100</v>
      </c>
      <c r="Q7" s="50" t="s">
        <v>74</v>
      </c>
      <c r="R7" s="50" t="s">
        <v>36</v>
      </c>
      <c r="S7" s="50" t="s">
        <v>102</v>
      </c>
      <c r="T7" s="50" t="s">
        <v>116</v>
      </c>
    </row>
    <row r="8" customFormat="false" ht="15" hidden="false" customHeight="false" outlineLevel="0" collapsed="false">
      <c r="B8" s="88" t="n">
        <f aca="false">Parametros!$C$7-WEEKDAY(Parametros!$C$7,2)+1</f>
        <v>46244</v>
      </c>
      <c r="C8" s="68" t="n">
        <f aca="false">COUNTIFS('CARGAR OPERACIONES'!$AA$7:$AA$506,B8)</f>
        <v>1</v>
      </c>
      <c r="D8" s="68" t="n">
        <f aca="false">COUNTIFS('CARGAR OPERACIONES'!$AA$7:$AA$506,B8,'CARGAR OPERACIONES'!$S$7:$S$506,"&gt;0")</f>
        <v>1</v>
      </c>
      <c r="E8" s="68" t="n">
        <f aca="false">COUNTIFS('CARGAR OPERACIONES'!$AA$7:$AA$506,B8,'CARGAR OPERACIONES'!$S$7:$S$506,"&lt;=0")</f>
        <v>0</v>
      </c>
      <c r="F8" s="64" t="n">
        <f aca="false">IF(C8=0,"-",D8/C8)</f>
        <v>1</v>
      </c>
      <c r="G8" s="65" t="n">
        <f aca="false">IF(C8=0,"-",SUMIFS('CARGAR OPERACIONES'!$S$7:$S$506,'CARGAR OPERACIONES'!$AA$7:$AA$506,B8))</f>
        <v>290.8</v>
      </c>
      <c r="H8" s="66" t="n">
        <f aca="false">IF(C8=0,"-",IF(E8=0,99,SUMIFS('CARGAR OPERACIONES'!$S$7:$S$506,'CARGAR OPERACIONES'!$AA$7:$AA$506,B8,'CARGAR OPERACIONES'!$S$7:$S$506,"&gt;0")/-SUMIFS('CARGAR OPERACIONES'!$S$7:$S$506,'CARGAR OPERACIONES'!$AA$7:$AA$506,B8,'CARGAR OPERACIONES'!$S$7:$S$506,"&lt;=0")))</f>
        <v>99</v>
      </c>
      <c r="I8" s="65" t="n">
        <f aca="false">IF(C8=0,"-",G8/C8)</f>
        <v>290.8</v>
      </c>
      <c r="J8" s="65" t="n">
        <f aca="false">IF(C8=0,"-",Parametros!$C$6+SUMIFS('CARGAR OPERACIONES'!$S$7:$S$506,'CARGAR OPERACIONES'!$AA$7:$AA$506,"&lt;="&amp;B8))</f>
        <v>8875.32</v>
      </c>
      <c r="L8" s="89" t="n">
        <f aca="false">DATE(YEAR(Parametros!$C$7),MONTH(Parametros!$C$7),1)</f>
        <v>46235</v>
      </c>
      <c r="M8" s="68" t="n">
        <f aca="false">COUNTIFS('CARGAR OPERACIONES'!$AB$7:$AB$506,L8)</f>
        <v>6</v>
      </c>
      <c r="N8" s="68" t="n">
        <f aca="false">COUNTIFS('CARGAR OPERACIONES'!$AB$7:$AB$506,L8,'CARGAR OPERACIONES'!$S$7:$S$506,"&gt;0")</f>
        <v>4</v>
      </c>
      <c r="O8" s="68" t="n">
        <f aca="false">COUNTIFS('CARGAR OPERACIONES'!$AB$7:$AB$506,L8,'CARGAR OPERACIONES'!$S$7:$S$506,"&lt;=0")</f>
        <v>2</v>
      </c>
      <c r="P8" s="64" t="n">
        <f aca="false">IF(M8=0,"-",N8/M8)</f>
        <v>0.666666666666667</v>
      </c>
      <c r="Q8" s="65" t="n">
        <f aca="false">IF(M8=0,"-",SUMIFS('CARGAR OPERACIONES'!$S$7:$S$506,'CARGAR OPERACIONES'!$AB$7:$AB$506,L8))</f>
        <v>844.8</v>
      </c>
      <c r="R8" s="66" t="n">
        <f aca="false">IF(M8=0,"-",IF(O8=0,99,SUMIFS('CARGAR OPERACIONES'!$S$7:$S$506,'CARGAR OPERACIONES'!$AB$7:$AB$506,L8,'CARGAR OPERACIONES'!$S$7:$S$506,"&gt;0")/-SUMIFS('CARGAR OPERACIONES'!$S$7:$S$506,'CARGAR OPERACIONES'!$AB$7:$AB$506,L8,'CARGAR OPERACIONES'!$S$7:$S$506,"&lt;=0")))</f>
        <v>3.65326633165829</v>
      </c>
      <c r="S8" s="65" t="n">
        <f aca="false">IF(M8=0,"-",Q8/M8)</f>
        <v>140.8</v>
      </c>
      <c r="T8" s="65" t="n">
        <f aca="false">IF(M8=0,"-",Parametros!$C$6+SUMIFS('CARGAR OPERACIONES'!$S$7:$S$506,'CARGAR OPERACIONES'!$AB$7:$AB$506,"&lt;="&amp;L8))</f>
        <v>9429.32</v>
      </c>
      <c r="V8" s="0" t="str">
        <f aca="false">DAY(B8)&amp;"/"&amp;MONTH(B8)</f>
        <v>10/8</v>
      </c>
    </row>
    <row r="9" customFormat="false" ht="15" hidden="false" customHeight="false" outlineLevel="0" collapsed="false">
      <c r="B9" s="90" t="n">
        <f aca="false">B8+7</f>
        <v>46251</v>
      </c>
      <c r="C9" s="78" t="n">
        <f aca="false">COUNTIFS('CARGAR OPERACIONES'!$AA$7:$AA$506,B9)</f>
        <v>2</v>
      </c>
      <c r="D9" s="78" t="n">
        <f aca="false">COUNTIFS('CARGAR OPERACIONES'!$AA$7:$AA$506,B9,'CARGAR OPERACIONES'!$S$7:$S$506,"&gt;0")</f>
        <v>1</v>
      </c>
      <c r="E9" s="78" t="n">
        <f aca="false">COUNTIFS('CARGAR OPERACIONES'!$AA$7:$AA$506,B9,'CARGAR OPERACIONES'!$S$7:$S$506,"&lt;=0")</f>
        <v>1</v>
      </c>
      <c r="F9" s="74" t="n">
        <f aca="false">IF(C9=0,"-",D9/C9)</f>
        <v>0.5</v>
      </c>
      <c r="G9" s="75" t="n">
        <f aca="false">IF(C9=0,"-",SUMIFS('CARGAR OPERACIONES'!$S$7:$S$506,'CARGAR OPERACIONES'!$AA$7:$AA$506,B9))</f>
        <v>131.6</v>
      </c>
      <c r="H9" s="76" t="n">
        <f aca="false">IF(C9=0,"-",IF(E9=0,99,SUMIFS('CARGAR OPERACIONES'!$S$7:$S$506,'CARGAR OPERACIONES'!$AA$7:$AA$506,B9,'CARGAR OPERACIONES'!$S$7:$S$506,"&gt;0")/-SUMIFS('CARGAR OPERACIONES'!$S$7:$S$506,'CARGAR OPERACIONES'!$AA$7:$AA$506,B9,'CARGAR OPERACIONES'!$S$7:$S$506,"&lt;=0")))</f>
        <v>1.82663316582915</v>
      </c>
      <c r="I9" s="75" t="n">
        <f aca="false">IF(C9=0,"-",G9/C9)</f>
        <v>65.8</v>
      </c>
      <c r="J9" s="75" t="n">
        <f aca="false">IF(C9=0,"-",Parametros!$C$6+SUMIFS('CARGAR OPERACIONES'!$S$7:$S$506,'CARGAR OPERACIONES'!$AA$7:$AA$506,"&lt;="&amp;B9))</f>
        <v>9006.92</v>
      </c>
      <c r="L9" s="91" t="n">
        <f aca="false">DATE(YEAR(L8),MONTH(L8)+1,1)</f>
        <v>46266</v>
      </c>
      <c r="M9" s="78" t="n">
        <f aca="false">COUNTIFS('CARGAR OPERACIONES'!$AB$7:$AB$506,L9)</f>
        <v>8</v>
      </c>
      <c r="N9" s="78" t="n">
        <f aca="false">COUNTIFS('CARGAR OPERACIONES'!$AB$7:$AB$506,L9,'CARGAR OPERACIONES'!$S$7:$S$506,"&gt;0")</f>
        <v>2</v>
      </c>
      <c r="O9" s="78" t="n">
        <f aca="false">COUNTIFS('CARGAR OPERACIONES'!$AB$7:$AB$506,L9,'CARGAR OPERACIONES'!$S$7:$S$506,"&lt;=0")</f>
        <v>6</v>
      </c>
      <c r="P9" s="74" t="n">
        <f aca="false">IF(M9=0,"-",N9/M9)</f>
        <v>0.25</v>
      </c>
      <c r="Q9" s="75" t="n">
        <f aca="false">IF(M9=0,"-",SUMIFS('CARGAR OPERACIONES'!$S$7:$S$506,'CARGAR OPERACIONES'!$AB$7:$AB$506,L9))</f>
        <v>-362.56</v>
      </c>
      <c r="R9" s="76" t="n">
        <f aca="false">IF(M9=0,"-",IF(O9=0,99,SUMIFS('CARGAR OPERACIONES'!$S$7:$S$506,'CARGAR OPERACIONES'!$AB$7:$AB$506,L9,'CARGAR OPERACIONES'!$S$7:$S$506,"&gt;0")/-SUMIFS('CARGAR OPERACIONES'!$S$7:$S$506,'CARGAR OPERACIONES'!$AB$7:$AB$506,L9,'CARGAR OPERACIONES'!$S$7:$S$506,"&lt;=0")))</f>
        <v>0.618967546662183</v>
      </c>
      <c r="S9" s="75" t="n">
        <f aca="false">IF(M9=0,"-",Q9/M9)</f>
        <v>-45.32</v>
      </c>
      <c r="T9" s="75" t="n">
        <f aca="false">IF(M9=0,"-",Parametros!$C$6+SUMIFS('CARGAR OPERACIONES'!$S$7:$S$506,'CARGAR OPERACIONES'!$AB$7:$AB$506,"&lt;="&amp;L9))</f>
        <v>9066.76</v>
      </c>
      <c r="V9" s="0" t="str">
        <f aca="false">DAY(B9)&amp;"/"&amp;MONTH(B9)</f>
        <v>17/8</v>
      </c>
    </row>
    <row r="10" customFormat="false" ht="15" hidden="false" customHeight="false" outlineLevel="0" collapsed="false">
      <c r="B10" s="88" t="n">
        <f aca="false">B9+7</f>
        <v>46258</v>
      </c>
      <c r="C10" s="68" t="n">
        <f aca="false">COUNTIFS('CARGAR OPERACIONES'!$AA$7:$AA$506,B10)</f>
        <v>2</v>
      </c>
      <c r="D10" s="68" t="n">
        <f aca="false">COUNTIFS('CARGAR OPERACIONES'!$AA$7:$AA$506,B10,'CARGAR OPERACIONES'!$S$7:$S$506,"&gt;0")</f>
        <v>1</v>
      </c>
      <c r="E10" s="68" t="n">
        <f aca="false">COUNTIFS('CARGAR OPERACIONES'!$AA$7:$AA$506,B10,'CARGAR OPERACIONES'!$S$7:$S$506,"&lt;=0")</f>
        <v>1</v>
      </c>
      <c r="F10" s="64" t="n">
        <f aca="false">IF(C10=0,"-",D10/C10)</f>
        <v>0.5</v>
      </c>
      <c r="G10" s="65" t="n">
        <f aca="false">IF(C10=0,"-",SUMIFS('CARGAR OPERACIONES'!$S$7:$S$506,'CARGAR OPERACIONES'!$AA$7:$AA$506,B10))</f>
        <v>131.6</v>
      </c>
      <c r="H10" s="66" t="n">
        <f aca="false">IF(C10=0,"-",IF(E10=0,99,SUMIFS('CARGAR OPERACIONES'!$S$7:$S$506,'CARGAR OPERACIONES'!$AA$7:$AA$506,B10,'CARGAR OPERACIONES'!$S$7:$S$506,"&gt;0")/-SUMIFS('CARGAR OPERACIONES'!$S$7:$S$506,'CARGAR OPERACIONES'!$AA$7:$AA$506,B10,'CARGAR OPERACIONES'!$S$7:$S$506,"&lt;=0")))</f>
        <v>1.82663316582915</v>
      </c>
      <c r="I10" s="65" t="n">
        <f aca="false">IF(C10=0,"-",G10/C10)</f>
        <v>65.8</v>
      </c>
      <c r="J10" s="65" t="n">
        <f aca="false">IF(C10=0,"-",Parametros!$C$6+SUMIFS('CARGAR OPERACIONES'!$S$7:$S$506,'CARGAR OPERACIONES'!$AA$7:$AA$506,"&lt;="&amp;B10))</f>
        <v>9138.52</v>
      </c>
      <c r="L10" s="89" t="n">
        <f aca="false">DATE(YEAR(L9),MONTH(L9)+1,1)</f>
        <v>46296</v>
      </c>
      <c r="M10" s="68" t="n">
        <f aca="false">COUNTIFS('CARGAR OPERACIONES'!$AB$7:$AB$506,L10)</f>
        <v>2</v>
      </c>
      <c r="N10" s="68" t="n">
        <f aca="false">COUNTIFS('CARGAR OPERACIONES'!$AB$7:$AB$506,L10,'CARGAR OPERACIONES'!$S$7:$S$506,"&gt;0")</f>
        <v>0</v>
      </c>
      <c r="O10" s="68" t="n">
        <f aca="false">COUNTIFS('CARGAR OPERACIONES'!$AB$7:$AB$506,L10,'CARGAR OPERACIONES'!$S$7:$S$506,"&lt;=0")</f>
        <v>2</v>
      </c>
      <c r="P10" s="64" t="n">
        <f aca="false">IF(M10=0,"-",N10/M10)</f>
        <v>0</v>
      </c>
      <c r="Q10" s="65" t="n">
        <f aca="false">IF(M10=0,"-",SUMIFS('CARGAR OPERACIONES'!$S$7:$S$506,'CARGAR OPERACIONES'!$AB$7:$AB$506,L10))</f>
        <v>-318.4</v>
      </c>
      <c r="R10" s="66" t="n">
        <f aca="false">IF(M10=0,"-",IF(O10=0,99,SUMIFS('CARGAR OPERACIONES'!$S$7:$S$506,'CARGAR OPERACIONES'!$AB$7:$AB$506,L10,'CARGAR OPERACIONES'!$S$7:$S$506,"&gt;0")/-SUMIFS('CARGAR OPERACIONES'!$S$7:$S$506,'CARGAR OPERACIONES'!$AB$7:$AB$506,L10,'CARGAR OPERACIONES'!$S$7:$S$506,"&lt;=0")))</f>
        <v>0</v>
      </c>
      <c r="S10" s="65" t="n">
        <f aca="false">IF(M10=0,"-",Q10/M10)</f>
        <v>-159.2</v>
      </c>
      <c r="T10" s="65" t="n">
        <f aca="false">IF(M10=0,"-",Parametros!$C$6+SUMIFS('CARGAR OPERACIONES'!$S$7:$S$506,'CARGAR OPERACIONES'!$AB$7:$AB$506,"&lt;="&amp;L10))</f>
        <v>8748.36</v>
      </c>
      <c r="V10" s="0" t="str">
        <f aca="false">DAY(B10)&amp;"/"&amp;MONTH(B10)</f>
        <v>24/8</v>
      </c>
    </row>
    <row r="11" customFormat="false" ht="15" hidden="false" customHeight="false" outlineLevel="0" collapsed="false">
      <c r="B11" s="90" t="n">
        <f aca="false">B10+7</f>
        <v>46265</v>
      </c>
      <c r="C11" s="78" t="n">
        <f aca="false">COUNTIFS('CARGAR OPERACIONES'!$AA$7:$AA$506,B11)</f>
        <v>2</v>
      </c>
      <c r="D11" s="78" t="n">
        <f aca="false">COUNTIFS('CARGAR OPERACIONES'!$AA$7:$AA$506,B11,'CARGAR OPERACIONES'!$S$7:$S$506,"&gt;0")</f>
        <v>1</v>
      </c>
      <c r="E11" s="78" t="n">
        <f aca="false">COUNTIFS('CARGAR OPERACIONES'!$AA$7:$AA$506,B11,'CARGAR OPERACIONES'!$S$7:$S$506,"&lt;=0")</f>
        <v>1</v>
      </c>
      <c r="F11" s="74" t="n">
        <f aca="false">IF(C11=0,"-",D11/C11)</f>
        <v>0.5</v>
      </c>
      <c r="G11" s="75" t="n">
        <f aca="false">IF(C11=0,"-",SUMIFS('CARGAR OPERACIONES'!$S$7:$S$506,'CARGAR OPERACIONES'!$AA$7:$AA$506,B11))</f>
        <v>131.6</v>
      </c>
      <c r="H11" s="76" t="n">
        <f aca="false">IF(C11=0,"-",IF(E11=0,99,SUMIFS('CARGAR OPERACIONES'!$S$7:$S$506,'CARGAR OPERACIONES'!$AA$7:$AA$506,B11,'CARGAR OPERACIONES'!$S$7:$S$506,"&gt;0")/-SUMIFS('CARGAR OPERACIONES'!$S$7:$S$506,'CARGAR OPERACIONES'!$AA$7:$AA$506,B11,'CARGAR OPERACIONES'!$S$7:$S$506,"&lt;=0")))</f>
        <v>1.82663316582915</v>
      </c>
      <c r="I11" s="75" t="n">
        <f aca="false">IF(C11=0,"-",G11/C11)</f>
        <v>65.8</v>
      </c>
      <c r="J11" s="75" t="n">
        <f aca="false">IF(C11=0,"-",Parametros!$C$6+SUMIFS('CARGAR OPERACIONES'!$S$7:$S$506,'CARGAR OPERACIONES'!$AA$7:$AA$506,"&lt;="&amp;B11))</f>
        <v>9270.12</v>
      </c>
      <c r="L11" s="91" t="n">
        <f aca="false">DATE(YEAR(L10),MONTH(L10)+1,1)</f>
        <v>46327</v>
      </c>
      <c r="M11" s="78" t="n">
        <f aca="false">COUNTIFS('CARGAR OPERACIONES'!$AB$7:$AB$506,L11)</f>
        <v>0</v>
      </c>
      <c r="N11" s="78" t="n">
        <f aca="false">COUNTIFS('CARGAR OPERACIONES'!$AB$7:$AB$506,L11,'CARGAR OPERACIONES'!$S$7:$S$506,"&gt;0")</f>
        <v>0</v>
      </c>
      <c r="O11" s="78" t="n">
        <f aca="false">COUNTIFS('CARGAR OPERACIONES'!$AB$7:$AB$506,L11,'CARGAR OPERACIONES'!$S$7:$S$506,"&lt;=0")</f>
        <v>0</v>
      </c>
      <c r="P11" s="74" t="str">
        <f aca="false">IF(M11=0,"-",N11/M11)</f>
        <v>-</v>
      </c>
      <c r="Q11" s="75" t="str">
        <f aca="false">IF(M11=0,"-",SUMIFS('CARGAR OPERACIONES'!$S$7:$S$506,'CARGAR OPERACIONES'!$AB$7:$AB$506,L11))</f>
        <v>-</v>
      </c>
      <c r="R11" s="76" t="str">
        <f aca="false">IF(M11=0,"-",IF(O11=0,99,SUMIFS('CARGAR OPERACIONES'!$S$7:$S$506,'CARGAR OPERACIONES'!$AB$7:$AB$506,L11,'CARGAR OPERACIONES'!$S$7:$S$506,"&gt;0")/-SUMIFS('CARGAR OPERACIONES'!$S$7:$S$506,'CARGAR OPERACIONES'!$AB$7:$AB$506,L11,'CARGAR OPERACIONES'!$S$7:$S$506,"&lt;=0")))</f>
        <v>-</v>
      </c>
      <c r="S11" s="75" t="str">
        <f aca="false">IF(M11=0,"-",Q11/M11)</f>
        <v>-</v>
      </c>
      <c r="T11" s="75" t="str">
        <f aca="false">IF(M11=0,"-",Parametros!$C$6+SUMIFS('CARGAR OPERACIONES'!$S$7:$S$506,'CARGAR OPERACIONES'!$AB$7:$AB$506,"&lt;="&amp;L11))</f>
        <v>-</v>
      </c>
      <c r="V11" s="0" t="str">
        <f aca="false">DAY(B11)&amp;"/"&amp;MONTH(B11)</f>
        <v>31/8</v>
      </c>
    </row>
    <row r="12" customFormat="false" ht="15" hidden="false" customHeight="false" outlineLevel="0" collapsed="false">
      <c r="B12" s="88" t="n">
        <f aca="false">B11+7</f>
        <v>46272</v>
      </c>
      <c r="C12" s="68" t="n">
        <f aca="false">COUNTIFS('CARGAR OPERACIONES'!$AA$7:$AA$506,B12)</f>
        <v>2</v>
      </c>
      <c r="D12" s="68" t="n">
        <f aca="false">COUNTIFS('CARGAR OPERACIONES'!$AA$7:$AA$506,B12,'CARGAR OPERACIONES'!$S$7:$S$506,"&gt;0")</f>
        <v>1</v>
      </c>
      <c r="E12" s="68" t="n">
        <f aca="false">COUNTIFS('CARGAR OPERACIONES'!$AA$7:$AA$506,B12,'CARGAR OPERACIONES'!$S$7:$S$506,"&lt;=0")</f>
        <v>1</v>
      </c>
      <c r="F12" s="64" t="n">
        <f aca="false">IF(C12=0,"-",D12/C12)</f>
        <v>0.5</v>
      </c>
      <c r="G12" s="65" t="n">
        <f aca="false">IF(C12=0,"-",SUMIFS('CARGAR OPERACIONES'!$S$7:$S$506,'CARGAR OPERACIONES'!$AA$7:$AA$506,B12))</f>
        <v>135.28</v>
      </c>
      <c r="H12" s="66" t="n">
        <f aca="false">IF(C12=0,"-",IF(E12=0,99,SUMIFS('CARGAR OPERACIONES'!$S$7:$S$506,'CARGAR OPERACIONES'!$AA$7:$AA$506,B12,'CARGAR OPERACIONES'!$S$7:$S$506,"&gt;0")/-SUMIFS('CARGAR OPERACIONES'!$S$7:$S$506,'CARGAR OPERACIONES'!$AA$7:$AA$506,B12,'CARGAR OPERACIONES'!$S$7:$S$506,"&lt;=0")))</f>
        <v>1.84974874371859</v>
      </c>
      <c r="I12" s="65" t="n">
        <f aca="false">IF(C12=0,"-",G12/C12)</f>
        <v>67.64</v>
      </c>
      <c r="J12" s="65" t="n">
        <f aca="false">IF(C12=0,"-",Parametros!$C$6+SUMIFS('CARGAR OPERACIONES'!$S$7:$S$506,'CARGAR OPERACIONES'!$AA$7:$AA$506,"&lt;="&amp;B12))</f>
        <v>9405.4</v>
      </c>
      <c r="L12" s="89" t="n">
        <f aca="false">DATE(YEAR(L11),MONTH(L11)+1,1)</f>
        <v>46357</v>
      </c>
      <c r="M12" s="68" t="n">
        <f aca="false">COUNTIFS('CARGAR OPERACIONES'!$AB$7:$AB$506,L12)</f>
        <v>0</v>
      </c>
      <c r="N12" s="68" t="n">
        <f aca="false">COUNTIFS('CARGAR OPERACIONES'!$AB$7:$AB$506,L12,'CARGAR OPERACIONES'!$S$7:$S$506,"&gt;0")</f>
        <v>0</v>
      </c>
      <c r="O12" s="68" t="n">
        <f aca="false">COUNTIFS('CARGAR OPERACIONES'!$AB$7:$AB$506,L12,'CARGAR OPERACIONES'!$S$7:$S$506,"&lt;=0")</f>
        <v>0</v>
      </c>
      <c r="P12" s="64" t="str">
        <f aca="false">IF(M12=0,"-",N12/M12)</f>
        <v>-</v>
      </c>
      <c r="Q12" s="65" t="str">
        <f aca="false">IF(M12=0,"-",SUMIFS('CARGAR OPERACIONES'!$S$7:$S$506,'CARGAR OPERACIONES'!$AB$7:$AB$506,L12))</f>
        <v>-</v>
      </c>
      <c r="R12" s="66" t="str">
        <f aca="false">IF(M12=0,"-",IF(O12=0,99,SUMIFS('CARGAR OPERACIONES'!$S$7:$S$506,'CARGAR OPERACIONES'!$AB$7:$AB$506,L12,'CARGAR OPERACIONES'!$S$7:$S$506,"&gt;0")/-SUMIFS('CARGAR OPERACIONES'!$S$7:$S$506,'CARGAR OPERACIONES'!$AB$7:$AB$506,L12,'CARGAR OPERACIONES'!$S$7:$S$506,"&lt;=0")))</f>
        <v>-</v>
      </c>
      <c r="S12" s="65" t="str">
        <f aca="false">IF(M12=0,"-",Q12/M12)</f>
        <v>-</v>
      </c>
      <c r="T12" s="65" t="str">
        <f aca="false">IF(M12=0,"-",Parametros!$C$6+SUMIFS('CARGAR OPERACIONES'!$S$7:$S$506,'CARGAR OPERACIONES'!$AB$7:$AB$506,"&lt;="&amp;L12))</f>
        <v>-</v>
      </c>
      <c r="V12" s="0" t="str">
        <f aca="false">DAY(B12)&amp;"/"&amp;MONTH(B12)</f>
        <v>7/9</v>
      </c>
    </row>
    <row r="13" customFormat="false" ht="15" hidden="false" customHeight="false" outlineLevel="0" collapsed="false">
      <c r="B13" s="90" t="n">
        <f aca="false">B12+7</f>
        <v>46279</v>
      </c>
      <c r="C13" s="78" t="n">
        <f aca="false">COUNTIFS('CARGAR OPERACIONES'!$AA$7:$AA$506,B13)</f>
        <v>0</v>
      </c>
      <c r="D13" s="78" t="n">
        <f aca="false">COUNTIFS('CARGAR OPERACIONES'!$AA$7:$AA$506,B13,'CARGAR OPERACIONES'!$S$7:$S$506,"&gt;0")</f>
        <v>0</v>
      </c>
      <c r="E13" s="78" t="n">
        <f aca="false">COUNTIFS('CARGAR OPERACIONES'!$AA$7:$AA$506,B13,'CARGAR OPERACIONES'!$S$7:$S$506,"&lt;=0")</f>
        <v>0</v>
      </c>
      <c r="F13" s="74" t="str">
        <f aca="false">IF(C13=0,"-",D13/C13)</f>
        <v>-</v>
      </c>
      <c r="G13" s="75" t="str">
        <f aca="false">IF(C13=0,"-",SUMIFS('CARGAR OPERACIONES'!$S$7:$S$506,'CARGAR OPERACIONES'!$AA$7:$AA$506,B13))</f>
        <v>-</v>
      </c>
      <c r="H13" s="76" t="str">
        <f aca="false">IF(C13=0,"-",IF(E13=0,99,SUMIFS('CARGAR OPERACIONES'!$S$7:$S$506,'CARGAR OPERACIONES'!$AA$7:$AA$506,B13,'CARGAR OPERACIONES'!$S$7:$S$506,"&gt;0")/-SUMIFS('CARGAR OPERACIONES'!$S$7:$S$506,'CARGAR OPERACIONES'!$AA$7:$AA$506,B13,'CARGAR OPERACIONES'!$S$7:$S$506,"&lt;=0")))</f>
        <v>-</v>
      </c>
      <c r="I13" s="75" t="str">
        <f aca="false">IF(C13=0,"-",G13/C13)</f>
        <v>-</v>
      </c>
      <c r="J13" s="75" t="str">
        <f aca="false">IF(C13=0,"-",Parametros!$C$6+SUMIFS('CARGAR OPERACIONES'!$S$7:$S$506,'CARGAR OPERACIONES'!$AA$7:$AA$506,"&lt;="&amp;B13))</f>
        <v>-</v>
      </c>
      <c r="L13" s="91" t="n">
        <f aca="false">DATE(YEAR(L12),MONTH(L12)+1,1)</f>
        <v>46388</v>
      </c>
      <c r="M13" s="78" t="n">
        <f aca="false">COUNTIFS('CARGAR OPERACIONES'!$AB$7:$AB$506,L13)</f>
        <v>0</v>
      </c>
      <c r="N13" s="78" t="n">
        <f aca="false">COUNTIFS('CARGAR OPERACIONES'!$AB$7:$AB$506,L13,'CARGAR OPERACIONES'!$S$7:$S$506,"&gt;0")</f>
        <v>0</v>
      </c>
      <c r="O13" s="78" t="n">
        <f aca="false">COUNTIFS('CARGAR OPERACIONES'!$AB$7:$AB$506,L13,'CARGAR OPERACIONES'!$S$7:$S$506,"&lt;=0")</f>
        <v>0</v>
      </c>
      <c r="P13" s="74" t="str">
        <f aca="false">IF(M13=0,"-",N13/M13)</f>
        <v>-</v>
      </c>
      <c r="Q13" s="75" t="str">
        <f aca="false">IF(M13=0,"-",SUMIFS('CARGAR OPERACIONES'!$S$7:$S$506,'CARGAR OPERACIONES'!$AB$7:$AB$506,L13))</f>
        <v>-</v>
      </c>
      <c r="R13" s="76" t="str">
        <f aca="false">IF(M13=0,"-",IF(O13=0,99,SUMIFS('CARGAR OPERACIONES'!$S$7:$S$506,'CARGAR OPERACIONES'!$AB$7:$AB$506,L13,'CARGAR OPERACIONES'!$S$7:$S$506,"&gt;0")/-SUMIFS('CARGAR OPERACIONES'!$S$7:$S$506,'CARGAR OPERACIONES'!$AB$7:$AB$506,L13,'CARGAR OPERACIONES'!$S$7:$S$506,"&lt;=0")))</f>
        <v>-</v>
      </c>
      <c r="S13" s="75" t="str">
        <f aca="false">IF(M13=0,"-",Q13/M13)</f>
        <v>-</v>
      </c>
      <c r="T13" s="75" t="str">
        <f aca="false">IF(M13=0,"-",Parametros!$C$6+SUMIFS('CARGAR OPERACIONES'!$S$7:$S$506,'CARGAR OPERACIONES'!$AB$7:$AB$506,"&lt;="&amp;L13))</f>
        <v>-</v>
      </c>
      <c r="V13" s="0" t="str">
        <f aca="false">DAY(B13)&amp;"/"&amp;MONTH(B13)</f>
        <v>14/9</v>
      </c>
    </row>
    <row r="14" customFormat="false" ht="15" hidden="false" customHeight="false" outlineLevel="0" collapsed="false">
      <c r="B14" s="88" t="n">
        <f aca="false">B13+7</f>
        <v>46286</v>
      </c>
      <c r="C14" s="68" t="n">
        <f aca="false">COUNTIFS('CARGAR OPERACIONES'!$AA$7:$AA$506,B14)</f>
        <v>3</v>
      </c>
      <c r="D14" s="68" t="n">
        <f aca="false">COUNTIFS('CARGAR OPERACIONES'!$AA$7:$AA$506,B14,'CARGAR OPERACIONES'!$S$7:$S$506,"&gt;0")</f>
        <v>1</v>
      </c>
      <c r="E14" s="68" t="n">
        <f aca="false">COUNTIFS('CARGAR OPERACIONES'!$AA$7:$AA$506,B14,'CARGAR OPERACIONES'!$S$7:$S$506,"&lt;=0")</f>
        <v>2</v>
      </c>
      <c r="F14" s="64" t="n">
        <f aca="false">IF(C14=0,"-",D14/C14)</f>
        <v>0.333333333333333</v>
      </c>
      <c r="G14" s="65" t="n">
        <f aca="false">IF(C14=0,"-",SUMIFS('CARGAR OPERACIONES'!$S$7:$S$506,'CARGAR OPERACIONES'!$AA$7:$AA$506,B14))</f>
        <v>-23.92</v>
      </c>
      <c r="H14" s="66" t="n">
        <f aca="false">IF(C14=0,"-",IF(E14=0,99,SUMIFS('CARGAR OPERACIONES'!$S$7:$S$506,'CARGAR OPERACIONES'!$AA$7:$AA$506,B14,'CARGAR OPERACIONES'!$S$7:$S$506,"&gt;0")/-SUMIFS('CARGAR OPERACIONES'!$S$7:$S$506,'CARGAR OPERACIONES'!$AA$7:$AA$506,B14,'CARGAR OPERACIONES'!$S$7:$S$506,"&lt;=0")))</f>
        <v>0.924874371859297</v>
      </c>
      <c r="I14" s="65" t="n">
        <f aca="false">IF(C14=0,"-",G14/C14)</f>
        <v>-7.97333333333332</v>
      </c>
      <c r="J14" s="65" t="n">
        <f aca="false">IF(C14=0,"-",Parametros!$C$6+SUMIFS('CARGAR OPERACIONES'!$S$7:$S$506,'CARGAR OPERACIONES'!$AA$7:$AA$506,"&lt;="&amp;B14))</f>
        <v>9381.48</v>
      </c>
      <c r="L14" s="89" t="n">
        <f aca="false">DATE(YEAR(L13),MONTH(L13)+1,1)</f>
        <v>46419</v>
      </c>
      <c r="M14" s="68" t="n">
        <f aca="false">COUNTIFS('CARGAR OPERACIONES'!$AB$7:$AB$506,L14)</f>
        <v>0</v>
      </c>
      <c r="N14" s="68" t="n">
        <f aca="false">COUNTIFS('CARGAR OPERACIONES'!$AB$7:$AB$506,L14,'CARGAR OPERACIONES'!$S$7:$S$506,"&gt;0")</f>
        <v>0</v>
      </c>
      <c r="O14" s="68" t="n">
        <f aca="false">COUNTIFS('CARGAR OPERACIONES'!$AB$7:$AB$506,L14,'CARGAR OPERACIONES'!$S$7:$S$506,"&lt;=0")</f>
        <v>0</v>
      </c>
      <c r="P14" s="64" t="str">
        <f aca="false">IF(M14=0,"-",N14/M14)</f>
        <v>-</v>
      </c>
      <c r="Q14" s="65" t="str">
        <f aca="false">IF(M14=0,"-",SUMIFS('CARGAR OPERACIONES'!$S$7:$S$506,'CARGAR OPERACIONES'!$AB$7:$AB$506,L14))</f>
        <v>-</v>
      </c>
      <c r="R14" s="66" t="str">
        <f aca="false">IF(M14=0,"-",IF(O14=0,99,SUMIFS('CARGAR OPERACIONES'!$S$7:$S$506,'CARGAR OPERACIONES'!$AB$7:$AB$506,L14,'CARGAR OPERACIONES'!$S$7:$S$506,"&gt;0")/-SUMIFS('CARGAR OPERACIONES'!$S$7:$S$506,'CARGAR OPERACIONES'!$AB$7:$AB$506,L14,'CARGAR OPERACIONES'!$S$7:$S$506,"&lt;=0")))</f>
        <v>-</v>
      </c>
      <c r="S14" s="65" t="str">
        <f aca="false">IF(M14=0,"-",Q14/M14)</f>
        <v>-</v>
      </c>
      <c r="T14" s="65" t="str">
        <f aca="false">IF(M14=0,"-",Parametros!$C$6+SUMIFS('CARGAR OPERACIONES'!$S$7:$S$506,'CARGAR OPERACIONES'!$AB$7:$AB$506,"&lt;="&amp;L14))</f>
        <v>-</v>
      </c>
      <c r="V14" s="0" t="str">
        <f aca="false">DAY(B14)&amp;"/"&amp;MONTH(B14)</f>
        <v>21/9</v>
      </c>
    </row>
    <row r="15" customFormat="false" ht="15" hidden="false" customHeight="false" outlineLevel="0" collapsed="false">
      <c r="B15" s="90" t="n">
        <f aca="false">B14+7</f>
        <v>46293</v>
      </c>
      <c r="C15" s="78" t="n">
        <f aca="false">COUNTIFS('CARGAR OPERACIONES'!$AA$7:$AA$506,B15)</f>
        <v>2</v>
      </c>
      <c r="D15" s="78" t="n">
        <f aca="false">COUNTIFS('CARGAR OPERACIONES'!$AA$7:$AA$506,B15,'CARGAR OPERACIONES'!$S$7:$S$506,"&gt;0")</f>
        <v>0</v>
      </c>
      <c r="E15" s="78" t="n">
        <f aca="false">COUNTIFS('CARGAR OPERACIONES'!$AA$7:$AA$506,B15,'CARGAR OPERACIONES'!$S$7:$S$506,"&lt;=0")</f>
        <v>2</v>
      </c>
      <c r="F15" s="74" t="n">
        <f aca="false">IF(C15=0,"-",D15/C15)</f>
        <v>0</v>
      </c>
      <c r="G15" s="75" t="n">
        <f aca="false">IF(C15=0,"-",SUMIFS('CARGAR OPERACIONES'!$S$7:$S$506,'CARGAR OPERACIONES'!$AA$7:$AA$506,B15))</f>
        <v>-314.72</v>
      </c>
      <c r="H15" s="76" t="n">
        <f aca="false">IF(C15=0,"-",IF(E15=0,99,SUMIFS('CARGAR OPERACIONES'!$S$7:$S$506,'CARGAR OPERACIONES'!$AA$7:$AA$506,B15,'CARGAR OPERACIONES'!$S$7:$S$506,"&gt;0")/-SUMIFS('CARGAR OPERACIONES'!$S$7:$S$506,'CARGAR OPERACIONES'!$AA$7:$AA$506,B15,'CARGAR OPERACIONES'!$S$7:$S$506,"&lt;=0")))</f>
        <v>0</v>
      </c>
      <c r="I15" s="75" t="n">
        <f aca="false">IF(C15=0,"-",G15/C15)</f>
        <v>-157.36</v>
      </c>
      <c r="J15" s="75" t="n">
        <f aca="false">IF(C15=0,"-",Parametros!$C$6+SUMIFS('CARGAR OPERACIONES'!$S$7:$S$506,'CARGAR OPERACIONES'!$AA$7:$AA$506,"&lt;="&amp;B15))</f>
        <v>9066.76</v>
      </c>
      <c r="L15" s="91" t="n">
        <f aca="false">DATE(YEAR(L14),MONTH(L14)+1,1)</f>
        <v>46447</v>
      </c>
      <c r="M15" s="78" t="n">
        <f aca="false">COUNTIFS('CARGAR OPERACIONES'!$AB$7:$AB$506,L15)</f>
        <v>0</v>
      </c>
      <c r="N15" s="78" t="n">
        <f aca="false">COUNTIFS('CARGAR OPERACIONES'!$AB$7:$AB$506,L15,'CARGAR OPERACIONES'!$S$7:$S$506,"&gt;0")</f>
        <v>0</v>
      </c>
      <c r="O15" s="78" t="n">
        <f aca="false">COUNTIFS('CARGAR OPERACIONES'!$AB$7:$AB$506,L15,'CARGAR OPERACIONES'!$S$7:$S$506,"&lt;=0")</f>
        <v>0</v>
      </c>
      <c r="P15" s="74" t="str">
        <f aca="false">IF(M15=0,"-",N15/M15)</f>
        <v>-</v>
      </c>
      <c r="Q15" s="75" t="str">
        <f aca="false">IF(M15=0,"-",SUMIFS('CARGAR OPERACIONES'!$S$7:$S$506,'CARGAR OPERACIONES'!$AB$7:$AB$506,L15))</f>
        <v>-</v>
      </c>
      <c r="R15" s="76" t="str">
        <f aca="false">IF(M15=0,"-",IF(O15=0,99,SUMIFS('CARGAR OPERACIONES'!$S$7:$S$506,'CARGAR OPERACIONES'!$AB$7:$AB$506,L15,'CARGAR OPERACIONES'!$S$7:$S$506,"&gt;0")/-SUMIFS('CARGAR OPERACIONES'!$S$7:$S$506,'CARGAR OPERACIONES'!$AB$7:$AB$506,L15,'CARGAR OPERACIONES'!$S$7:$S$506,"&lt;=0")))</f>
        <v>-</v>
      </c>
      <c r="S15" s="75" t="str">
        <f aca="false">IF(M15=0,"-",Q15/M15)</f>
        <v>-</v>
      </c>
      <c r="T15" s="75" t="str">
        <f aca="false">IF(M15=0,"-",Parametros!$C$6+SUMIFS('CARGAR OPERACIONES'!$S$7:$S$506,'CARGAR OPERACIONES'!$AB$7:$AB$506,"&lt;="&amp;L15))</f>
        <v>-</v>
      </c>
      <c r="V15" s="0" t="str">
        <f aca="false">DAY(B15)&amp;"/"&amp;MONTH(B15)</f>
        <v>28/9</v>
      </c>
    </row>
    <row r="16" customFormat="false" ht="15" hidden="false" customHeight="false" outlineLevel="0" collapsed="false">
      <c r="B16" s="88" t="n">
        <f aca="false">B15+7</f>
        <v>46300</v>
      </c>
      <c r="C16" s="68" t="n">
        <f aca="false">COUNTIFS('CARGAR OPERACIONES'!$AA$7:$AA$506,B16)</f>
        <v>2</v>
      </c>
      <c r="D16" s="68" t="n">
        <f aca="false">COUNTIFS('CARGAR OPERACIONES'!$AA$7:$AA$506,B16,'CARGAR OPERACIONES'!$S$7:$S$506,"&gt;0")</f>
        <v>0</v>
      </c>
      <c r="E16" s="68" t="n">
        <f aca="false">COUNTIFS('CARGAR OPERACIONES'!$AA$7:$AA$506,B16,'CARGAR OPERACIONES'!$S$7:$S$506,"&lt;=0")</f>
        <v>2</v>
      </c>
      <c r="F16" s="64" t="n">
        <f aca="false">IF(C16=0,"-",D16/C16)</f>
        <v>0</v>
      </c>
      <c r="G16" s="65" t="n">
        <f aca="false">IF(C16=0,"-",SUMIFS('CARGAR OPERACIONES'!$S$7:$S$506,'CARGAR OPERACIONES'!$AA$7:$AA$506,B16))</f>
        <v>-318.4</v>
      </c>
      <c r="H16" s="66" t="n">
        <f aca="false">IF(C16=0,"-",IF(E16=0,99,SUMIFS('CARGAR OPERACIONES'!$S$7:$S$506,'CARGAR OPERACIONES'!$AA$7:$AA$506,B16,'CARGAR OPERACIONES'!$S$7:$S$506,"&gt;0")/-SUMIFS('CARGAR OPERACIONES'!$S$7:$S$506,'CARGAR OPERACIONES'!$AA$7:$AA$506,B16,'CARGAR OPERACIONES'!$S$7:$S$506,"&lt;=0")))</f>
        <v>0</v>
      </c>
      <c r="I16" s="65" t="n">
        <f aca="false">IF(C16=0,"-",G16/C16)</f>
        <v>-159.2</v>
      </c>
      <c r="J16" s="65" t="n">
        <f aca="false">IF(C16=0,"-",Parametros!$C$6+SUMIFS('CARGAR OPERACIONES'!$S$7:$S$506,'CARGAR OPERACIONES'!$AA$7:$AA$506,"&lt;="&amp;B16))</f>
        <v>8748.36</v>
      </c>
      <c r="L16" s="89" t="n">
        <f aca="false">DATE(YEAR(L15),MONTH(L15)+1,1)</f>
        <v>46478</v>
      </c>
      <c r="M16" s="68" t="n">
        <f aca="false">COUNTIFS('CARGAR OPERACIONES'!$AB$7:$AB$506,L16)</f>
        <v>0</v>
      </c>
      <c r="N16" s="68" t="n">
        <f aca="false">COUNTIFS('CARGAR OPERACIONES'!$AB$7:$AB$506,L16,'CARGAR OPERACIONES'!$S$7:$S$506,"&gt;0")</f>
        <v>0</v>
      </c>
      <c r="O16" s="68" t="n">
        <f aca="false">COUNTIFS('CARGAR OPERACIONES'!$AB$7:$AB$506,L16,'CARGAR OPERACIONES'!$S$7:$S$506,"&lt;=0")</f>
        <v>0</v>
      </c>
      <c r="P16" s="64" t="str">
        <f aca="false">IF(M16=0,"-",N16/M16)</f>
        <v>-</v>
      </c>
      <c r="Q16" s="65" t="str">
        <f aca="false">IF(M16=0,"-",SUMIFS('CARGAR OPERACIONES'!$S$7:$S$506,'CARGAR OPERACIONES'!$AB$7:$AB$506,L16))</f>
        <v>-</v>
      </c>
      <c r="R16" s="66" t="str">
        <f aca="false">IF(M16=0,"-",IF(O16=0,99,SUMIFS('CARGAR OPERACIONES'!$S$7:$S$506,'CARGAR OPERACIONES'!$AB$7:$AB$506,L16,'CARGAR OPERACIONES'!$S$7:$S$506,"&gt;0")/-SUMIFS('CARGAR OPERACIONES'!$S$7:$S$506,'CARGAR OPERACIONES'!$AB$7:$AB$506,L16,'CARGAR OPERACIONES'!$S$7:$S$506,"&lt;=0")))</f>
        <v>-</v>
      </c>
      <c r="S16" s="65" t="str">
        <f aca="false">IF(M16=0,"-",Q16/M16)</f>
        <v>-</v>
      </c>
      <c r="T16" s="65" t="str">
        <f aca="false">IF(M16=0,"-",Parametros!$C$6+SUMIFS('CARGAR OPERACIONES'!$S$7:$S$506,'CARGAR OPERACIONES'!$AB$7:$AB$506,"&lt;="&amp;L16))</f>
        <v>-</v>
      </c>
      <c r="V16" s="0" t="str">
        <f aca="false">DAY(B16)&amp;"/"&amp;MONTH(B16)</f>
        <v>5/10</v>
      </c>
    </row>
    <row r="17" customFormat="false" ht="15" hidden="false" customHeight="false" outlineLevel="0" collapsed="false">
      <c r="B17" s="90" t="n">
        <f aca="false">B16+7</f>
        <v>46307</v>
      </c>
      <c r="C17" s="78" t="n">
        <f aca="false">COUNTIFS('CARGAR OPERACIONES'!$AA$7:$AA$506,B17)</f>
        <v>0</v>
      </c>
      <c r="D17" s="78" t="n">
        <f aca="false">COUNTIFS('CARGAR OPERACIONES'!$AA$7:$AA$506,B17,'CARGAR OPERACIONES'!$S$7:$S$506,"&gt;0")</f>
        <v>0</v>
      </c>
      <c r="E17" s="78" t="n">
        <f aca="false">COUNTIFS('CARGAR OPERACIONES'!$AA$7:$AA$506,B17,'CARGAR OPERACIONES'!$S$7:$S$506,"&lt;=0")</f>
        <v>0</v>
      </c>
      <c r="F17" s="74" t="str">
        <f aca="false">IF(C17=0,"-",D17/C17)</f>
        <v>-</v>
      </c>
      <c r="G17" s="75" t="str">
        <f aca="false">IF(C17=0,"-",SUMIFS('CARGAR OPERACIONES'!$S$7:$S$506,'CARGAR OPERACIONES'!$AA$7:$AA$506,B17))</f>
        <v>-</v>
      </c>
      <c r="H17" s="76" t="str">
        <f aca="false">IF(C17=0,"-",IF(E17=0,99,SUMIFS('CARGAR OPERACIONES'!$S$7:$S$506,'CARGAR OPERACIONES'!$AA$7:$AA$506,B17,'CARGAR OPERACIONES'!$S$7:$S$506,"&gt;0")/-SUMIFS('CARGAR OPERACIONES'!$S$7:$S$506,'CARGAR OPERACIONES'!$AA$7:$AA$506,B17,'CARGAR OPERACIONES'!$S$7:$S$506,"&lt;=0")))</f>
        <v>-</v>
      </c>
      <c r="I17" s="75" t="str">
        <f aca="false">IF(C17=0,"-",G17/C17)</f>
        <v>-</v>
      </c>
      <c r="J17" s="75" t="str">
        <f aca="false">IF(C17=0,"-",Parametros!$C$6+SUMIFS('CARGAR OPERACIONES'!$S$7:$S$506,'CARGAR OPERACIONES'!$AA$7:$AA$506,"&lt;="&amp;B17))</f>
        <v>-</v>
      </c>
      <c r="L17" s="91" t="n">
        <f aca="false">DATE(YEAR(L16),MONTH(L16)+1,1)</f>
        <v>46508</v>
      </c>
      <c r="M17" s="78" t="n">
        <f aca="false">COUNTIFS('CARGAR OPERACIONES'!$AB$7:$AB$506,L17)</f>
        <v>0</v>
      </c>
      <c r="N17" s="78" t="n">
        <f aca="false">COUNTIFS('CARGAR OPERACIONES'!$AB$7:$AB$506,L17,'CARGAR OPERACIONES'!$S$7:$S$506,"&gt;0")</f>
        <v>0</v>
      </c>
      <c r="O17" s="78" t="n">
        <f aca="false">COUNTIFS('CARGAR OPERACIONES'!$AB$7:$AB$506,L17,'CARGAR OPERACIONES'!$S$7:$S$506,"&lt;=0")</f>
        <v>0</v>
      </c>
      <c r="P17" s="74" t="str">
        <f aca="false">IF(M17=0,"-",N17/M17)</f>
        <v>-</v>
      </c>
      <c r="Q17" s="75" t="str">
        <f aca="false">IF(M17=0,"-",SUMIFS('CARGAR OPERACIONES'!$S$7:$S$506,'CARGAR OPERACIONES'!$AB$7:$AB$506,L17))</f>
        <v>-</v>
      </c>
      <c r="R17" s="76" t="str">
        <f aca="false">IF(M17=0,"-",IF(O17=0,99,SUMIFS('CARGAR OPERACIONES'!$S$7:$S$506,'CARGAR OPERACIONES'!$AB$7:$AB$506,L17,'CARGAR OPERACIONES'!$S$7:$S$506,"&gt;0")/-SUMIFS('CARGAR OPERACIONES'!$S$7:$S$506,'CARGAR OPERACIONES'!$AB$7:$AB$506,L17,'CARGAR OPERACIONES'!$S$7:$S$506,"&lt;=0")))</f>
        <v>-</v>
      </c>
      <c r="S17" s="75" t="str">
        <f aca="false">IF(M17=0,"-",Q17/M17)</f>
        <v>-</v>
      </c>
      <c r="T17" s="75" t="str">
        <f aca="false">IF(M17=0,"-",Parametros!$C$6+SUMIFS('CARGAR OPERACIONES'!$S$7:$S$506,'CARGAR OPERACIONES'!$AB$7:$AB$506,"&lt;="&amp;L17))</f>
        <v>-</v>
      </c>
      <c r="V17" s="0" t="str">
        <f aca="false">DAY(B17)&amp;"/"&amp;MONTH(B17)</f>
        <v>12/10</v>
      </c>
    </row>
    <row r="18" customFormat="false" ht="15" hidden="false" customHeight="false" outlineLevel="0" collapsed="false">
      <c r="B18" s="88" t="n">
        <f aca="false">B17+7</f>
        <v>46314</v>
      </c>
      <c r="C18" s="68" t="n">
        <f aca="false">COUNTIFS('CARGAR OPERACIONES'!$AA$7:$AA$506,B18)</f>
        <v>0</v>
      </c>
      <c r="D18" s="68" t="n">
        <f aca="false">COUNTIFS('CARGAR OPERACIONES'!$AA$7:$AA$506,B18,'CARGAR OPERACIONES'!$S$7:$S$506,"&gt;0")</f>
        <v>0</v>
      </c>
      <c r="E18" s="68" t="n">
        <f aca="false">COUNTIFS('CARGAR OPERACIONES'!$AA$7:$AA$506,B18,'CARGAR OPERACIONES'!$S$7:$S$506,"&lt;=0")</f>
        <v>0</v>
      </c>
      <c r="F18" s="64" t="str">
        <f aca="false">IF(C18=0,"-",D18/C18)</f>
        <v>-</v>
      </c>
      <c r="G18" s="65" t="str">
        <f aca="false">IF(C18=0,"-",SUMIFS('CARGAR OPERACIONES'!$S$7:$S$506,'CARGAR OPERACIONES'!$AA$7:$AA$506,B18))</f>
        <v>-</v>
      </c>
      <c r="H18" s="66" t="str">
        <f aca="false">IF(C18=0,"-",IF(E18=0,99,SUMIFS('CARGAR OPERACIONES'!$S$7:$S$506,'CARGAR OPERACIONES'!$AA$7:$AA$506,B18,'CARGAR OPERACIONES'!$S$7:$S$506,"&gt;0")/-SUMIFS('CARGAR OPERACIONES'!$S$7:$S$506,'CARGAR OPERACIONES'!$AA$7:$AA$506,B18,'CARGAR OPERACIONES'!$S$7:$S$506,"&lt;=0")))</f>
        <v>-</v>
      </c>
      <c r="I18" s="65" t="str">
        <f aca="false">IF(C18=0,"-",G18/C18)</f>
        <v>-</v>
      </c>
      <c r="J18" s="65" t="str">
        <f aca="false">IF(C18=0,"-",Parametros!$C$6+SUMIFS('CARGAR OPERACIONES'!$S$7:$S$506,'CARGAR OPERACIONES'!$AA$7:$AA$506,"&lt;="&amp;B18))</f>
        <v>-</v>
      </c>
      <c r="L18" s="89" t="n">
        <f aca="false">DATE(YEAR(L17),MONTH(L17)+1,1)</f>
        <v>46539</v>
      </c>
      <c r="M18" s="68" t="n">
        <f aca="false">COUNTIFS('CARGAR OPERACIONES'!$AB$7:$AB$506,L18)</f>
        <v>0</v>
      </c>
      <c r="N18" s="68" t="n">
        <f aca="false">COUNTIFS('CARGAR OPERACIONES'!$AB$7:$AB$506,L18,'CARGAR OPERACIONES'!$S$7:$S$506,"&gt;0")</f>
        <v>0</v>
      </c>
      <c r="O18" s="68" t="n">
        <f aca="false">COUNTIFS('CARGAR OPERACIONES'!$AB$7:$AB$506,L18,'CARGAR OPERACIONES'!$S$7:$S$506,"&lt;=0")</f>
        <v>0</v>
      </c>
      <c r="P18" s="64" t="str">
        <f aca="false">IF(M18=0,"-",N18/M18)</f>
        <v>-</v>
      </c>
      <c r="Q18" s="65" t="str">
        <f aca="false">IF(M18=0,"-",SUMIFS('CARGAR OPERACIONES'!$S$7:$S$506,'CARGAR OPERACIONES'!$AB$7:$AB$506,L18))</f>
        <v>-</v>
      </c>
      <c r="R18" s="66" t="str">
        <f aca="false">IF(M18=0,"-",IF(O18=0,99,SUMIFS('CARGAR OPERACIONES'!$S$7:$S$506,'CARGAR OPERACIONES'!$AB$7:$AB$506,L18,'CARGAR OPERACIONES'!$S$7:$S$506,"&gt;0")/-SUMIFS('CARGAR OPERACIONES'!$S$7:$S$506,'CARGAR OPERACIONES'!$AB$7:$AB$506,L18,'CARGAR OPERACIONES'!$S$7:$S$506,"&lt;=0")))</f>
        <v>-</v>
      </c>
      <c r="S18" s="65" t="str">
        <f aca="false">IF(M18=0,"-",Q18/M18)</f>
        <v>-</v>
      </c>
      <c r="T18" s="65" t="str">
        <f aca="false">IF(M18=0,"-",Parametros!$C$6+SUMIFS('CARGAR OPERACIONES'!$S$7:$S$506,'CARGAR OPERACIONES'!$AB$7:$AB$506,"&lt;="&amp;L18))</f>
        <v>-</v>
      </c>
      <c r="V18" s="0" t="str">
        <f aca="false">DAY(B18)&amp;"/"&amp;MONTH(B18)</f>
        <v>19/10</v>
      </c>
    </row>
    <row r="19" customFormat="false" ht="15" hidden="false" customHeight="false" outlineLevel="0" collapsed="false">
      <c r="B19" s="90" t="n">
        <f aca="false">B18+7</f>
        <v>46321</v>
      </c>
      <c r="C19" s="78" t="n">
        <f aca="false">COUNTIFS('CARGAR OPERACIONES'!$AA$7:$AA$506,B19)</f>
        <v>0</v>
      </c>
      <c r="D19" s="78" t="n">
        <f aca="false">COUNTIFS('CARGAR OPERACIONES'!$AA$7:$AA$506,B19,'CARGAR OPERACIONES'!$S$7:$S$506,"&gt;0")</f>
        <v>0</v>
      </c>
      <c r="E19" s="78" t="n">
        <f aca="false">COUNTIFS('CARGAR OPERACIONES'!$AA$7:$AA$506,B19,'CARGAR OPERACIONES'!$S$7:$S$506,"&lt;=0")</f>
        <v>0</v>
      </c>
      <c r="F19" s="74" t="str">
        <f aca="false">IF(C19=0,"-",D19/C19)</f>
        <v>-</v>
      </c>
      <c r="G19" s="75" t="str">
        <f aca="false">IF(C19=0,"-",SUMIFS('CARGAR OPERACIONES'!$S$7:$S$506,'CARGAR OPERACIONES'!$AA$7:$AA$506,B19))</f>
        <v>-</v>
      </c>
      <c r="H19" s="76" t="str">
        <f aca="false">IF(C19=0,"-",IF(E19=0,99,SUMIFS('CARGAR OPERACIONES'!$S$7:$S$506,'CARGAR OPERACIONES'!$AA$7:$AA$506,B19,'CARGAR OPERACIONES'!$S$7:$S$506,"&gt;0")/-SUMIFS('CARGAR OPERACIONES'!$S$7:$S$506,'CARGAR OPERACIONES'!$AA$7:$AA$506,B19,'CARGAR OPERACIONES'!$S$7:$S$506,"&lt;=0")))</f>
        <v>-</v>
      </c>
      <c r="I19" s="75" t="str">
        <f aca="false">IF(C19=0,"-",G19/C19)</f>
        <v>-</v>
      </c>
      <c r="J19" s="75" t="str">
        <f aca="false">IF(C19=0,"-",Parametros!$C$6+SUMIFS('CARGAR OPERACIONES'!$S$7:$S$506,'CARGAR OPERACIONES'!$AA$7:$AA$506,"&lt;="&amp;B19))</f>
        <v>-</v>
      </c>
      <c r="L19" s="91" t="n">
        <f aca="false">DATE(YEAR(L18),MONTH(L18)+1,1)</f>
        <v>46569</v>
      </c>
      <c r="M19" s="78" t="n">
        <f aca="false">COUNTIFS('CARGAR OPERACIONES'!$AB$7:$AB$506,L19)</f>
        <v>0</v>
      </c>
      <c r="N19" s="78" t="n">
        <f aca="false">COUNTIFS('CARGAR OPERACIONES'!$AB$7:$AB$506,L19,'CARGAR OPERACIONES'!$S$7:$S$506,"&gt;0")</f>
        <v>0</v>
      </c>
      <c r="O19" s="78" t="n">
        <f aca="false">COUNTIFS('CARGAR OPERACIONES'!$AB$7:$AB$506,L19,'CARGAR OPERACIONES'!$S$7:$S$506,"&lt;=0")</f>
        <v>0</v>
      </c>
      <c r="P19" s="74" t="str">
        <f aca="false">IF(M19=0,"-",N19/M19)</f>
        <v>-</v>
      </c>
      <c r="Q19" s="75" t="str">
        <f aca="false">IF(M19=0,"-",SUMIFS('CARGAR OPERACIONES'!$S$7:$S$506,'CARGAR OPERACIONES'!$AB$7:$AB$506,L19))</f>
        <v>-</v>
      </c>
      <c r="R19" s="76" t="str">
        <f aca="false">IF(M19=0,"-",IF(O19=0,99,SUMIFS('CARGAR OPERACIONES'!$S$7:$S$506,'CARGAR OPERACIONES'!$AB$7:$AB$506,L19,'CARGAR OPERACIONES'!$S$7:$S$506,"&gt;0")/-SUMIFS('CARGAR OPERACIONES'!$S$7:$S$506,'CARGAR OPERACIONES'!$AB$7:$AB$506,L19,'CARGAR OPERACIONES'!$S$7:$S$506,"&lt;=0")))</f>
        <v>-</v>
      </c>
      <c r="S19" s="75" t="str">
        <f aca="false">IF(M19=0,"-",Q19/M19)</f>
        <v>-</v>
      </c>
      <c r="T19" s="75" t="str">
        <f aca="false">IF(M19=0,"-",Parametros!$C$6+SUMIFS('CARGAR OPERACIONES'!$S$7:$S$506,'CARGAR OPERACIONES'!$AB$7:$AB$506,"&lt;="&amp;L19))</f>
        <v>-</v>
      </c>
      <c r="V19" s="0" t="str">
        <f aca="false">DAY(B19)&amp;"/"&amp;MONTH(B19)</f>
        <v>26/10</v>
      </c>
    </row>
    <row r="20" customFormat="false" ht="15" hidden="false" customHeight="false" outlineLevel="0" collapsed="false">
      <c r="B20" s="88" t="n">
        <f aca="false">B19+7</f>
        <v>46328</v>
      </c>
      <c r="C20" s="68" t="n">
        <f aca="false">COUNTIFS('CARGAR OPERACIONES'!$AA$7:$AA$506,B20)</f>
        <v>0</v>
      </c>
      <c r="D20" s="68" t="n">
        <f aca="false">COUNTIFS('CARGAR OPERACIONES'!$AA$7:$AA$506,B20,'CARGAR OPERACIONES'!$S$7:$S$506,"&gt;0")</f>
        <v>0</v>
      </c>
      <c r="E20" s="68" t="n">
        <f aca="false">COUNTIFS('CARGAR OPERACIONES'!$AA$7:$AA$506,B20,'CARGAR OPERACIONES'!$S$7:$S$506,"&lt;=0")</f>
        <v>0</v>
      </c>
      <c r="F20" s="64" t="str">
        <f aca="false">IF(C20=0,"-",D20/C20)</f>
        <v>-</v>
      </c>
      <c r="G20" s="65" t="str">
        <f aca="false">IF(C20=0,"-",SUMIFS('CARGAR OPERACIONES'!$S$7:$S$506,'CARGAR OPERACIONES'!$AA$7:$AA$506,B20))</f>
        <v>-</v>
      </c>
      <c r="H20" s="66" t="str">
        <f aca="false">IF(C20=0,"-",IF(E20=0,99,SUMIFS('CARGAR OPERACIONES'!$S$7:$S$506,'CARGAR OPERACIONES'!$AA$7:$AA$506,B20,'CARGAR OPERACIONES'!$S$7:$S$506,"&gt;0")/-SUMIFS('CARGAR OPERACIONES'!$S$7:$S$506,'CARGAR OPERACIONES'!$AA$7:$AA$506,B20,'CARGAR OPERACIONES'!$S$7:$S$506,"&lt;=0")))</f>
        <v>-</v>
      </c>
      <c r="I20" s="65" t="str">
        <f aca="false">IF(C20=0,"-",G20/C20)</f>
        <v>-</v>
      </c>
      <c r="J20" s="65" t="str">
        <f aca="false">IF(C20=0,"-",Parametros!$C$6+SUMIFS('CARGAR OPERACIONES'!$S$7:$S$506,'CARGAR OPERACIONES'!$AA$7:$AA$506,"&lt;="&amp;B20))</f>
        <v>-</v>
      </c>
      <c r="L20" s="89" t="n">
        <f aca="false">DATE(YEAR(L19),MONTH(L19)+1,1)</f>
        <v>46600</v>
      </c>
      <c r="M20" s="68" t="n">
        <f aca="false">COUNTIFS('CARGAR OPERACIONES'!$AB$7:$AB$506,L20)</f>
        <v>0</v>
      </c>
      <c r="N20" s="68" t="n">
        <f aca="false">COUNTIFS('CARGAR OPERACIONES'!$AB$7:$AB$506,L20,'CARGAR OPERACIONES'!$S$7:$S$506,"&gt;0")</f>
        <v>0</v>
      </c>
      <c r="O20" s="68" t="n">
        <f aca="false">COUNTIFS('CARGAR OPERACIONES'!$AB$7:$AB$506,L20,'CARGAR OPERACIONES'!$S$7:$S$506,"&lt;=0")</f>
        <v>0</v>
      </c>
      <c r="P20" s="64" t="str">
        <f aca="false">IF(M20=0,"-",N20/M20)</f>
        <v>-</v>
      </c>
      <c r="Q20" s="65" t="str">
        <f aca="false">IF(M20=0,"-",SUMIFS('CARGAR OPERACIONES'!$S$7:$S$506,'CARGAR OPERACIONES'!$AB$7:$AB$506,L20))</f>
        <v>-</v>
      </c>
      <c r="R20" s="66" t="str">
        <f aca="false">IF(M20=0,"-",IF(O20=0,99,SUMIFS('CARGAR OPERACIONES'!$S$7:$S$506,'CARGAR OPERACIONES'!$AB$7:$AB$506,L20,'CARGAR OPERACIONES'!$S$7:$S$506,"&gt;0")/-SUMIFS('CARGAR OPERACIONES'!$S$7:$S$506,'CARGAR OPERACIONES'!$AB$7:$AB$506,L20,'CARGAR OPERACIONES'!$S$7:$S$506,"&lt;=0")))</f>
        <v>-</v>
      </c>
      <c r="S20" s="65" t="str">
        <f aca="false">IF(M20=0,"-",Q20/M20)</f>
        <v>-</v>
      </c>
      <c r="T20" s="65" t="str">
        <f aca="false">IF(M20=0,"-",Parametros!$C$6+SUMIFS('CARGAR OPERACIONES'!$S$7:$S$506,'CARGAR OPERACIONES'!$AB$7:$AB$506,"&lt;="&amp;L20))</f>
        <v>-</v>
      </c>
      <c r="V20" s="0" t="str">
        <f aca="false">DAY(B20)&amp;"/"&amp;MONTH(B20)</f>
        <v>2/11</v>
      </c>
    </row>
    <row r="21" customFormat="false" ht="15" hidden="false" customHeight="false" outlineLevel="0" collapsed="false">
      <c r="B21" s="90" t="n">
        <f aca="false">B20+7</f>
        <v>46335</v>
      </c>
      <c r="C21" s="78" t="n">
        <f aca="false">COUNTIFS('CARGAR OPERACIONES'!$AA$7:$AA$506,B21)</f>
        <v>0</v>
      </c>
      <c r="D21" s="78" t="n">
        <f aca="false">COUNTIFS('CARGAR OPERACIONES'!$AA$7:$AA$506,B21,'CARGAR OPERACIONES'!$S$7:$S$506,"&gt;0")</f>
        <v>0</v>
      </c>
      <c r="E21" s="78" t="n">
        <f aca="false">COUNTIFS('CARGAR OPERACIONES'!$AA$7:$AA$506,B21,'CARGAR OPERACIONES'!$S$7:$S$506,"&lt;=0")</f>
        <v>0</v>
      </c>
      <c r="F21" s="74" t="str">
        <f aca="false">IF(C21=0,"-",D21/C21)</f>
        <v>-</v>
      </c>
      <c r="G21" s="75" t="str">
        <f aca="false">IF(C21=0,"-",SUMIFS('CARGAR OPERACIONES'!$S$7:$S$506,'CARGAR OPERACIONES'!$AA$7:$AA$506,B21))</f>
        <v>-</v>
      </c>
      <c r="H21" s="76" t="str">
        <f aca="false">IF(C21=0,"-",IF(E21=0,99,SUMIFS('CARGAR OPERACIONES'!$S$7:$S$506,'CARGAR OPERACIONES'!$AA$7:$AA$506,B21,'CARGAR OPERACIONES'!$S$7:$S$506,"&gt;0")/-SUMIFS('CARGAR OPERACIONES'!$S$7:$S$506,'CARGAR OPERACIONES'!$AA$7:$AA$506,B21,'CARGAR OPERACIONES'!$S$7:$S$506,"&lt;=0")))</f>
        <v>-</v>
      </c>
      <c r="I21" s="75" t="str">
        <f aca="false">IF(C21=0,"-",G21/C21)</f>
        <v>-</v>
      </c>
      <c r="J21" s="75" t="str">
        <f aca="false">IF(C21=0,"-",Parametros!$C$6+SUMIFS('CARGAR OPERACIONES'!$S$7:$S$506,'CARGAR OPERACIONES'!$AA$7:$AA$506,"&lt;="&amp;B21))</f>
        <v>-</v>
      </c>
      <c r="L21" s="91" t="n">
        <f aca="false">DATE(YEAR(L20),MONTH(L20)+1,1)</f>
        <v>46631</v>
      </c>
      <c r="M21" s="78" t="n">
        <f aca="false">COUNTIFS('CARGAR OPERACIONES'!$AB$7:$AB$506,L21)</f>
        <v>0</v>
      </c>
      <c r="N21" s="78" t="n">
        <f aca="false">COUNTIFS('CARGAR OPERACIONES'!$AB$7:$AB$506,L21,'CARGAR OPERACIONES'!$S$7:$S$506,"&gt;0")</f>
        <v>0</v>
      </c>
      <c r="O21" s="78" t="n">
        <f aca="false">COUNTIFS('CARGAR OPERACIONES'!$AB$7:$AB$506,L21,'CARGAR OPERACIONES'!$S$7:$S$506,"&lt;=0")</f>
        <v>0</v>
      </c>
      <c r="P21" s="74" t="str">
        <f aca="false">IF(M21=0,"-",N21/M21)</f>
        <v>-</v>
      </c>
      <c r="Q21" s="75" t="str">
        <f aca="false">IF(M21=0,"-",SUMIFS('CARGAR OPERACIONES'!$S$7:$S$506,'CARGAR OPERACIONES'!$AB$7:$AB$506,L21))</f>
        <v>-</v>
      </c>
      <c r="R21" s="76" t="str">
        <f aca="false">IF(M21=0,"-",IF(O21=0,99,SUMIFS('CARGAR OPERACIONES'!$S$7:$S$506,'CARGAR OPERACIONES'!$AB$7:$AB$506,L21,'CARGAR OPERACIONES'!$S$7:$S$506,"&gt;0")/-SUMIFS('CARGAR OPERACIONES'!$S$7:$S$506,'CARGAR OPERACIONES'!$AB$7:$AB$506,L21,'CARGAR OPERACIONES'!$S$7:$S$506,"&lt;=0")))</f>
        <v>-</v>
      </c>
      <c r="S21" s="75" t="str">
        <f aca="false">IF(M21=0,"-",Q21/M21)</f>
        <v>-</v>
      </c>
      <c r="T21" s="75" t="str">
        <f aca="false">IF(M21=0,"-",Parametros!$C$6+SUMIFS('CARGAR OPERACIONES'!$S$7:$S$506,'CARGAR OPERACIONES'!$AB$7:$AB$506,"&lt;="&amp;L21))</f>
        <v>-</v>
      </c>
      <c r="V21" s="0" t="str">
        <f aca="false">DAY(B21)&amp;"/"&amp;MONTH(B21)</f>
        <v>9/11</v>
      </c>
    </row>
    <row r="22" customFormat="false" ht="15" hidden="false" customHeight="false" outlineLevel="0" collapsed="false">
      <c r="B22" s="88" t="n">
        <f aca="false">B21+7</f>
        <v>46342</v>
      </c>
      <c r="C22" s="68" t="n">
        <f aca="false">COUNTIFS('CARGAR OPERACIONES'!$AA$7:$AA$506,B22)</f>
        <v>0</v>
      </c>
      <c r="D22" s="68" t="n">
        <f aca="false">COUNTIFS('CARGAR OPERACIONES'!$AA$7:$AA$506,B22,'CARGAR OPERACIONES'!$S$7:$S$506,"&gt;0")</f>
        <v>0</v>
      </c>
      <c r="E22" s="68" t="n">
        <f aca="false">COUNTIFS('CARGAR OPERACIONES'!$AA$7:$AA$506,B22,'CARGAR OPERACIONES'!$S$7:$S$506,"&lt;=0")</f>
        <v>0</v>
      </c>
      <c r="F22" s="64" t="str">
        <f aca="false">IF(C22=0,"-",D22/C22)</f>
        <v>-</v>
      </c>
      <c r="G22" s="65" t="str">
        <f aca="false">IF(C22=0,"-",SUMIFS('CARGAR OPERACIONES'!$S$7:$S$506,'CARGAR OPERACIONES'!$AA$7:$AA$506,B22))</f>
        <v>-</v>
      </c>
      <c r="H22" s="66" t="str">
        <f aca="false">IF(C22=0,"-",IF(E22=0,99,SUMIFS('CARGAR OPERACIONES'!$S$7:$S$506,'CARGAR OPERACIONES'!$AA$7:$AA$506,B22,'CARGAR OPERACIONES'!$S$7:$S$506,"&gt;0")/-SUMIFS('CARGAR OPERACIONES'!$S$7:$S$506,'CARGAR OPERACIONES'!$AA$7:$AA$506,B22,'CARGAR OPERACIONES'!$S$7:$S$506,"&lt;=0")))</f>
        <v>-</v>
      </c>
      <c r="I22" s="65" t="str">
        <f aca="false">IF(C22=0,"-",G22/C22)</f>
        <v>-</v>
      </c>
      <c r="J22" s="65" t="str">
        <f aca="false">IF(C22=0,"-",Parametros!$C$6+SUMIFS('CARGAR OPERACIONES'!$S$7:$S$506,'CARGAR OPERACIONES'!$AA$7:$AA$506,"&lt;="&amp;B22))</f>
        <v>-</v>
      </c>
      <c r="L22" s="89" t="n">
        <f aca="false">DATE(YEAR(L21),MONTH(L21)+1,1)</f>
        <v>46661</v>
      </c>
      <c r="M22" s="68" t="n">
        <f aca="false">COUNTIFS('CARGAR OPERACIONES'!$AB$7:$AB$506,L22)</f>
        <v>0</v>
      </c>
      <c r="N22" s="68" t="n">
        <f aca="false">COUNTIFS('CARGAR OPERACIONES'!$AB$7:$AB$506,L22,'CARGAR OPERACIONES'!$S$7:$S$506,"&gt;0")</f>
        <v>0</v>
      </c>
      <c r="O22" s="68" t="n">
        <f aca="false">COUNTIFS('CARGAR OPERACIONES'!$AB$7:$AB$506,L22,'CARGAR OPERACIONES'!$S$7:$S$506,"&lt;=0")</f>
        <v>0</v>
      </c>
      <c r="P22" s="64" t="str">
        <f aca="false">IF(M22=0,"-",N22/M22)</f>
        <v>-</v>
      </c>
      <c r="Q22" s="65" t="str">
        <f aca="false">IF(M22=0,"-",SUMIFS('CARGAR OPERACIONES'!$S$7:$S$506,'CARGAR OPERACIONES'!$AB$7:$AB$506,L22))</f>
        <v>-</v>
      </c>
      <c r="R22" s="66" t="str">
        <f aca="false">IF(M22=0,"-",IF(O22=0,99,SUMIFS('CARGAR OPERACIONES'!$S$7:$S$506,'CARGAR OPERACIONES'!$AB$7:$AB$506,L22,'CARGAR OPERACIONES'!$S$7:$S$506,"&gt;0")/-SUMIFS('CARGAR OPERACIONES'!$S$7:$S$506,'CARGAR OPERACIONES'!$AB$7:$AB$506,L22,'CARGAR OPERACIONES'!$S$7:$S$506,"&lt;=0")))</f>
        <v>-</v>
      </c>
      <c r="S22" s="65" t="str">
        <f aca="false">IF(M22=0,"-",Q22/M22)</f>
        <v>-</v>
      </c>
      <c r="T22" s="65" t="str">
        <f aca="false">IF(M22=0,"-",Parametros!$C$6+SUMIFS('CARGAR OPERACIONES'!$S$7:$S$506,'CARGAR OPERACIONES'!$AB$7:$AB$506,"&lt;="&amp;L22))</f>
        <v>-</v>
      </c>
      <c r="V22" s="0" t="str">
        <f aca="false">DAY(B22)&amp;"/"&amp;MONTH(B22)</f>
        <v>16/11</v>
      </c>
    </row>
    <row r="23" customFormat="false" ht="15" hidden="false" customHeight="false" outlineLevel="0" collapsed="false">
      <c r="B23" s="90" t="n">
        <f aca="false">B22+7</f>
        <v>46349</v>
      </c>
      <c r="C23" s="78" t="n">
        <f aca="false">COUNTIFS('CARGAR OPERACIONES'!$AA$7:$AA$506,B23)</f>
        <v>0</v>
      </c>
      <c r="D23" s="78" t="n">
        <f aca="false">COUNTIFS('CARGAR OPERACIONES'!$AA$7:$AA$506,B23,'CARGAR OPERACIONES'!$S$7:$S$506,"&gt;0")</f>
        <v>0</v>
      </c>
      <c r="E23" s="78" t="n">
        <f aca="false">COUNTIFS('CARGAR OPERACIONES'!$AA$7:$AA$506,B23,'CARGAR OPERACIONES'!$S$7:$S$506,"&lt;=0")</f>
        <v>0</v>
      </c>
      <c r="F23" s="74" t="str">
        <f aca="false">IF(C23=0,"-",D23/C23)</f>
        <v>-</v>
      </c>
      <c r="G23" s="75" t="str">
        <f aca="false">IF(C23=0,"-",SUMIFS('CARGAR OPERACIONES'!$S$7:$S$506,'CARGAR OPERACIONES'!$AA$7:$AA$506,B23))</f>
        <v>-</v>
      </c>
      <c r="H23" s="76" t="str">
        <f aca="false">IF(C23=0,"-",IF(E23=0,99,SUMIFS('CARGAR OPERACIONES'!$S$7:$S$506,'CARGAR OPERACIONES'!$AA$7:$AA$506,B23,'CARGAR OPERACIONES'!$S$7:$S$506,"&gt;0")/-SUMIFS('CARGAR OPERACIONES'!$S$7:$S$506,'CARGAR OPERACIONES'!$AA$7:$AA$506,B23,'CARGAR OPERACIONES'!$S$7:$S$506,"&lt;=0")))</f>
        <v>-</v>
      </c>
      <c r="I23" s="75" t="str">
        <f aca="false">IF(C23=0,"-",G23/C23)</f>
        <v>-</v>
      </c>
      <c r="J23" s="75" t="str">
        <f aca="false">IF(C23=0,"-",Parametros!$C$6+SUMIFS('CARGAR OPERACIONES'!$S$7:$S$506,'CARGAR OPERACIONES'!$AA$7:$AA$506,"&lt;="&amp;B23))</f>
        <v>-</v>
      </c>
      <c r="L23" s="91" t="n">
        <f aca="false">DATE(YEAR(L22),MONTH(L22)+1,1)</f>
        <v>46692</v>
      </c>
      <c r="M23" s="78" t="n">
        <f aca="false">COUNTIFS('CARGAR OPERACIONES'!$AB$7:$AB$506,L23)</f>
        <v>0</v>
      </c>
      <c r="N23" s="78" t="n">
        <f aca="false">COUNTIFS('CARGAR OPERACIONES'!$AB$7:$AB$506,L23,'CARGAR OPERACIONES'!$S$7:$S$506,"&gt;0")</f>
        <v>0</v>
      </c>
      <c r="O23" s="78" t="n">
        <f aca="false">COUNTIFS('CARGAR OPERACIONES'!$AB$7:$AB$506,L23,'CARGAR OPERACIONES'!$S$7:$S$506,"&lt;=0")</f>
        <v>0</v>
      </c>
      <c r="P23" s="74" t="str">
        <f aca="false">IF(M23=0,"-",N23/M23)</f>
        <v>-</v>
      </c>
      <c r="Q23" s="75" t="str">
        <f aca="false">IF(M23=0,"-",SUMIFS('CARGAR OPERACIONES'!$S$7:$S$506,'CARGAR OPERACIONES'!$AB$7:$AB$506,L23))</f>
        <v>-</v>
      </c>
      <c r="R23" s="76" t="str">
        <f aca="false">IF(M23=0,"-",IF(O23=0,99,SUMIFS('CARGAR OPERACIONES'!$S$7:$S$506,'CARGAR OPERACIONES'!$AB$7:$AB$506,L23,'CARGAR OPERACIONES'!$S$7:$S$506,"&gt;0")/-SUMIFS('CARGAR OPERACIONES'!$S$7:$S$506,'CARGAR OPERACIONES'!$AB$7:$AB$506,L23,'CARGAR OPERACIONES'!$S$7:$S$506,"&lt;=0")))</f>
        <v>-</v>
      </c>
      <c r="S23" s="75" t="str">
        <f aca="false">IF(M23=0,"-",Q23/M23)</f>
        <v>-</v>
      </c>
      <c r="T23" s="75" t="str">
        <f aca="false">IF(M23=0,"-",Parametros!$C$6+SUMIFS('CARGAR OPERACIONES'!$S$7:$S$506,'CARGAR OPERACIONES'!$AB$7:$AB$506,"&lt;="&amp;L23))</f>
        <v>-</v>
      </c>
      <c r="V23" s="0" t="str">
        <f aca="false">DAY(B23)&amp;"/"&amp;MONTH(B23)</f>
        <v>23/11</v>
      </c>
    </row>
    <row r="24" customFormat="false" ht="15" hidden="false" customHeight="false" outlineLevel="0" collapsed="false">
      <c r="B24" s="88" t="n">
        <f aca="false">B23+7</f>
        <v>46356</v>
      </c>
      <c r="C24" s="68" t="n">
        <f aca="false">COUNTIFS('CARGAR OPERACIONES'!$AA$7:$AA$506,B24)</f>
        <v>0</v>
      </c>
      <c r="D24" s="68" t="n">
        <f aca="false">COUNTIFS('CARGAR OPERACIONES'!$AA$7:$AA$506,B24,'CARGAR OPERACIONES'!$S$7:$S$506,"&gt;0")</f>
        <v>0</v>
      </c>
      <c r="E24" s="68" t="n">
        <f aca="false">COUNTIFS('CARGAR OPERACIONES'!$AA$7:$AA$506,B24,'CARGAR OPERACIONES'!$S$7:$S$506,"&lt;=0")</f>
        <v>0</v>
      </c>
      <c r="F24" s="64" t="str">
        <f aca="false">IF(C24=0,"-",D24/C24)</f>
        <v>-</v>
      </c>
      <c r="G24" s="65" t="str">
        <f aca="false">IF(C24=0,"-",SUMIFS('CARGAR OPERACIONES'!$S$7:$S$506,'CARGAR OPERACIONES'!$AA$7:$AA$506,B24))</f>
        <v>-</v>
      </c>
      <c r="H24" s="66" t="str">
        <f aca="false">IF(C24=0,"-",IF(E24=0,99,SUMIFS('CARGAR OPERACIONES'!$S$7:$S$506,'CARGAR OPERACIONES'!$AA$7:$AA$506,B24,'CARGAR OPERACIONES'!$S$7:$S$506,"&gt;0")/-SUMIFS('CARGAR OPERACIONES'!$S$7:$S$506,'CARGAR OPERACIONES'!$AA$7:$AA$506,B24,'CARGAR OPERACIONES'!$S$7:$S$506,"&lt;=0")))</f>
        <v>-</v>
      </c>
      <c r="I24" s="65" t="str">
        <f aca="false">IF(C24=0,"-",G24/C24)</f>
        <v>-</v>
      </c>
      <c r="J24" s="65" t="str">
        <f aca="false">IF(C24=0,"-",Parametros!$C$6+SUMIFS('CARGAR OPERACIONES'!$S$7:$S$506,'CARGAR OPERACIONES'!$AA$7:$AA$506,"&lt;="&amp;B24))</f>
        <v>-</v>
      </c>
      <c r="L24" s="89" t="n">
        <f aca="false">DATE(YEAR(L23),MONTH(L23)+1,1)</f>
        <v>46722</v>
      </c>
      <c r="M24" s="68" t="n">
        <f aca="false">COUNTIFS('CARGAR OPERACIONES'!$AB$7:$AB$506,L24)</f>
        <v>0</v>
      </c>
      <c r="N24" s="68" t="n">
        <f aca="false">COUNTIFS('CARGAR OPERACIONES'!$AB$7:$AB$506,L24,'CARGAR OPERACIONES'!$S$7:$S$506,"&gt;0")</f>
        <v>0</v>
      </c>
      <c r="O24" s="68" t="n">
        <f aca="false">COUNTIFS('CARGAR OPERACIONES'!$AB$7:$AB$506,L24,'CARGAR OPERACIONES'!$S$7:$S$506,"&lt;=0")</f>
        <v>0</v>
      </c>
      <c r="P24" s="64" t="str">
        <f aca="false">IF(M24=0,"-",N24/M24)</f>
        <v>-</v>
      </c>
      <c r="Q24" s="65" t="str">
        <f aca="false">IF(M24=0,"-",SUMIFS('CARGAR OPERACIONES'!$S$7:$S$506,'CARGAR OPERACIONES'!$AB$7:$AB$506,L24))</f>
        <v>-</v>
      </c>
      <c r="R24" s="66" t="str">
        <f aca="false">IF(M24=0,"-",IF(O24=0,99,SUMIFS('CARGAR OPERACIONES'!$S$7:$S$506,'CARGAR OPERACIONES'!$AB$7:$AB$506,L24,'CARGAR OPERACIONES'!$S$7:$S$506,"&gt;0")/-SUMIFS('CARGAR OPERACIONES'!$S$7:$S$506,'CARGAR OPERACIONES'!$AB$7:$AB$506,L24,'CARGAR OPERACIONES'!$S$7:$S$506,"&lt;=0")))</f>
        <v>-</v>
      </c>
      <c r="S24" s="65" t="str">
        <f aca="false">IF(M24=0,"-",Q24/M24)</f>
        <v>-</v>
      </c>
      <c r="T24" s="65" t="str">
        <f aca="false">IF(M24=0,"-",Parametros!$C$6+SUMIFS('CARGAR OPERACIONES'!$S$7:$S$506,'CARGAR OPERACIONES'!$AB$7:$AB$506,"&lt;="&amp;L24))</f>
        <v>-</v>
      </c>
      <c r="V24" s="0" t="str">
        <f aca="false">DAY(B24)&amp;"/"&amp;MONTH(B24)</f>
        <v>30/11</v>
      </c>
    </row>
    <row r="25" customFormat="false" ht="15" hidden="false" customHeight="false" outlineLevel="0" collapsed="false">
      <c r="B25" s="90" t="n">
        <f aca="false">B24+7</f>
        <v>46363</v>
      </c>
      <c r="C25" s="78" t="n">
        <f aca="false">COUNTIFS('CARGAR OPERACIONES'!$AA$7:$AA$506,B25)</f>
        <v>0</v>
      </c>
      <c r="D25" s="78" t="n">
        <f aca="false">COUNTIFS('CARGAR OPERACIONES'!$AA$7:$AA$506,B25,'CARGAR OPERACIONES'!$S$7:$S$506,"&gt;0")</f>
        <v>0</v>
      </c>
      <c r="E25" s="78" t="n">
        <f aca="false">COUNTIFS('CARGAR OPERACIONES'!$AA$7:$AA$506,B25,'CARGAR OPERACIONES'!$S$7:$S$506,"&lt;=0")</f>
        <v>0</v>
      </c>
      <c r="F25" s="74" t="str">
        <f aca="false">IF(C25=0,"-",D25/C25)</f>
        <v>-</v>
      </c>
      <c r="G25" s="75" t="str">
        <f aca="false">IF(C25=0,"-",SUMIFS('CARGAR OPERACIONES'!$S$7:$S$506,'CARGAR OPERACIONES'!$AA$7:$AA$506,B25))</f>
        <v>-</v>
      </c>
      <c r="H25" s="76" t="str">
        <f aca="false">IF(C25=0,"-",IF(E25=0,99,SUMIFS('CARGAR OPERACIONES'!$S$7:$S$506,'CARGAR OPERACIONES'!$AA$7:$AA$506,B25,'CARGAR OPERACIONES'!$S$7:$S$506,"&gt;0")/-SUMIFS('CARGAR OPERACIONES'!$S$7:$S$506,'CARGAR OPERACIONES'!$AA$7:$AA$506,B25,'CARGAR OPERACIONES'!$S$7:$S$506,"&lt;=0")))</f>
        <v>-</v>
      </c>
      <c r="I25" s="75" t="str">
        <f aca="false">IF(C25=0,"-",G25/C25)</f>
        <v>-</v>
      </c>
      <c r="J25" s="75" t="str">
        <f aca="false">IF(C25=0,"-",Parametros!$C$6+SUMIFS('CARGAR OPERACIONES'!$S$7:$S$506,'CARGAR OPERACIONES'!$AA$7:$AA$506,"&lt;="&amp;B25))</f>
        <v>-</v>
      </c>
      <c r="L25" s="91" t="n">
        <f aca="false">DATE(YEAR(L24),MONTH(L24)+1,1)</f>
        <v>46753</v>
      </c>
      <c r="M25" s="78" t="n">
        <f aca="false">COUNTIFS('CARGAR OPERACIONES'!$AB$7:$AB$506,L25)</f>
        <v>0</v>
      </c>
      <c r="N25" s="78" t="n">
        <f aca="false">COUNTIFS('CARGAR OPERACIONES'!$AB$7:$AB$506,L25,'CARGAR OPERACIONES'!$S$7:$S$506,"&gt;0")</f>
        <v>0</v>
      </c>
      <c r="O25" s="78" t="n">
        <f aca="false">COUNTIFS('CARGAR OPERACIONES'!$AB$7:$AB$506,L25,'CARGAR OPERACIONES'!$S$7:$S$506,"&lt;=0")</f>
        <v>0</v>
      </c>
      <c r="P25" s="74" t="str">
        <f aca="false">IF(M25=0,"-",N25/M25)</f>
        <v>-</v>
      </c>
      <c r="Q25" s="75" t="str">
        <f aca="false">IF(M25=0,"-",SUMIFS('CARGAR OPERACIONES'!$S$7:$S$506,'CARGAR OPERACIONES'!$AB$7:$AB$506,L25))</f>
        <v>-</v>
      </c>
      <c r="R25" s="76" t="str">
        <f aca="false">IF(M25=0,"-",IF(O25=0,99,SUMIFS('CARGAR OPERACIONES'!$S$7:$S$506,'CARGAR OPERACIONES'!$AB$7:$AB$506,L25,'CARGAR OPERACIONES'!$S$7:$S$506,"&gt;0")/-SUMIFS('CARGAR OPERACIONES'!$S$7:$S$506,'CARGAR OPERACIONES'!$AB$7:$AB$506,L25,'CARGAR OPERACIONES'!$S$7:$S$506,"&lt;=0")))</f>
        <v>-</v>
      </c>
      <c r="S25" s="75" t="str">
        <f aca="false">IF(M25=0,"-",Q25/M25)</f>
        <v>-</v>
      </c>
      <c r="T25" s="75" t="str">
        <f aca="false">IF(M25=0,"-",Parametros!$C$6+SUMIFS('CARGAR OPERACIONES'!$S$7:$S$506,'CARGAR OPERACIONES'!$AB$7:$AB$506,"&lt;="&amp;L25))</f>
        <v>-</v>
      </c>
      <c r="V25" s="0" t="str">
        <f aca="false">DAY(B25)&amp;"/"&amp;MONTH(B25)</f>
        <v>7/12</v>
      </c>
    </row>
    <row r="26" customFormat="false" ht="15" hidden="false" customHeight="false" outlineLevel="0" collapsed="false">
      <c r="B26" s="88" t="n">
        <f aca="false">B25+7</f>
        <v>46370</v>
      </c>
      <c r="C26" s="68" t="n">
        <f aca="false">COUNTIFS('CARGAR OPERACIONES'!$AA$7:$AA$506,B26)</f>
        <v>0</v>
      </c>
      <c r="D26" s="68" t="n">
        <f aca="false">COUNTIFS('CARGAR OPERACIONES'!$AA$7:$AA$506,B26,'CARGAR OPERACIONES'!$S$7:$S$506,"&gt;0")</f>
        <v>0</v>
      </c>
      <c r="E26" s="68" t="n">
        <f aca="false">COUNTIFS('CARGAR OPERACIONES'!$AA$7:$AA$506,B26,'CARGAR OPERACIONES'!$S$7:$S$506,"&lt;=0")</f>
        <v>0</v>
      </c>
      <c r="F26" s="64" t="str">
        <f aca="false">IF(C26=0,"-",D26/C26)</f>
        <v>-</v>
      </c>
      <c r="G26" s="65" t="str">
        <f aca="false">IF(C26=0,"-",SUMIFS('CARGAR OPERACIONES'!$S$7:$S$506,'CARGAR OPERACIONES'!$AA$7:$AA$506,B26))</f>
        <v>-</v>
      </c>
      <c r="H26" s="66" t="str">
        <f aca="false">IF(C26=0,"-",IF(E26=0,99,SUMIFS('CARGAR OPERACIONES'!$S$7:$S$506,'CARGAR OPERACIONES'!$AA$7:$AA$506,B26,'CARGAR OPERACIONES'!$S$7:$S$506,"&gt;0")/-SUMIFS('CARGAR OPERACIONES'!$S$7:$S$506,'CARGAR OPERACIONES'!$AA$7:$AA$506,B26,'CARGAR OPERACIONES'!$S$7:$S$506,"&lt;=0")))</f>
        <v>-</v>
      </c>
      <c r="I26" s="65" t="str">
        <f aca="false">IF(C26=0,"-",G26/C26)</f>
        <v>-</v>
      </c>
      <c r="J26" s="65" t="str">
        <f aca="false">IF(C26=0,"-",Parametros!$C$6+SUMIFS('CARGAR OPERACIONES'!$S$7:$S$506,'CARGAR OPERACIONES'!$AA$7:$AA$506,"&lt;="&amp;B26))</f>
        <v>-</v>
      </c>
      <c r="V26" s="0" t="str">
        <f aca="false">DAY(B26)&amp;"/"&amp;MONTH(B26)</f>
        <v>14/12</v>
      </c>
    </row>
    <row r="27" customFormat="false" ht="15" hidden="false" customHeight="false" outlineLevel="0" collapsed="false">
      <c r="B27" s="90" t="n">
        <f aca="false">B26+7</f>
        <v>46377</v>
      </c>
      <c r="C27" s="78" t="n">
        <f aca="false">COUNTIFS('CARGAR OPERACIONES'!$AA$7:$AA$506,B27)</f>
        <v>0</v>
      </c>
      <c r="D27" s="78" t="n">
        <f aca="false">COUNTIFS('CARGAR OPERACIONES'!$AA$7:$AA$506,B27,'CARGAR OPERACIONES'!$S$7:$S$506,"&gt;0")</f>
        <v>0</v>
      </c>
      <c r="E27" s="78" t="n">
        <f aca="false">COUNTIFS('CARGAR OPERACIONES'!$AA$7:$AA$506,B27,'CARGAR OPERACIONES'!$S$7:$S$506,"&lt;=0")</f>
        <v>0</v>
      </c>
      <c r="F27" s="74" t="str">
        <f aca="false">IF(C27=0,"-",D27/C27)</f>
        <v>-</v>
      </c>
      <c r="G27" s="75" t="str">
        <f aca="false">IF(C27=0,"-",SUMIFS('CARGAR OPERACIONES'!$S$7:$S$506,'CARGAR OPERACIONES'!$AA$7:$AA$506,B27))</f>
        <v>-</v>
      </c>
      <c r="H27" s="76" t="str">
        <f aca="false">IF(C27=0,"-",IF(E27=0,99,SUMIFS('CARGAR OPERACIONES'!$S$7:$S$506,'CARGAR OPERACIONES'!$AA$7:$AA$506,B27,'CARGAR OPERACIONES'!$S$7:$S$506,"&gt;0")/-SUMIFS('CARGAR OPERACIONES'!$S$7:$S$506,'CARGAR OPERACIONES'!$AA$7:$AA$506,B27,'CARGAR OPERACIONES'!$S$7:$S$506,"&lt;=0")))</f>
        <v>-</v>
      </c>
      <c r="I27" s="75" t="str">
        <f aca="false">IF(C27=0,"-",G27/C27)</f>
        <v>-</v>
      </c>
      <c r="J27" s="75" t="str">
        <f aca="false">IF(C27=0,"-",Parametros!$C$6+SUMIFS('CARGAR OPERACIONES'!$S$7:$S$506,'CARGAR OPERACIONES'!$AA$7:$AA$506,"&lt;="&amp;B27))</f>
        <v>-</v>
      </c>
      <c r="V27" s="0" t="str">
        <f aca="false">DAY(B27)&amp;"/"&amp;MONTH(B27)</f>
        <v>21/12</v>
      </c>
    </row>
    <row r="28" customFormat="false" ht="15" hidden="false" customHeight="false" outlineLevel="0" collapsed="false">
      <c r="B28" s="88" t="n">
        <f aca="false">B27+7</f>
        <v>46384</v>
      </c>
      <c r="C28" s="68" t="n">
        <f aca="false">COUNTIFS('CARGAR OPERACIONES'!$AA$7:$AA$506,B28)</f>
        <v>0</v>
      </c>
      <c r="D28" s="68" t="n">
        <f aca="false">COUNTIFS('CARGAR OPERACIONES'!$AA$7:$AA$506,B28,'CARGAR OPERACIONES'!$S$7:$S$506,"&gt;0")</f>
        <v>0</v>
      </c>
      <c r="E28" s="68" t="n">
        <f aca="false">COUNTIFS('CARGAR OPERACIONES'!$AA$7:$AA$506,B28,'CARGAR OPERACIONES'!$S$7:$S$506,"&lt;=0")</f>
        <v>0</v>
      </c>
      <c r="F28" s="64" t="str">
        <f aca="false">IF(C28=0,"-",D28/C28)</f>
        <v>-</v>
      </c>
      <c r="G28" s="65" t="str">
        <f aca="false">IF(C28=0,"-",SUMIFS('CARGAR OPERACIONES'!$S$7:$S$506,'CARGAR OPERACIONES'!$AA$7:$AA$506,B28))</f>
        <v>-</v>
      </c>
      <c r="H28" s="66" t="str">
        <f aca="false">IF(C28=0,"-",IF(E28=0,99,SUMIFS('CARGAR OPERACIONES'!$S$7:$S$506,'CARGAR OPERACIONES'!$AA$7:$AA$506,B28,'CARGAR OPERACIONES'!$S$7:$S$506,"&gt;0")/-SUMIFS('CARGAR OPERACIONES'!$S$7:$S$506,'CARGAR OPERACIONES'!$AA$7:$AA$506,B28,'CARGAR OPERACIONES'!$S$7:$S$506,"&lt;=0")))</f>
        <v>-</v>
      </c>
      <c r="I28" s="65" t="str">
        <f aca="false">IF(C28=0,"-",G28/C28)</f>
        <v>-</v>
      </c>
      <c r="J28" s="65" t="str">
        <f aca="false">IF(C28=0,"-",Parametros!$C$6+SUMIFS('CARGAR OPERACIONES'!$S$7:$S$506,'CARGAR OPERACIONES'!$AA$7:$AA$506,"&lt;="&amp;B28))</f>
        <v>-</v>
      </c>
      <c r="V28" s="0" t="str">
        <f aca="false">DAY(B28)&amp;"/"&amp;MONTH(B28)</f>
        <v>28/12</v>
      </c>
    </row>
    <row r="29" customFormat="false" ht="15" hidden="false" customHeight="false" outlineLevel="0" collapsed="false">
      <c r="B29" s="90" t="n">
        <f aca="false">B28+7</f>
        <v>46391</v>
      </c>
      <c r="C29" s="78" t="n">
        <f aca="false">COUNTIFS('CARGAR OPERACIONES'!$AA$7:$AA$506,B29)</f>
        <v>0</v>
      </c>
      <c r="D29" s="78" t="n">
        <f aca="false">COUNTIFS('CARGAR OPERACIONES'!$AA$7:$AA$506,B29,'CARGAR OPERACIONES'!$S$7:$S$506,"&gt;0")</f>
        <v>0</v>
      </c>
      <c r="E29" s="78" t="n">
        <f aca="false">COUNTIFS('CARGAR OPERACIONES'!$AA$7:$AA$506,B29,'CARGAR OPERACIONES'!$S$7:$S$506,"&lt;=0")</f>
        <v>0</v>
      </c>
      <c r="F29" s="74" t="str">
        <f aca="false">IF(C29=0,"-",D29/C29)</f>
        <v>-</v>
      </c>
      <c r="G29" s="75" t="str">
        <f aca="false">IF(C29=0,"-",SUMIFS('CARGAR OPERACIONES'!$S$7:$S$506,'CARGAR OPERACIONES'!$AA$7:$AA$506,B29))</f>
        <v>-</v>
      </c>
      <c r="H29" s="76" t="str">
        <f aca="false">IF(C29=0,"-",IF(E29=0,99,SUMIFS('CARGAR OPERACIONES'!$S$7:$S$506,'CARGAR OPERACIONES'!$AA$7:$AA$506,B29,'CARGAR OPERACIONES'!$S$7:$S$506,"&gt;0")/-SUMIFS('CARGAR OPERACIONES'!$S$7:$S$506,'CARGAR OPERACIONES'!$AA$7:$AA$506,B29,'CARGAR OPERACIONES'!$S$7:$S$506,"&lt;=0")))</f>
        <v>-</v>
      </c>
      <c r="I29" s="75" t="str">
        <f aca="false">IF(C29=0,"-",G29/C29)</f>
        <v>-</v>
      </c>
      <c r="J29" s="75" t="str">
        <f aca="false">IF(C29=0,"-",Parametros!$C$6+SUMIFS('CARGAR OPERACIONES'!$S$7:$S$506,'CARGAR OPERACIONES'!$AA$7:$AA$506,"&lt;="&amp;B29))</f>
        <v>-</v>
      </c>
      <c r="V29" s="0" t="str">
        <f aca="false">DAY(B29)&amp;"/"&amp;MONTH(B29)</f>
        <v>4/1</v>
      </c>
    </row>
    <row r="30" customFormat="false" ht="15" hidden="false" customHeight="false" outlineLevel="0" collapsed="false">
      <c r="B30" s="88" t="n">
        <f aca="false">B29+7</f>
        <v>46398</v>
      </c>
      <c r="C30" s="68" t="n">
        <f aca="false">COUNTIFS('CARGAR OPERACIONES'!$AA$7:$AA$506,B30)</f>
        <v>0</v>
      </c>
      <c r="D30" s="68" t="n">
        <f aca="false">COUNTIFS('CARGAR OPERACIONES'!$AA$7:$AA$506,B30,'CARGAR OPERACIONES'!$S$7:$S$506,"&gt;0")</f>
        <v>0</v>
      </c>
      <c r="E30" s="68" t="n">
        <f aca="false">COUNTIFS('CARGAR OPERACIONES'!$AA$7:$AA$506,B30,'CARGAR OPERACIONES'!$S$7:$S$506,"&lt;=0")</f>
        <v>0</v>
      </c>
      <c r="F30" s="64" t="str">
        <f aca="false">IF(C30=0,"-",D30/C30)</f>
        <v>-</v>
      </c>
      <c r="G30" s="65" t="str">
        <f aca="false">IF(C30=0,"-",SUMIFS('CARGAR OPERACIONES'!$S$7:$S$506,'CARGAR OPERACIONES'!$AA$7:$AA$506,B30))</f>
        <v>-</v>
      </c>
      <c r="H30" s="66" t="str">
        <f aca="false">IF(C30=0,"-",IF(E30=0,99,SUMIFS('CARGAR OPERACIONES'!$S$7:$S$506,'CARGAR OPERACIONES'!$AA$7:$AA$506,B30,'CARGAR OPERACIONES'!$S$7:$S$506,"&gt;0")/-SUMIFS('CARGAR OPERACIONES'!$S$7:$S$506,'CARGAR OPERACIONES'!$AA$7:$AA$506,B30,'CARGAR OPERACIONES'!$S$7:$S$506,"&lt;=0")))</f>
        <v>-</v>
      </c>
      <c r="I30" s="65" t="str">
        <f aca="false">IF(C30=0,"-",G30/C30)</f>
        <v>-</v>
      </c>
      <c r="J30" s="65" t="str">
        <f aca="false">IF(C30=0,"-",Parametros!$C$6+SUMIFS('CARGAR OPERACIONES'!$S$7:$S$506,'CARGAR OPERACIONES'!$AA$7:$AA$506,"&lt;="&amp;B30))</f>
        <v>-</v>
      </c>
      <c r="V30" s="0" t="str">
        <f aca="false">DAY(B30)&amp;"/"&amp;MONTH(B30)</f>
        <v>11/1</v>
      </c>
    </row>
    <row r="31" customFormat="false" ht="15" hidden="false" customHeight="false" outlineLevel="0" collapsed="false">
      <c r="B31" s="90" t="n">
        <f aca="false">B30+7</f>
        <v>46405</v>
      </c>
      <c r="C31" s="78" t="n">
        <f aca="false">COUNTIFS('CARGAR OPERACIONES'!$AA$7:$AA$506,B31)</f>
        <v>0</v>
      </c>
      <c r="D31" s="78" t="n">
        <f aca="false">COUNTIFS('CARGAR OPERACIONES'!$AA$7:$AA$506,B31,'CARGAR OPERACIONES'!$S$7:$S$506,"&gt;0")</f>
        <v>0</v>
      </c>
      <c r="E31" s="78" t="n">
        <f aca="false">COUNTIFS('CARGAR OPERACIONES'!$AA$7:$AA$506,B31,'CARGAR OPERACIONES'!$S$7:$S$506,"&lt;=0")</f>
        <v>0</v>
      </c>
      <c r="F31" s="74" t="str">
        <f aca="false">IF(C31=0,"-",D31/C31)</f>
        <v>-</v>
      </c>
      <c r="G31" s="75" t="str">
        <f aca="false">IF(C31=0,"-",SUMIFS('CARGAR OPERACIONES'!$S$7:$S$506,'CARGAR OPERACIONES'!$AA$7:$AA$506,B31))</f>
        <v>-</v>
      </c>
      <c r="H31" s="76" t="str">
        <f aca="false">IF(C31=0,"-",IF(E31=0,99,SUMIFS('CARGAR OPERACIONES'!$S$7:$S$506,'CARGAR OPERACIONES'!$AA$7:$AA$506,B31,'CARGAR OPERACIONES'!$S$7:$S$506,"&gt;0")/-SUMIFS('CARGAR OPERACIONES'!$S$7:$S$506,'CARGAR OPERACIONES'!$AA$7:$AA$506,B31,'CARGAR OPERACIONES'!$S$7:$S$506,"&lt;=0")))</f>
        <v>-</v>
      </c>
      <c r="I31" s="75" t="str">
        <f aca="false">IF(C31=0,"-",G31/C31)</f>
        <v>-</v>
      </c>
      <c r="J31" s="75" t="str">
        <f aca="false">IF(C31=0,"-",Parametros!$C$6+SUMIFS('CARGAR OPERACIONES'!$S$7:$S$506,'CARGAR OPERACIONES'!$AA$7:$AA$506,"&lt;="&amp;B31))</f>
        <v>-</v>
      </c>
      <c r="V31" s="0" t="str">
        <f aca="false">DAY(B31)&amp;"/"&amp;MONTH(B31)</f>
        <v>18/1</v>
      </c>
    </row>
    <row r="32" customFormat="false" ht="15" hidden="false" customHeight="false" outlineLevel="0" collapsed="false">
      <c r="B32" s="88" t="n">
        <f aca="false">B31+7</f>
        <v>46412</v>
      </c>
      <c r="C32" s="68" t="n">
        <f aca="false">COUNTIFS('CARGAR OPERACIONES'!$AA$7:$AA$506,B32)</f>
        <v>0</v>
      </c>
      <c r="D32" s="68" t="n">
        <f aca="false">COUNTIFS('CARGAR OPERACIONES'!$AA$7:$AA$506,B32,'CARGAR OPERACIONES'!$S$7:$S$506,"&gt;0")</f>
        <v>0</v>
      </c>
      <c r="E32" s="68" t="n">
        <f aca="false">COUNTIFS('CARGAR OPERACIONES'!$AA$7:$AA$506,B32,'CARGAR OPERACIONES'!$S$7:$S$506,"&lt;=0")</f>
        <v>0</v>
      </c>
      <c r="F32" s="64" t="str">
        <f aca="false">IF(C32=0,"-",D32/C32)</f>
        <v>-</v>
      </c>
      <c r="G32" s="65" t="str">
        <f aca="false">IF(C32=0,"-",SUMIFS('CARGAR OPERACIONES'!$S$7:$S$506,'CARGAR OPERACIONES'!$AA$7:$AA$506,B32))</f>
        <v>-</v>
      </c>
      <c r="H32" s="66" t="str">
        <f aca="false">IF(C32=0,"-",IF(E32=0,99,SUMIFS('CARGAR OPERACIONES'!$S$7:$S$506,'CARGAR OPERACIONES'!$AA$7:$AA$506,B32,'CARGAR OPERACIONES'!$S$7:$S$506,"&gt;0")/-SUMIFS('CARGAR OPERACIONES'!$S$7:$S$506,'CARGAR OPERACIONES'!$AA$7:$AA$506,B32,'CARGAR OPERACIONES'!$S$7:$S$506,"&lt;=0")))</f>
        <v>-</v>
      </c>
      <c r="I32" s="65" t="str">
        <f aca="false">IF(C32=0,"-",G32/C32)</f>
        <v>-</v>
      </c>
      <c r="J32" s="65" t="str">
        <f aca="false">IF(C32=0,"-",Parametros!$C$6+SUMIFS('CARGAR OPERACIONES'!$S$7:$S$506,'CARGAR OPERACIONES'!$AA$7:$AA$506,"&lt;="&amp;B32))</f>
        <v>-</v>
      </c>
      <c r="V32" s="0" t="str">
        <f aca="false">DAY(B32)&amp;"/"&amp;MONTH(B32)</f>
        <v>25/1</v>
      </c>
    </row>
    <row r="33" customFormat="false" ht="15" hidden="false" customHeight="false" outlineLevel="0" collapsed="false">
      <c r="B33" s="90" t="n">
        <f aca="false">B32+7</f>
        <v>46419</v>
      </c>
      <c r="C33" s="78" t="n">
        <f aca="false">COUNTIFS('CARGAR OPERACIONES'!$AA$7:$AA$506,B33)</f>
        <v>0</v>
      </c>
      <c r="D33" s="78" t="n">
        <f aca="false">COUNTIFS('CARGAR OPERACIONES'!$AA$7:$AA$506,B33,'CARGAR OPERACIONES'!$S$7:$S$506,"&gt;0")</f>
        <v>0</v>
      </c>
      <c r="E33" s="78" t="n">
        <f aca="false">COUNTIFS('CARGAR OPERACIONES'!$AA$7:$AA$506,B33,'CARGAR OPERACIONES'!$S$7:$S$506,"&lt;=0")</f>
        <v>0</v>
      </c>
      <c r="F33" s="74" t="str">
        <f aca="false">IF(C33=0,"-",D33/C33)</f>
        <v>-</v>
      </c>
      <c r="G33" s="75" t="str">
        <f aca="false">IF(C33=0,"-",SUMIFS('CARGAR OPERACIONES'!$S$7:$S$506,'CARGAR OPERACIONES'!$AA$7:$AA$506,B33))</f>
        <v>-</v>
      </c>
      <c r="H33" s="76" t="str">
        <f aca="false">IF(C33=0,"-",IF(E33=0,99,SUMIFS('CARGAR OPERACIONES'!$S$7:$S$506,'CARGAR OPERACIONES'!$AA$7:$AA$506,B33,'CARGAR OPERACIONES'!$S$7:$S$506,"&gt;0")/-SUMIFS('CARGAR OPERACIONES'!$S$7:$S$506,'CARGAR OPERACIONES'!$AA$7:$AA$506,B33,'CARGAR OPERACIONES'!$S$7:$S$506,"&lt;=0")))</f>
        <v>-</v>
      </c>
      <c r="I33" s="75" t="str">
        <f aca="false">IF(C33=0,"-",G33/C33)</f>
        <v>-</v>
      </c>
      <c r="J33" s="75" t="str">
        <f aca="false">IF(C33=0,"-",Parametros!$C$6+SUMIFS('CARGAR OPERACIONES'!$S$7:$S$506,'CARGAR OPERACIONES'!$AA$7:$AA$506,"&lt;="&amp;B33))</f>
        <v>-</v>
      </c>
      <c r="V33" s="0" t="str">
        <f aca="false">DAY(B33)&amp;"/"&amp;MONTH(B33)</f>
        <v>1/2</v>
      </c>
    </row>
    <row r="34" customFormat="false" ht="15" hidden="false" customHeight="false" outlineLevel="0" collapsed="false">
      <c r="B34" s="88" t="n">
        <f aca="false">B33+7</f>
        <v>46426</v>
      </c>
      <c r="C34" s="68" t="n">
        <f aca="false">COUNTIFS('CARGAR OPERACIONES'!$AA$7:$AA$506,B34)</f>
        <v>0</v>
      </c>
      <c r="D34" s="68" t="n">
        <f aca="false">COUNTIFS('CARGAR OPERACIONES'!$AA$7:$AA$506,B34,'CARGAR OPERACIONES'!$S$7:$S$506,"&gt;0")</f>
        <v>0</v>
      </c>
      <c r="E34" s="68" t="n">
        <f aca="false">COUNTIFS('CARGAR OPERACIONES'!$AA$7:$AA$506,B34,'CARGAR OPERACIONES'!$S$7:$S$506,"&lt;=0")</f>
        <v>0</v>
      </c>
      <c r="F34" s="64" t="str">
        <f aca="false">IF(C34=0,"-",D34/C34)</f>
        <v>-</v>
      </c>
      <c r="G34" s="65" t="str">
        <f aca="false">IF(C34=0,"-",SUMIFS('CARGAR OPERACIONES'!$S$7:$S$506,'CARGAR OPERACIONES'!$AA$7:$AA$506,B34))</f>
        <v>-</v>
      </c>
      <c r="H34" s="66" t="str">
        <f aca="false">IF(C34=0,"-",IF(E34=0,99,SUMIFS('CARGAR OPERACIONES'!$S$7:$S$506,'CARGAR OPERACIONES'!$AA$7:$AA$506,B34,'CARGAR OPERACIONES'!$S$7:$S$506,"&gt;0")/-SUMIFS('CARGAR OPERACIONES'!$S$7:$S$506,'CARGAR OPERACIONES'!$AA$7:$AA$506,B34,'CARGAR OPERACIONES'!$S$7:$S$506,"&lt;=0")))</f>
        <v>-</v>
      </c>
      <c r="I34" s="65" t="str">
        <f aca="false">IF(C34=0,"-",G34/C34)</f>
        <v>-</v>
      </c>
      <c r="J34" s="65" t="str">
        <f aca="false">IF(C34=0,"-",Parametros!$C$6+SUMIFS('CARGAR OPERACIONES'!$S$7:$S$506,'CARGAR OPERACIONES'!$AA$7:$AA$506,"&lt;="&amp;B34))</f>
        <v>-</v>
      </c>
      <c r="V34" s="0" t="str">
        <f aca="false">DAY(B34)&amp;"/"&amp;MONTH(B34)</f>
        <v>8/2</v>
      </c>
    </row>
    <row r="35" customFormat="false" ht="15" hidden="false" customHeight="false" outlineLevel="0" collapsed="false">
      <c r="B35" s="90" t="n">
        <f aca="false">B34+7</f>
        <v>46433</v>
      </c>
      <c r="C35" s="78" t="n">
        <f aca="false">COUNTIFS('CARGAR OPERACIONES'!$AA$7:$AA$506,B35)</f>
        <v>0</v>
      </c>
      <c r="D35" s="78" t="n">
        <f aca="false">COUNTIFS('CARGAR OPERACIONES'!$AA$7:$AA$506,B35,'CARGAR OPERACIONES'!$S$7:$S$506,"&gt;0")</f>
        <v>0</v>
      </c>
      <c r="E35" s="78" t="n">
        <f aca="false">COUNTIFS('CARGAR OPERACIONES'!$AA$7:$AA$506,B35,'CARGAR OPERACIONES'!$S$7:$S$506,"&lt;=0")</f>
        <v>0</v>
      </c>
      <c r="F35" s="74" t="str">
        <f aca="false">IF(C35=0,"-",D35/C35)</f>
        <v>-</v>
      </c>
      <c r="G35" s="75" t="str">
        <f aca="false">IF(C35=0,"-",SUMIFS('CARGAR OPERACIONES'!$S$7:$S$506,'CARGAR OPERACIONES'!$AA$7:$AA$506,B35))</f>
        <v>-</v>
      </c>
      <c r="H35" s="76" t="str">
        <f aca="false">IF(C35=0,"-",IF(E35=0,99,SUMIFS('CARGAR OPERACIONES'!$S$7:$S$506,'CARGAR OPERACIONES'!$AA$7:$AA$506,B35,'CARGAR OPERACIONES'!$S$7:$S$506,"&gt;0")/-SUMIFS('CARGAR OPERACIONES'!$S$7:$S$506,'CARGAR OPERACIONES'!$AA$7:$AA$506,B35,'CARGAR OPERACIONES'!$S$7:$S$506,"&lt;=0")))</f>
        <v>-</v>
      </c>
      <c r="I35" s="75" t="str">
        <f aca="false">IF(C35=0,"-",G35/C35)</f>
        <v>-</v>
      </c>
      <c r="J35" s="75" t="str">
        <f aca="false">IF(C35=0,"-",Parametros!$C$6+SUMIFS('CARGAR OPERACIONES'!$S$7:$S$506,'CARGAR OPERACIONES'!$AA$7:$AA$506,"&lt;="&amp;B35))</f>
        <v>-</v>
      </c>
      <c r="V35" s="0" t="str">
        <f aca="false">DAY(B35)&amp;"/"&amp;MONTH(B35)</f>
        <v>15/2</v>
      </c>
    </row>
    <row r="36" customFormat="false" ht="15" hidden="false" customHeight="false" outlineLevel="0" collapsed="false">
      <c r="B36" s="88" t="n">
        <f aca="false">B35+7</f>
        <v>46440</v>
      </c>
      <c r="C36" s="68" t="n">
        <f aca="false">COUNTIFS('CARGAR OPERACIONES'!$AA$7:$AA$506,B36)</f>
        <v>0</v>
      </c>
      <c r="D36" s="68" t="n">
        <f aca="false">COUNTIFS('CARGAR OPERACIONES'!$AA$7:$AA$506,B36,'CARGAR OPERACIONES'!$S$7:$S$506,"&gt;0")</f>
        <v>0</v>
      </c>
      <c r="E36" s="68" t="n">
        <f aca="false">COUNTIFS('CARGAR OPERACIONES'!$AA$7:$AA$506,B36,'CARGAR OPERACIONES'!$S$7:$S$506,"&lt;=0")</f>
        <v>0</v>
      </c>
      <c r="F36" s="64" t="str">
        <f aca="false">IF(C36=0,"-",D36/C36)</f>
        <v>-</v>
      </c>
      <c r="G36" s="65" t="str">
        <f aca="false">IF(C36=0,"-",SUMIFS('CARGAR OPERACIONES'!$S$7:$S$506,'CARGAR OPERACIONES'!$AA$7:$AA$506,B36))</f>
        <v>-</v>
      </c>
      <c r="H36" s="66" t="str">
        <f aca="false">IF(C36=0,"-",IF(E36=0,99,SUMIFS('CARGAR OPERACIONES'!$S$7:$S$506,'CARGAR OPERACIONES'!$AA$7:$AA$506,B36,'CARGAR OPERACIONES'!$S$7:$S$506,"&gt;0")/-SUMIFS('CARGAR OPERACIONES'!$S$7:$S$506,'CARGAR OPERACIONES'!$AA$7:$AA$506,B36,'CARGAR OPERACIONES'!$S$7:$S$506,"&lt;=0")))</f>
        <v>-</v>
      </c>
      <c r="I36" s="65" t="str">
        <f aca="false">IF(C36=0,"-",G36/C36)</f>
        <v>-</v>
      </c>
      <c r="J36" s="65" t="str">
        <f aca="false">IF(C36=0,"-",Parametros!$C$6+SUMIFS('CARGAR OPERACIONES'!$S$7:$S$506,'CARGAR OPERACIONES'!$AA$7:$AA$506,"&lt;="&amp;B36))</f>
        <v>-</v>
      </c>
      <c r="V36" s="0" t="str">
        <f aca="false">DAY(B36)&amp;"/"&amp;MONTH(B36)</f>
        <v>22/2</v>
      </c>
    </row>
    <row r="37" customFormat="false" ht="15" hidden="false" customHeight="false" outlineLevel="0" collapsed="false">
      <c r="B37" s="90" t="n">
        <f aca="false">B36+7</f>
        <v>46447</v>
      </c>
      <c r="C37" s="78" t="n">
        <f aca="false">COUNTIFS('CARGAR OPERACIONES'!$AA$7:$AA$506,B37)</f>
        <v>0</v>
      </c>
      <c r="D37" s="78" t="n">
        <f aca="false">COUNTIFS('CARGAR OPERACIONES'!$AA$7:$AA$506,B37,'CARGAR OPERACIONES'!$S$7:$S$506,"&gt;0")</f>
        <v>0</v>
      </c>
      <c r="E37" s="78" t="n">
        <f aca="false">COUNTIFS('CARGAR OPERACIONES'!$AA$7:$AA$506,B37,'CARGAR OPERACIONES'!$S$7:$S$506,"&lt;=0")</f>
        <v>0</v>
      </c>
      <c r="F37" s="74" t="str">
        <f aca="false">IF(C37=0,"-",D37/C37)</f>
        <v>-</v>
      </c>
      <c r="G37" s="75" t="str">
        <f aca="false">IF(C37=0,"-",SUMIFS('CARGAR OPERACIONES'!$S$7:$S$506,'CARGAR OPERACIONES'!$AA$7:$AA$506,B37))</f>
        <v>-</v>
      </c>
      <c r="H37" s="76" t="str">
        <f aca="false">IF(C37=0,"-",IF(E37=0,99,SUMIFS('CARGAR OPERACIONES'!$S$7:$S$506,'CARGAR OPERACIONES'!$AA$7:$AA$506,B37,'CARGAR OPERACIONES'!$S$7:$S$506,"&gt;0")/-SUMIFS('CARGAR OPERACIONES'!$S$7:$S$506,'CARGAR OPERACIONES'!$AA$7:$AA$506,B37,'CARGAR OPERACIONES'!$S$7:$S$506,"&lt;=0")))</f>
        <v>-</v>
      </c>
      <c r="I37" s="75" t="str">
        <f aca="false">IF(C37=0,"-",G37/C37)</f>
        <v>-</v>
      </c>
      <c r="J37" s="75" t="str">
        <f aca="false">IF(C37=0,"-",Parametros!$C$6+SUMIFS('CARGAR OPERACIONES'!$S$7:$S$506,'CARGAR OPERACIONES'!$AA$7:$AA$506,"&lt;="&amp;B37))</f>
        <v>-</v>
      </c>
      <c r="V37" s="0" t="str">
        <f aca="false">DAY(B37)&amp;"/"&amp;MONTH(B37)</f>
        <v>1/3</v>
      </c>
    </row>
    <row r="38" customFormat="false" ht="15" hidden="false" customHeight="false" outlineLevel="0" collapsed="false">
      <c r="B38" s="88" t="n">
        <f aca="false">B37+7</f>
        <v>46454</v>
      </c>
      <c r="C38" s="68" t="n">
        <f aca="false">COUNTIFS('CARGAR OPERACIONES'!$AA$7:$AA$506,B38)</f>
        <v>0</v>
      </c>
      <c r="D38" s="68" t="n">
        <f aca="false">COUNTIFS('CARGAR OPERACIONES'!$AA$7:$AA$506,B38,'CARGAR OPERACIONES'!$S$7:$S$506,"&gt;0")</f>
        <v>0</v>
      </c>
      <c r="E38" s="68" t="n">
        <f aca="false">COUNTIFS('CARGAR OPERACIONES'!$AA$7:$AA$506,B38,'CARGAR OPERACIONES'!$S$7:$S$506,"&lt;=0")</f>
        <v>0</v>
      </c>
      <c r="F38" s="64" t="str">
        <f aca="false">IF(C38=0,"-",D38/C38)</f>
        <v>-</v>
      </c>
      <c r="G38" s="65" t="str">
        <f aca="false">IF(C38=0,"-",SUMIFS('CARGAR OPERACIONES'!$S$7:$S$506,'CARGAR OPERACIONES'!$AA$7:$AA$506,B38))</f>
        <v>-</v>
      </c>
      <c r="H38" s="66" t="str">
        <f aca="false">IF(C38=0,"-",IF(E38=0,99,SUMIFS('CARGAR OPERACIONES'!$S$7:$S$506,'CARGAR OPERACIONES'!$AA$7:$AA$506,B38,'CARGAR OPERACIONES'!$S$7:$S$506,"&gt;0")/-SUMIFS('CARGAR OPERACIONES'!$S$7:$S$506,'CARGAR OPERACIONES'!$AA$7:$AA$506,B38,'CARGAR OPERACIONES'!$S$7:$S$506,"&lt;=0")))</f>
        <v>-</v>
      </c>
      <c r="I38" s="65" t="str">
        <f aca="false">IF(C38=0,"-",G38/C38)</f>
        <v>-</v>
      </c>
      <c r="J38" s="65" t="str">
        <f aca="false">IF(C38=0,"-",Parametros!$C$6+SUMIFS('CARGAR OPERACIONES'!$S$7:$S$506,'CARGAR OPERACIONES'!$AA$7:$AA$506,"&lt;="&amp;B38))</f>
        <v>-</v>
      </c>
      <c r="V38" s="0" t="str">
        <f aca="false">DAY(B38)&amp;"/"&amp;MONTH(B38)</f>
        <v>8/3</v>
      </c>
    </row>
    <row r="39" customFormat="false" ht="15" hidden="false" customHeight="false" outlineLevel="0" collapsed="false">
      <c r="B39" s="90" t="n">
        <f aca="false">B38+7</f>
        <v>46461</v>
      </c>
      <c r="C39" s="78" t="n">
        <f aca="false">COUNTIFS('CARGAR OPERACIONES'!$AA$7:$AA$506,B39)</f>
        <v>0</v>
      </c>
      <c r="D39" s="78" t="n">
        <f aca="false">COUNTIFS('CARGAR OPERACIONES'!$AA$7:$AA$506,B39,'CARGAR OPERACIONES'!$S$7:$S$506,"&gt;0")</f>
        <v>0</v>
      </c>
      <c r="E39" s="78" t="n">
        <f aca="false">COUNTIFS('CARGAR OPERACIONES'!$AA$7:$AA$506,B39,'CARGAR OPERACIONES'!$S$7:$S$506,"&lt;=0")</f>
        <v>0</v>
      </c>
      <c r="F39" s="74" t="str">
        <f aca="false">IF(C39=0,"-",D39/C39)</f>
        <v>-</v>
      </c>
      <c r="G39" s="75" t="str">
        <f aca="false">IF(C39=0,"-",SUMIFS('CARGAR OPERACIONES'!$S$7:$S$506,'CARGAR OPERACIONES'!$AA$7:$AA$506,B39))</f>
        <v>-</v>
      </c>
      <c r="H39" s="76" t="str">
        <f aca="false">IF(C39=0,"-",IF(E39=0,99,SUMIFS('CARGAR OPERACIONES'!$S$7:$S$506,'CARGAR OPERACIONES'!$AA$7:$AA$506,B39,'CARGAR OPERACIONES'!$S$7:$S$506,"&gt;0")/-SUMIFS('CARGAR OPERACIONES'!$S$7:$S$506,'CARGAR OPERACIONES'!$AA$7:$AA$506,B39,'CARGAR OPERACIONES'!$S$7:$S$506,"&lt;=0")))</f>
        <v>-</v>
      </c>
      <c r="I39" s="75" t="str">
        <f aca="false">IF(C39=0,"-",G39/C39)</f>
        <v>-</v>
      </c>
      <c r="J39" s="75" t="str">
        <f aca="false">IF(C39=0,"-",Parametros!$C$6+SUMIFS('CARGAR OPERACIONES'!$S$7:$S$506,'CARGAR OPERACIONES'!$AA$7:$AA$506,"&lt;="&amp;B39))</f>
        <v>-</v>
      </c>
      <c r="V39" s="0" t="str">
        <f aca="false">DAY(B39)&amp;"/"&amp;MONTH(B39)</f>
        <v>15/3</v>
      </c>
    </row>
    <row r="40" customFormat="false" ht="15" hidden="false" customHeight="false" outlineLevel="0" collapsed="false">
      <c r="B40" s="88" t="n">
        <f aca="false">B39+7</f>
        <v>46468</v>
      </c>
      <c r="C40" s="68" t="n">
        <f aca="false">COUNTIFS('CARGAR OPERACIONES'!$AA$7:$AA$506,B40)</f>
        <v>0</v>
      </c>
      <c r="D40" s="68" t="n">
        <f aca="false">COUNTIFS('CARGAR OPERACIONES'!$AA$7:$AA$506,B40,'CARGAR OPERACIONES'!$S$7:$S$506,"&gt;0")</f>
        <v>0</v>
      </c>
      <c r="E40" s="68" t="n">
        <f aca="false">COUNTIFS('CARGAR OPERACIONES'!$AA$7:$AA$506,B40,'CARGAR OPERACIONES'!$S$7:$S$506,"&lt;=0")</f>
        <v>0</v>
      </c>
      <c r="F40" s="64" t="str">
        <f aca="false">IF(C40=0,"-",D40/C40)</f>
        <v>-</v>
      </c>
      <c r="G40" s="65" t="str">
        <f aca="false">IF(C40=0,"-",SUMIFS('CARGAR OPERACIONES'!$S$7:$S$506,'CARGAR OPERACIONES'!$AA$7:$AA$506,B40))</f>
        <v>-</v>
      </c>
      <c r="H40" s="66" t="str">
        <f aca="false">IF(C40=0,"-",IF(E40=0,99,SUMIFS('CARGAR OPERACIONES'!$S$7:$S$506,'CARGAR OPERACIONES'!$AA$7:$AA$506,B40,'CARGAR OPERACIONES'!$S$7:$S$506,"&gt;0")/-SUMIFS('CARGAR OPERACIONES'!$S$7:$S$506,'CARGAR OPERACIONES'!$AA$7:$AA$506,B40,'CARGAR OPERACIONES'!$S$7:$S$506,"&lt;=0")))</f>
        <v>-</v>
      </c>
      <c r="I40" s="65" t="str">
        <f aca="false">IF(C40=0,"-",G40/C40)</f>
        <v>-</v>
      </c>
      <c r="J40" s="65" t="str">
        <f aca="false">IF(C40=0,"-",Parametros!$C$6+SUMIFS('CARGAR OPERACIONES'!$S$7:$S$506,'CARGAR OPERACIONES'!$AA$7:$AA$506,"&lt;="&amp;B40))</f>
        <v>-</v>
      </c>
      <c r="V40" s="0" t="str">
        <f aca="false">DAY(B40)&amp;"/"&amp;MONTH(B40)</f>
        <v>22/3</v>
      </c>
    </row>
    <row r="41" customFormat="false" ht="15" hidden="false" customHeight="false" outlineLevel="0" collapsed="false">
      <c r="B41" s="90" t="n">
        <f aca="false">B40+7</f>
        <v>46475</v>
      </c>
      <c r="C41" s="78" t="n">
        <f aca="false">COUNTIFS('CARGAR OPERACIONES'!$AA$7:$AA$506,B41)</f>
        <v>0</v>
      </c>
      <c r="D41" s="78" t="n">
        <f aca="false">COUNTIFS('CARGAR OPERACIONES'!$AA$7:$AA$506,B41,'CARGAR OPERACIONES'!$S$7:$S$506,"&gt;0")</f>
        <v>0</v>
      </c>
      <c r="E41" s="78" t="n">
        <f aca="false">COUNTIFS('CARGAR OPERACIONES'!$AA$7:$AA$506,B41,'CARGAR OPERACIONES'!$S$7:$S$506,"&lt;=0")</f>
        <v>0</v>
      </c>
      <c r="F41" s="74" t="str">
        <f aca="false">IF(C41=0,"-",D41/C41)</f>
        <v>-</v>
      </c>
      <c r="G41" s="75" t="str">
        <f aca="false">IF(C41=0,"-",SUMIFS('CARGAR OPERACIONES'!$S$7:$S$506,'CARGAR OPERACIONES'!$AA$7:$AA$506,B41))</f>
        <v>-</v>
      </c>
      <c r="H41" s="76" t="str">
        <f aca="false">IF(C41=0,"-",IF(E41=0,99,SUMIFS('CARGAR OPERACIONES'!$S$7:$S$506,'CARGAR OPERACIONES'!$AA$7:$AA$506,B41,'CARGAR OPERACIONES'!$S$7:$S$506,"&gt;0")/-SUMIFS('CARGAR OPERACIONES'!$S$7:$S$506,'CARGAR OPERACIONES'!$AA$7:$AA$506,B41,'CARGAR OPERACIONES'!$S$7:$S$506,"&lt;=0")))</f>
        <v>-</v>
      </c>
      <c r="I41" s="75" t="str">
        <f aca="false">IF(C41=0,"-",G41/C41)</f>
        <v>-</v>
      </c>
      <c r="J41" s="75" t="str">
        <f aca="false">IF(C41=0,"-",Parametros!$C$6+SUMIFS('CARGAR OPERACIONES'!$S$7:$S$506,'CARGAR OPERACIONES'!$AA$7:$AA$506,"&lt;="&amp;B41))</f>
        <v>-</v>
      </c>
      <c r="V41" s="0" t="str">
        <f aca="false">DAY(B41)&amp;"/"&amp;MONTH(B41)</f>
        <v>29/3</v>
      </c>
    </row>
    <row r="42" customFormat="false" ht="15" hidden="false" customHeight="false" outlineLevel="0" collapsed="false">
      <c r="B42" s="88" t="n">
        <f aca="false">B41+7</f>
        <v>46482</v>
      </c>
      <c r="C42" s="68" t="n">
        <f aca="false">COUNTIFS('CARGAR OPERACIONES'!$AA$7:$AA$506,B42)</f>
        <v>0</v>
      </c>
      <c r="D42" s="68" t="n">
        <f aca="false">COUNTIFS('CARGAR OPERACIONES'!$AA$7:$AA$506,B42,'CARGAR OPERACIONES'!$S$7:$S$506,"&gt;0")</f>
        <v>0</v>
      </c>
      <c r="E42" s="68" t="n">
        <f aca="false">COUNTIFS('CARGAR OPERACIONES'!$AA$7:$AA$506,B42,'CARGAR OPERACIONES'!$S$7:$S$506,"&lt;=0")</f>
        <v>0</v>
      </c>
      <c r="F42" s="64" t="str">
        <f aca="false">IF(C42=0,"-",D42/C42)</f>
        <v>-</v>
      </c>
      <c r="G42" s="65" t="str">
        <f aca="false">IF(C42=0,"-",SUMIFS('CARGAR OPERACIONES'!$S$7:$S$506,'CARGAR OPERACIONES'!$AA$7:$AA$506,B42))</f>
        <v>-</v>
      </c>
      <c r="H42" s="66" t="str">
        <f aca="false">IF(C42=0,"-",IF(E42=0,99,SUMIFS('CARGAR OPERACIONES'!$S$7:$S$506,'CARGAR OPERACIONES'!$AA$7:$AA$506,B42,'CARGAR OPERACIONES'!$S$7:$S$506,"&gt;0")/-SUMIFS('CARGAR OPERACIONES'!$S$7:$S$506,'CARGAR OPERACIONES'!$AA$7:$AA$506,B42,'CARGAR OPERACIONES'!$S$7:$S$506,"&lt;=0")))</f>
        <v>-</v>
      </c>
      <c r="I42" s="65" t="str">
        <f aca="false">IF(C42=0,"-",G42/C42)</f>
        <v>-</v>
      </c>
      <c r="J42" s="65" t="str">
        <f aca="false">IF(C42=0,"-",Parametros!$C$6+SUMIFS('CARGAR OPERACIONES'!$S$7:$S$506,'CARGAR OPERACIONES'!$AA$7:$AA$506,"&lt;="&amp;B42))</f>
        <v>-</v>
      </c>
      <c r="V42" s="0" t="str">
        <f aca="false">DAY(B42)&amp;"/"&amp;MONTH(B42)</f>
        <v>5/4</v>
      </c>
    </row>
    <row r="43" customFormat="false" ht="15" hidden="false" customHeight="false" outlineLevel="0" collapsed="false">
      <c r="B43" s="90" t="n">
        <f aca="false">B42+7</f>
        <v>46489</v>
      </c>
      <c r="C43" s="78" t="n">
        <f aca="false">COUNTIFS('CARGAR OPERACIONES'!$AA$7:$AA$506,B43)</f>
        <v>0</v>
      </c>
      <c r="D43" s="78" t="n">
        <f aca="false">COUNTIFS('CARGAR OPERACIONES'!$AA$7:$AA$506,B43,'CARGAR OPERACIONES'!$S$7:$S$506,"&gt;0")</f>
        <v>0</v>
      </c>
      <c r="E43" s="78" t="n">
        <f aca="false">COUNTIFS('CARGAR OPERACIONES'!$AA$7:$AA$506,B43,'CARGAR OPERACIONES'!$S$7:$S$506,"&lt;=0")</f>
        <v>0</v>
      </c>
      <c r="F43" s="74" t="str">
        <f aca="false">IF(C43=0,"-",D43/C43)</f>
        <v>-</v>
      </c>
      <c r="G43" s="75" t="str">
        <f aca="false">IF(C43=0,"-",SUMIFS('CARGAR OPERACIONES'!$S$7:$S$506,'CARGAR OPERACIONES'!$AA$7:$AA$506,B43))</f>
        <v>-</v>
      </c>
      <c r="H43" s="76" t="str">
        <f aca="false">IF(C43=0,"-",IF(E43=0,99,SUMIFS('CARGAR OPERACIONES'!$S$7:$S$506,'CARGAR OPERACIONES'!$AA$7:$AA$506,B43,'CARGAR OPERACIONES'!$S$7:$S$506,"&gt;0")/-SUMIFS('CARGAR OPERACIONES'!$S$7:$S$506,'CARGAR OPERACIONES'!$AA$7:$AA$506,B43,'CARGAR OPERACIONES'!$S$7:$S$506,"&lt;=0")))</f>
        <v>-</v>
      </c>
      <c r="I43" s="75" t="str">
        <f aca="false">IF(C43=0,"-",G43/C43)</f>
        <v>-</v>
      </c>
      <c r="J43" s="75" t="str">
        <f aca="false">IF(C43=0,"-",Parametros!$C$6+SUMIFS('CARGAR OPERACIONES'!$S$7:$S$506,'CARGAR OPERACIONES'!$AA$7:$AA$506,"&lt;="&amp;B43))</f>
        <v>-</v>
      </c>
      <c r="V43" s="0" t="str">
        <f aca="false">DAY(B43)&amp;"/"&amp;MONTH(B43)</f>
        <v>12/4</v>
      </c>
    </row>
    <row r="44" customFormat="false" ht="15" hidden="false" customHeight="false" outlineLevel="0" collapsed="false">
      <c r="B44" s="88" t="n">
        <f aca="false">B43+7</f>
        <v>46496</v>
      </c>
      <c r="C44" s="68" t="n">
        <f aca="false">COUNTIFS('CARGAR OPERACIONES'!$AA$7:$AA$506,B44)</f>
        <v>0</v>
      </c>
      <c r="D44" s="68" t="n">
        <f aca="false">COUNTIFS('CARGAR OPERACIONES'!$AA$7:$AA$506,B44,'CARGAR OPERACIONES'!$S$7:$S$506,"&gt;0")</f>
        <v>0</v>
      </c>
      <c r="E44" s="68" t="n">
        <f aca="false">COUNTIFS('CARGAR OPERACIONES'!$AA$7:$AA$506,B44,'CARGAR OPERACIONES'!$S$7:$S$506,"&lt;=0")</f>
        <v>0</v>
      </c>
      <c r="F44" s="64" t="str">
        <f aca="false">IF(C44=0,"-",D44/C44)</f>
        <v>-</v>
      </c>
      <c r="G44" s="65" t="str">
        <f aca="false">IF(C44=0,"-",SUMIFS('CARGAR OPERACIONES'!$S$7:$S$506,'CARGAR OPERACIONES'!$AA$7:$AA$506,B44))</f>
        <v>-</v>
      </c>
      <c r="H44" s="66" t="str">
        <f aca="false">IF(C44=0,"-",IF(E44=0,99,SUMIFS('CARGAR OPERACIONES'!$S$7:$S$506,'CARGAR OPERACIONES'!$AA$7:$AA$506,B44,'CARGAR OPERACIONES'!$S$7:$S$506,"&gt;0")/-SUMIFS('CARGAR OPERACIONES'!$S$7:$S$506,'CARGAR OPERACIONES'!$AA$7:$AA$506,B44,'CARGAR OPERACIONES'!$S$7:$S$506,"&lt;=0")))</f>
        <v>-</v>
      </c>
      <c r="I44" s="65" t="str">
        <f aca="false">IF(C44=0,"-",G44/C44)</f>
        <v>-</v>
      </c>
      <c r="J44" s="65" t="str">
        <f aca="false">IF(C44=0,"-",Parametros!$C$6+SUMIFS('CARGAR OPERACIONES'!$S$7:$S$506,'CARGAR OPERACIONES'!$AA$7:$AA$506,"&lt;="&amp;B44))</f>
        <v>-</v>
      </c>
      <c r="V44" s="0" t="str">
        <f aca="false">DAY(B44)&amp;"/"&amp;MONTH(B44)</f>
        <v>19/4</v>
      </c>
    </row>
    <row r="45" customFormat="false" ht="15" hidden="false" customHeight="false" outlineLevel="0" collapsed="false">
      <c r="B45" s="90" t="n">
        <f aca="false">B44+7</f>
        <v>46503</v>
      </c>
      <c r="C45" s="78" t="n">
        <f aca="false">COUNTIFS('CARGAR OPERACIONES'!$AA$7:$AA$506,B45)</f>
        <v>0</v>
      </c>
      <c r="D45" s="78" t="n">
        <f aca="false">COUNTIFS('CARGAR OPERACIONES'!$AA$7:$AA$506,B45,'CARGAR OPERACIONES'!$S$7:$S$506,"&gt;0")</f>
        <v>0</v>
      </c>
      <c r="E45" s="78" t="n">
        <f aca="false">COUNTIFS('CARGAR OPERACIONES'!$AA$7:$AA$506,B45,'CARGAR OPERACIONES'!$S$7:$S$506,"&lt;=0")</f>
        <v>0</v>
      </c>
      <c r="F45" s="74" t="str">
        <f aca="false">IF(C45=0,"-",D45/C45)</f>
        <v>-</v>
      </c>
      <c r="G45" s="75" t="str">
        <f aca="false">IF(C45=0,"-",SUMIFS('CARGAR OPERACIONES'!$S$7:$S$506,'CARGAR OPERACIONES'!$AA$7:$AA$506,B45))</f>
        <v>-</v>
      </c>
      <c r="H45" s="76" t="str">
        <f aca="false">IF(C45=0,"-",IF(E45=0,99,SUMIFS('CARGAR OPERACIONES'!$S$7:$S$506,'CARGAR OPERACIONES'!$AA$7:$AA$506,B45,'CARGAR OPERACIONES'!$S$7:$S$506,"&gt;0")/-SUMIFS('CARGAR OPERACIONES'!$S$7:$S$506,'CARGAR OPERACIONES'!$AA$7:$AA$506,B45,'CARGAR OPERACIONES'!$S$7:$S$506,"&lt;=0")))</f>
        <v>-</v>
      </c>
      <c r="I45" s="75" t="str">
        <f aca="false">IF(C45=0,"-",G45/C45)</f>
        <v>-</v>
      </c>
      <c r="J45" s="75" t="str">
        <f aca="false">IF(C45=0,"-",Parametros!$C$6+SUMIFS('CARGAR OPERACIONES'!$S$7:$S$506,'CARGAR OPERACIONES'!$AA$7:$AA$506,"&lt;="&amp;B45))</f>
        <v>-</v>
      </c>
      <c r="V45" s="0" t="str">
        <f aca="false">DAY(B45)&amp;"/"&amp;MONTH(B45)</f>
        <v>26/4</v>
      </c>
    </row>
    <row r="46" customFormat="false" ht="15" hidden="false" customHeight="false" outlineLevel="0" collapsed="false">
      <c r="B46" s="88" t="n">
        <f aca="false">B45+7</f>
        <v>46510</v>
      </c>
      <c r="C46" s="68" t="n">
        <f aca="false">COUNTIFS('CARGAR OPERACIONES'!$AA$7:$AA$506,B46)</f>
        <v>0</v>
      </c>
      <c r="D46" s="68" t="n">
        <f aca="false">COUNTIFS('CARGAR OPERACIONES'!$AA$7:$AA$506,B46,'CARGAR OPERACIONES'!$S$7:$S$506,"&gt;0")</f>
        <v>0</v>
      </c>
      <c r="E46" s="68" t="n">
        <f aca="false">COUNTIFS('CARGAR OPERACIONES'!$AA$7:$AA$506,B46,'CARGAR OPERACIONES'!$S$7:$S$506,"&lt;=0")</f>
        <v>0</v>
      </c>
      <c r="F46" s="64" t="str">
        <f aca="false">IF(C46=0,"-",D46/C46)</f>
        <v>-</v>
      </c>
      <c r="G46" s="65" t="str">
        <f aca="false">IF(C46=0,"-",SUMIFS('CARGAR OPERACIONES'!$S$7:$S$506,'CARGAR OPERACIONES'!$AA$7:$AA$506,B46))</f>
        <v>-</v>
      </c>
      <c r="H46" s="66" t="str">
        <f aca="false">IF(C46=0,"-",IF(E46=0,99,SUMIFS('CARGAR OPERACIONES'!$S$7:$S$506,'CARGAR OPERACIONES'!$AA$7:$AA$506,B46,'CARGAR OPERACIONES'!$S$7:$S$506,"&gt;0")/-SUMIFS('CARGAR OPERACIONES'!$S$7:$S$506,'CARGAR OPERACIONES'!$AA$7:$AA$506,B46,'CARGAR OPERACIONES'!$S$7:$S$506,"&lt;=0")))</f>
        <v>-</v>
      </c>
      <c r="I46" s="65" t="str">
        <f aca="false">IF(C46=0,"-",G46/C46)</f>
        <v>-</v>
      </c>
      <c r="J46" s="65" t="str">
        <f aca="false">IF(C46=0,"-",Parametros!$C$6+SUMIFS('CARGAR OPERACIONES'!$S$7:$S$506,'CARGAR OPERACIONES'!$AA$7:$AA$506,"&lt;="&amp;B46))</f>
        <v>-</v>
      </c>
      <c r="V46" s="0" t="str">
        <f aca="false">DAY(B46)&amp;"/"&amp;MONTH(B46)</f>
        <v>3/5</v>
      </c>
    </row>
    <row r="47" customFormat="false" ht="15" hidden="false" customHeight="false" outlineLevel="0" collapsed="false">
      <c r="B47" s="90" t="n">
        <f aca="false">B46+7</f>
        <v>46517</v>
      </c>
      <c r="C47" s="78" t="n">
        <f aca="false">COUNTIFS('CARGAR OPERACIONES'!$AA$7:$AA$506,B47)</f>
        <v>0</v>
      </c>
      <c r="D47" s="78" t="n">
        <f aca="false">COUNTIFS('CARGAR OPERACIONES'!$AA$7:$AA$506,B47,'CARGAR OPERACIONES'!$S$7:$S$506,"&gt;0")</f>
        <v>0</v>
      </c>
      <c r="E47" s="78" t="n">
        <f aca="false">COUNTIFS('CARGAR OPERACIONES'!$AA$7:$AA$506,B47,'CARGAR OPERACIONES'!$S$7:$S$506,"&lt;=0")</f>
        <v>0</v>
      </c>
      <c r="F47" s="74" t="str">
        <f aca="false">IF(C47=0,"-",D47/C47)</f>
        <v>-</v>
      </c>
      <c r="G47" s="75" t="str">
        <f aca="false">IF(C47=0,"-",SUMIFS('CARGAR OPERACIONES'!$S$7:$S$506,'CARGAR OPERACIONES'!$AA$7:$AA$506,B47))</f>
        <v>-</v>
      </c>
      <c r="H47" s="76" t="str">
        <f aca="false">IF(C47=0,"-",IF(E47=0,99,SUMIFS('CARGAR OPERACIONES'!$S$7:$S$506,'CARGAR OPERACIONES'!$AA$7:$AA$506,B47,'CARGAR OPERACIONES'!$S$7:$S$506,"&gt;0")/-SUMIFS('CARGAR OPERACIONES'!$S$7:$S$506,'CARGAR OPERACIONES'!$AA$7:$AA$506,B47,'CARGAR OPERACIONES'!$S$7:$S$506,"&lt;=0")))</f>
        <v>-</v>
      </c>
      <c r="I47" s="75" t="str">
        <f aca="false">IF(C47=0,"-",G47/C47)</f>
        <v>-</v>
      </c>
      <c r="J47" s="75" t="str">
        <f aca="false">IF(C47=0,"-",Parametros!$C$6+SUMIFS('CARGAR OPERACIONES'!$S$7:$S$506,'CARGAR OPERACIONES'!$AA$7:$AA$506,"&lt;="&amp;B47))</f>
        <v>-</v>
      </c>
      <c r="V47" s="0" t="str">
        <f aca="false">DAY(B47)&amp;"/"&amp;MONTH(B47)</f>
        <v>10/5</v>
      </c>
    </row>
    <row r="48" customFormat="false" ht="15" hidden="false" customHeight="false" outlineLevel="0" collapsed="false">
      <c r="B48" s="88" t="n">
        <f aca="false">B47+7</f>
        <v>46524</v>
      </c>
      <c r="C48" s="68" t="n">
        <f aca="false">COUNTIFS('CARGAR OPERACIONES'!$AA$7:$AA$506,B48)</f>
        <v>0</v>
      </c>
      <c r="D48" s="68" t="n">
        <f aca="false">COUNTIFS('CARGAR OPERACIONES'!$AA$7:$AA$506,B48,'CARGAR OPERACIONES'!$S$7:$S$506,"&gt;0")</f>
        <v>0</v>
      </c>
      <c r="E48" s="68" t="n">
        <f aca="false">COUNTIFS('CARGAR OPERACIONES'!$AA$7:$AA$506,B48,'CARGAR OPERACIONES'!$S$7:$S$506,"&lt;=0")</f>
        <v>0</v>
      </c>
      <c r="F48" s="64" t="str">
        <f aca="false">IF(C48=0,"-",D48/C48)</f>
        <v>-</v>
      </c>
      <c r="G48" s="65" t="str">
        <f aca="false">IF(C48=0,"-",SUMIFS('CARGAR OPERACIONES'!$S$7:$S$506,'CARGAR OPERACIONES'!$AA$7:$AA$506,B48))</f>
        <v>-</v>
      </c>
      <c r="H48" s="66" t="str">
        <f aca="false">IF(C48=0,"-",IF(E48=0,99,SUMIFS('CARGAR OPERACIONES'!$S$7:$S$506,'CARGAR OPERACIONES'!$AA$7:$AA$506,B48,'CARGAR OPERACIONES'!$S$7:$S$506,"&gt;0")/-SUMIFS('CARGAR OPERACIONES'!$S$7:$S$506,'CARGAR OPERACIONES'!$AA$7:$AA$506,B48,'CARGAR OPERACIONES'!$S$7:$S$506,"&lt;=0")))</f>
        <v>-</v>
      </c>
      <c r="I48" s="65" t="str">
        <f aca="false">IF(C48=0,"-",G48/C48)</f>
        <v>-</v>
      </c>
      <c r="J48" s="65" t="str">
        <f aca="false">IF(C48=0,"-",Parametros!$C$6+SUMIFS('CARGAR OPERACIONES'!$S$7:$S$506,'CARGAR OPERACIONES'!$AA$7:$AA$506,"&lt;="&amp;B48))</f>
        <v>-</v>
      </c>
      <c r="V48" s="0" t="str">
        <f aca="false">DAY(B48)&amp;"/"&amp;MONTH(B48)</f>
        <v>17/5</v>
      </c>
    </row>
    <row r="49" customFormat="false" ht="15" hidden="false" customHeight="false" outlineLevel="0" collapsed="false">
      <c r="B49" s="90" t="n">
        <f aca="false">B48+7</f>
        <v>46531</v>
      </c>
      <c r="C49" s="78" t="n">
        <f aca="false">COUNTIFS('CARGAR OPERACIONES'!$AA$7:$AA$506,B49)</f>
        <v>0</v>
      </c>
      <c r="D49" s="78" t="n">
        <f aca="false">COUNTIFS('CARGAR OPERACIONES'!$AA$7:$AA$506,B49,'CARGAR OPERACIONES'!$S$7:$S$506,"&gt;0")</f>
        <v>0</v>
      </c>
      <c r="E49" s="78" t="n">
        <f aca="false">COUNTIFS('CARGAR OPERACIONES'!$AA$7:$AA$506,B49,'CARGAR OPERACIONES'!$S$7:$S$506,"&lt;=0")</f>
        <v>0</v>
      </c>
      <c r="F49" s="74" t="str">
        <f aca="false">IF(C49=0,"-",D49/C49)</f>
        <v>-</v>
      </c>
      <c r="G49" s="75" t="str">
        <f aca="false">IF(C49=0,"-",SUMIFS('CARGAR OPERACIONES'!$S$7:$S$506,'CARGAR OPERACIONES'!$AA$7:$AA$506,B49))</f>
        <v>-</v>
      </c>
      <c r="H49" s="76" t="str">
        <f aca="false">IF(C49=0,"-",IF(E49=0,99,SUMIFS('CARGAR OPERACIONES'!$S$7:$S$506,'CARGAR OPERACIONES'!$AA$7:$AA$506,B49,'CARGAR OPERACIONES'!$S$7:$S$506,"&gt;0")/-SUMIFS('CARGAR OPERACIONES'!$S$7:$S$506,'CARGAR OPERACIONES'!$AA$7:$AA$506,B49,'CARGAR OPERACIONES'!$S$7:$S$506,"&lt;=0")))</f>
        <v>-</v>
      </c>
      <c r="I49" s="75" t="str">
        <f aca="false">IF(C49=0,"-",G49/C49)</f>
        <v>-</v>
      </c>
      <c r="J49" s="75" t="str">
        <f aca="false">IF(C49=0,"-",Parametros!$C$6+SUMIFS('CARGAR OPERACIONES'!$S$7:$S$506,'CARGAR OPERACIONES'!$AA$7:$AA$506,"&lt;="&amp;B49))</f>
        <v>-</v>
      </c>
      <c r="V49" s="0" t="str">
        <f aca="false">DAY(B49)&amp;"/"&amp;MONTH(B49)</f>
        <v>24/5</v>
      </c>
    </row>
    <row r="50" customFormat="false" ht="15" hidden="false" customHeight="false" outlineLevel="0" collapsed="false">
      <c r="B50" s="88" t="n">
        <f aca="false">B49+7</f>
        <v>46538</v>
      </c>
      <c r="C50" s="68" t="n">
        <f aca="false">COUNTIFS('CARGAR OPERACIONES'!$AA$7:$AA$506,B50)</f>
        <v>0</v>
      </c>
      <c r="D50" s="68" t="n">
        <f aca="false">COUNTIFS('CARGAR OPERACIONES'!$AA$7:$AA$506,B50,'CARGAR OPERACIONES'!$S$7:$S$506,"&gt;0")</f>
        <v>0</v>
      </c>
      <c r="E50" s="68" t="n">
        <f aca="false">COUNTIFS('CARGAR OPERACIONES'!$AA$7:$AA$506,B50,'CARGAR OPERACIONES'!$S$7:$S$506,"&lt;=0")</f>
        <v>0</v>
      </c>
      <c r="F50" s="64" t="str">
        <f aca="false">IF(C50=0,"-",D50/C50)</f>
        <v>-</v>
      </c>
      <c r="G50" s="65" t="str">
        <f aca="false">IF(C50=0,"-",SUMIFS('CARGAR OPERACIONES'!$S$7:$S$506,'CARGAR OPERACIONES'!$AA$7:$AA$506,B50))</f>
        <v>-</v>
      </c>
      <c r="H50" s="66" t="str">
        <f aca="false">IF(C50=0,"-",IF(E50=0,99,SUMIFS('CARGAR OPERACIONES'!$S$7:$S$506,'CARGAR OPERACIONES'!$AA$7:$AA$506,B50,'CARGAR OPERACIONES'!$S$7:$S$506,"&gt;0")/-SUMIFS('CARGAR OPERACIONES'!$S$7:$S$506,'CARGAR OPERACIONES'!$AA$7:$AA$506,B50,'CARGAR OPERACIONES'!$S$7:$S$506,"&lt;=0")))</f>
        <v>-</v>
      </c>
      <c r="I50" s="65" t="str">
        <f aca="false">IF(C50=0,"-",G50/C50)</f>
        <v>-</v>
      </c>
      <c r="J50" s="65" t="str">
        <f aca="false">IF(C50=0,"-",Parametros!$C$6+SUMIFS('CARGAR OPERACIONES'!$S$7:$S$506,'CARGAR OPERACIONES'!$AA$7:$AA$506,"&lt;="&amp;B50))</f>
        <v>-</v>
      </c>
      <c r="V50" s="0" t="str">
        <f aca="false">DAY(B50)&amp;"/"&amp;MONTH(B50)</f>
        <v>31/5</v>
      </c>
    </row>
    <row r="51" customFormat="false" ht="15" hidden="false" customHeight="false" outlineLevel="0" collapsed="false">
      <c r="B51" s="90" t="n">
        <f aca="false">B50+7</f>
        <v>46545</v>
      </c>
      <c r="C51" s="78" t="n">
        <f aca="false">COUNTIFS('CARGAR OPERACIONES'!$AA$7:$AA$506,B51)</f>
        <v>0</v>
      </c>
      <c r="D51" s="78" t="n">
        <f aca="false">COUNTIFS('CARGAR OPERACIONES'!$AA$7:$AA$506,B51,'CARGAR OPERACIONES'!$S$7:$S$506,"&gt;0")</f>
        <v>0</v>
      </c>
      <c r="E51" s="78" t="n">
        <f aca="false">COUNTIFS('CARGAR OPERACIONES'!$AA$7:$AA$506,B51,'CARGAR OPERACIONES'!$S$7:$S$506,"&lt;=0")</f>
        <v>0</v>
      </c>
      <c r="F51" s="74" t="str">
        <f aca="false">IF(C51=0,"-",D51/C51)</f>
        <v>-</v>
      </c>
      <c r="G51" s="75" t="str">
        <f aca="false">IF(C51=0,"-",SUMIFS('CARGAR OPERACIONES'!$S$7:$S$506,'CARGAR OPERACIONES'!$AA$7:$AA$506,B51))</f>
        <v>-</v>
      </c>
      <c r="H51" s="76" t="str">
        <f aca="false">IF(C51=0,"-",IF(E51=0,99,SUMIFS('CARGAR OPERACIONES'!$S$7:$S$506,'CARGAR OPERACIONES'!$AA$7:$AA$506,B51,'CARGAR OPERACIONES'!$S$7:$S$506,"&gt;0")/-SUMIFS('CARGAR OPERACIONES'!$S$7:$S$506,'CARGAR OPERACIONES'!$AA$7:$AA$506,B51,'CARGAR OPERACIONES'!$S$7:$S$506,"&lt;=0")))</f>
        <v>-</v>
      </c>
      <c r="I51" s="75" t="str">
        <f aca="false">IF(C51=0,"-",G51/C51)</f>
        <v>-</v>
      </c>
      <c r="J51" s="75" t="str">
        <f aca="false">IF(C51=0,"-",Parametros!$C$6+SUMIFS('CARGAR OPERACIONES'!$S$7:$S$506,'CARGAR OPERACIONES'!$AA$7:$AA$506,"&lt;="&amp;B51))</f>
        <v>-</v>
      </c>
      <c r="V51" s="0" t="str">
        <f aca="false">DAY(B51)&amp;"/"&amp;MONTH(B51)</f>
        <v>7/6</v>
      </c>
    </row>
    <row r="52" customFormat="false" ht="15" hidden="false" customHeight="false" outlineLevel="0" collapsed="false">
      <c r="B52" s="88" t="n">
        <f aca="false">B51+7</f>
        <v>46552</v>
      </c>
      <c r="C52" s="68" t="n">
        <f aca="false">COUNTIFS('CARGAR OPERACIONES'!$AA$7:$AA$506,B52)</f>
        <v>0</v>
      </c>
      <c r="D52" s="68" t="n">
        <f aca="false">COUNTIFS('CARGAR OPERACIONES'!$AA$7:$AA$506,B52,'CARGAR OPERACIONES'!$S$7:$S$506,"&gt;0")</f>
        <v>0</v>
      </c>
      <c r="E52" s="68" t="n">
        <f aca="false">COUNTIFS('CARGAR OPERACIONES'!$AA$7:$AA$506,B52,'CARGAR OPERACIONES'!$S$7:$S$506,"&lt;=0")</f>
        <v>0</v>
      </c>
      <c r="F52" s="64" t="str">
        <f aca="false">IF(C52=0,"-",D52/C52)</f>
        <v>-</v>
      </c>
      <c r="G52" s="65" t="str">
        <f aca="false">IF(C52=0,"-",SUMIFS('CARGAR OPERACIONES'!$S$7:$S$506,'CARGAR OPERACIONES'!$AA$7:$AA$506,B52))</f>
        <v>-</v>
      </c>
      <c r="H52" s="66" t="str">
        <f aca="false">IF(C52=0,"-",IF(E52=0,99,SUMIFS('CARGAR OPERACIONES'!$S$7:$S$506,'CARGAR OPERACIONES'!$AA$7:$AA$506,B52,'CARGAR OPERACIONES'!$S$7:$S$506,"&gt;0")/-SUMIFS('CARGAR OPERACIONES'!$S$7:$S$506,'CARGAR OPERACIONES'!$AA$7:$AA$506,B52,'CARGAR OPERACIONES'!$S$7:$S$506,"&lt;=0")))</f>
        <v>-</v>
      </c>
      <c r="I52" s="65" t="str">
        <f aca="false">IF(C52=0,"-",G52/C52)</f>
        <v>-</v>
      </c>
      <c r="J52" s="65" t="str">
        <f aca="false">IF(C52=0,"-",Parametros!$C$6+SUMIFS('CARGAR OPERACIONES'!$S$7:$S$506,'CARGAR OPERACIONES'!$AA$7:$AA$506,"&lt;="&amp;B52))</f>
        <v>-</v>
      </c>
      <c r="V52" s="0" t="str">
        <f aca="false">DAY(B52)&amp;"/"&amp;MONTH(B52)</f>
        <v>14/6</v>
      </c>
    </row>
    <row r="53" customFormat="false" ht="15" hidden="false" customHeight="false" outlineLevel="0" collapsed="false">
      <c r="B53" s="90" t="n">
        <f aca="false">B52+7</f>
        <v>46559</v>
      </c>
      <c r="C53" s="78" t="n">
        <f aca="false">COUNTIFS('CARGAR OPERACIONES'!$AA$7:$AA$506,B53)</f>
        <v>0</v>
      </c>
      <c r="D53" s="78" t="n">
        <f aca="false">COUNTIFS('CARGAR OPERACIONES'!$AA$7:$AA$506,B53,'CARGAR OPERACIONES'!$S$7:$S$506,"&gt;0")</f>
        <v>0</v>
      </c>
      <c r="E53" s="78" t="n">
        <f aca="false">COUNTIFS('CARGAR OPERACIONES'!$AA$7:$AA$506,B53,'CARGAR OPERACIONES'!$S$7:$S$506,"&lt;=0")</f>
        <v>0</v>
      </c>
      <c r="F53" s="74" t="str">
        <f aca="false">IF(C53=0,"-",D53/C53)</f>
        <v>-</v>
      </c>
      <c r="G53" s="75" t="str">
        <f aca="false">IF(C53=0,"-",SUMIFS('CARGAR OPERACIONES'!$S$7:$S$506,'CARGAR OPERACIONES'!$AA$7:$AA$506,B53))</f>
        <v>-</v>
      </c>
      <c r="H53" s="76" t="str">
        <f aca="false">IF(C53=0,"-",IF(E53=0,99,SUMIFS('CARGAR OPERACIONES'!$S$7:$S$506,'CARGAR OPERACIONES'!$AA$7:$AA$506,B53,'CARGAR OPERACIONES'!$S$7:$S$506,"&gt;0")/-SUMIFS('CARGAR OPERACIONES'!$S$7:$S$506,'CARGAR OPERACIONES'!$AA$7:$AA$506,B53,'CARGAR OPERACIONES'!$S$7:$S$506,"&lt;=0")))</f>
        <v>-</v>
      </c>
      <c r="I53" s="75" t="str">
        <f aca="false">IF(C53=0,"-",G53/C53)</f>
        <v>-</v>
      </c>
      <c r="J53" s="75" t="str">
        <f aca="false">IF(C53=0,"-",Parametros!$C$6+SUMIFS('CARGAR OPERACIONES'!$S$7:$S$506,'CARGAR OPERACIONES'!$AA$7:$AA$506,"&lt;="&amp;B53))</f>
        <v>-</v>
      </c>
      <c r="V53" s="0" t="str">
        <f aca="false">DAY(B53)&amp;"/"&amp;MONTH(B53)</f>
        <v>21/6</v>
      </c>
    </row>
    <row r="54" customFormat="false" ht="15" hidden="false" customHeight="false" outlineLevel="0" collapsed="false">
      <c r="B54" s="88" t="n">
        <f aca="false">B53+7</f>
        <v>46566</v>
      </c>
      <c r="C54" s="68" t="n">
        <f aca="false">COUNTIFS('CARGAR OPERACIONES'!$AA$7:$AA$506,B54)</f>
        <v>0</v>
      </c>
      <c r="D54" s="68" t="n">
        <f aca="false">COUNTIFS('CARGAR OPERACIONES'!$AA$7:$AA$506,B54,'CARGAR OPERACIONES'!$S$7:$S$506,"&gt;0")</f>
        <v>0</v>
      </c>
      <c r="E54" s="68" t="n">
        <f aca="false">COUNTIFS('CARGAR OPERACIONES'!$AA$7:$AA$506,B54,'CARGAR OPERACIONES'!$S$7:$S$506,"&lt;=0")</f>
        <v>0</v>
      </c>
      <c r="F54" s="64" t="str">
        <f aca="false">IF(C54=0,"-",D54/C54)</f>
        <v>-</v>
      </c>
      <c r="G54" s="65" t="str">
        <f aca="false">IF(C54=0,"-",SUMIFS('CARGAR OPERACIONES'!$S$7:$S$506,'CARGAR OPERACIONES'!$AA$7:$AA$506,B54))</f>
        <v>-</v>
      </c>
      <c r="H54" s="66" t="str">
        <f aca="false">IF(C54=0,"-",IF(E54=0,99,SUMIFS('CARGAR OPERACIONES'!$S$7:$S$506,'CARGAR OPERACIONES'!$AA$7:$AA$506,B54,'CARGAR OPERACIONES'!$S$7:$S$506,"&gt;0")/-SUMIFS('CARGAR OPERACIONES'!$S$7:$S$506,'CARGAR OPERACIONES'!$AA$7:$AA$506,B54,'CARGAR OPERACIONES'!$S$7:$S$506,"&lt;=0")))</f>
        <v>-</v>
      </c>
      <c r="I54" s="65" t="str">
        <f aca="false">IF(C54=0,"-",G54/C54)</f>
        <v>-</v>
      </c>
      <c r="J54" s="65" t="str">
        <f aca="false">IF(C54=0,"-",Parametros!$C$6+SUMIFS('CARGAR OPERACIONES'!$S$7:$S$506,'CARGAR OPERACIONES'!$AA$7:$AA$506,"&lt;="&amp;B54))</f>
        <v>-</v>
      </c>
      <c r="V54" s="0" t="str">
        <f aca="false">DAY(B54)&amp;"/"&amp;MONTH(B54)</f>
        <v>28/6</v>
      </c>
    </row>
    <row r="55" customFormat="false" ht="15" hidden="false" customHeight="false" outlineLevel="0" collapsed="false">
      <c r="B55" s="90" t="n">
        <f aca="false">B54+7</f>
        <v>46573</v>
      </c>
      <c r="C55" s="78" t="n">
        <f aca="false">COUNTIFS('CARGAR OPERACIONES'!$AA$7:$AA$506,B55)</f>
        <v>0</v>
      </c>
      <c r="D55" s="78" t="n">
        <f aca="false">COUNTIFS('CARGAR OPERACIONES'!$AA$7:$AA$506,B55,'CARGAR OPERACIONES'!$S$7:$S$506,"&gt;0")</f>
        <v>0</v>
      </c>
      <c r="E55" s="78" t="n">
        <f aca="false">COUNTIFS('CARGAR OPERACIONES'!$AA$7:$AA$506,B55,'CARGAR OPERACIONES'!$S$7:$S$506,"&lt;=0")</f>
        <v>0</v>
      </c>
      <c r="F55" s="74" t="str">
        <f aca="false">IF(C55=0,"-",D55/C55)</f>
        <v>-</v>
      </c>
      <c r="G55" s="75" t="str">
        <f aca="false">IF(C55=0,"-",SUMIFS('CARGAR OPERACIONES'!$S$7:$S$506,'CARGAR OPERACIONES'!$AA$7:$AA$506,B55))</f>
        <v>-</v>
      </c>
      <c r="H55" s="76" t="str">
        <f aca="false">IF(C55=0,"-",IF(E55=0,99,SUMIFS('CARGAR OPERACIONES'!$S$7:$S$506,'CARGAR OPERACIONES'!$AA$7:$AA$506,B55,'CARGAR OPERACIONES'!$S$7:$S$506,"&gt;0")/-SUMIFS('CARGAR OPERACIONES'!$S$7:$S$506,'CARGAR OPERACIONES'!$AA$7:$AA$506,B55,'CARGAR OPERACIONES'!$S$7:$S$506,"&lt;=0")))</f>
        <v>-</v>
      </c>
      <c r="I55" s="75" t="str">
        <f aca="false">IF(C55=0,"-",G55/C55)</f>
        <v>-</v>
      </c>
      <c r="J55" s="75" t="str">
        <f aca="false">IF(C55=0,"-",Parametros!$C$6+SUMIFS('CARGAR OPERACIONES'!$S$7:$S$506,'CARGAR OPERACIONES'!$AA$7:$AA$506,"&lt;="&amp;B55))</f>
        <v>-</v>
      </c>
      <c r="V55" s="0" t="str">
        <f aca="false">DAY(B55)&amp;"/"&amp;MONTH(B55)</f>
        <v>5/7</v>
      </c>
    </row>
    <row r="56" customFormat="false" ht="15" hidden="false" customHeight="false" outlineLevel="0" collapsed="false">
      <c r="B56" s="88" t="n">
        <f aca="false">B55+7</f>
        <v>46580</v>
      </c>
      <c r="C56" s="68" t="n">
        <f aca="false">COUNTIFS('CARGAR OPERACIONES'!$AA$7:$AA$506,B56)</f>
        <v>0</v>
      </c>
      <c r="D56" s="68" t="n">
        <f aca="false">COUNTIFS('CARGAR OPERACIONES'!$AA$7:$AA$506,B56,'CARGAR OPERACIONES'!$S$7:$S$506,"&gt;0")</f>
        <v>0</v>
      </c>
      <c r="E56" s="68" t="n">
        <f aca="false">COUNTIFS('CARGAR OPERACIONES'!$AA$7:$AA$506,B56,'CARGAR OPERACIONES'!$S$7:$S$506,"&lt;=0")</f>
        <v>0</v>
      </c>
      <c r="F56" s="64" t="str">
        <f aca="false">IF(C56=0,"-",D56/C56)</f>
        <v>-</v>
      </c>
      <c r="G56" s="65" t="str">
        <f aca="false">IF(C56=0,"-",SUMIFS('CARGAR OPERACIONES'!$S$7:$S$506,'CARGAR OPERACIONES'!$AA$7:$AA$506,B56))</f>
        <v>-</v>
      </c>
      <c r="H56" s="66" t="str">
        <f aca="false">IF(C56=0,"-",IF(E56=0,99,SUMIFS('CARGAR OPERACIONES'!$S$7:$S$506,'CARGAR OPERACIONES'!$AA$7:$AA$506,B56,'CARGAR OPERACIONES'!$S$7:$S$506,"&gt;0")/-SUMIFS('CARGAR OPERACIONES'!$S$7:$S$506,'CARGAR OPERACIONES'!$AA$7:$AA$506,B56,'CARGAR OPERACIONES'!$S$7:$S$506,"&lt;=0")))</f>
        <v>-</v>
      </c>
      <c r="I56" s="65" t="str">
        <f aca="false">IF(C56=0,"-",G56/C56)</f>
        <v>-</v>
      </c>
      <c r="J56" s="65" t="str">
        <f aca="false">IF(C56=0,"-",Parametros!$C$6+SUMIFS('CARGAR OPERACIONES'!$S$7:$S$506,'CARGAR OPERACIONES'!$AA$7:$AA$506,"&lt;="&amp;B56))</f>
        <v>-</v>
      </c>
      <c r="V56" s="0" t="str">
        <f aca="false">DAY(B56)&amp;"/"&amp;MONTH(B56)</f>
        <v>12/7</v>
      </c>
    </row>
    <row r="57" customFormat="false" ht="15" hidden="false" customHeight="false" outlineLevel="0" collapsed="false">
      <c r="B57" s="90" t="n">
        <f aca="false">B56+7</f>
        <v>46587</v>
      </c>
      <c r="C57" s="78" t="n">
        <f aca="false">COUNTIFS('CARGAR OPERACIONES'!$AA$7:$AA$506,B57)</f>
        <v>0</v>
      </c>
      <c r="D57" s="78" t="n">
        <f aca="false">COUNTIFS('CARGAR OPERACIONES'!$AA$7:$AA$506,B57,'CARGAR OPERACIONES'!$S$7:$S$506,"&gt;0")</f>
        <v>0</v>
      </c>
      <c r="E57" s="78" t="n">
        <f aca="false">COUNTIFS('CARGAR OPERACIONES'!$AA$7:$AA$506,B57,'CARGAR OPERACIONES'!$S$7:$S$506,"&lt;=0")</f>
        <v>0</v>
      </c>
      <c r="F57" s="74" t="str">
        <f aca="false">IF(C57=0,"-",D57/C57)</f>
        <v>-</v>
      </c>
      <c r="G57" s="75" t="str">
        <f aca="false">IF(C57=0,"-",SUMIFS('CARGAR OPERACIONES'!$S$7:$S$506,'CARGAR OPERACIONES'!$AA$7:$AA$506,B57))</f>
        <v>-</v>
      </c>
      <c r="H57" s="76" t="str">
        <f aca="false">IF(C57=0,"-",IF(E57=0,99,SUMIFS('CARGAR OPERACIONES'!$S$7:$S$506,'CARGAR OPERACIONES'!$AA$7:$AA$506,B57,'CARGAR OPERACIONES'!$S$7:$S$506,"&gt;0")/-SUMIFS('CARGAR OPERACIONES'!$S$7:$S$506,'CARGAR OPERACIONES'!$AA$7:$AA$506,B57,'CARGAR OPERACIONES'!$S$7:$S$506,"&lt;=0")))</f>
        <v>-</v>
      </c>
      <c r="I57" s="75" t="str">
        <f aca="false">IF(C57=0,"-",G57/C57)</f>
        <v>-</v>
      </c>
      <c r="J57" s="75" t="str">
        <f aca="false">IF(C57=0,"-",Parametros!$C$6+SUMIFS('CARGAR OPERACIONES'!$S$7:$S$506,'CARGAR OPERACIONES'!$AA$7:$AA$506,"&lt;="&amp;B57))</f>
        <v>-</v>
      </c>
      <c r="V57" s="0" t="str">
        <f aca="false">DAY(B57)&amp;"/"&amp;MONTH(B57)</f>
        <v>19/7</v>
      </c>
    </row>
    <row r="58" customFormat="false" ht="15" hidden="false" customHeight="false" outlineLevel="0" collapsed="false">
      <c r="B58" s="88" t="n">
        <f aca="false">B57+7</f>
        <v>46594</v>
      </c>
      <c r="C58" s="68" t="n">
        <f aca="false">COUNTIFS('CARGAR OPERACIONES'!$AA$7:$AA$506,B58)</f>
        <v>0</v>
      </c>
      <c r="D58" s="68" t="n">
        <f aca="false">COUNTIFS('CARGAR OPERACIONES'!$AA$7:$AA$506,B58,'CARGAR OPERACIONES'!$S$7:$S$506,"&gt;0")</f>
        <v>0</v>
      </c>
      <c r="E58" s="68" t="n">
        <f aca="false">COUNTIFS('CARGAR OPERACIONES'!$AA$7:$AA$506,B58,'CARGAR OPERACIONES'!$S$7:$S$506,"&lt;=0")</f>
        <v>0</v>
      </c>
      <c r="F58" s="64" t="str">
        <f aca="false">IF(C58=0,"-",D58/C58)</f>
        <v>-</v>
      </c>
      <c r="G58" s="65" t="str">
        <f aca="false">IF(C58=0,"-",SUMIFS('CARGAR OPERACIONES'!$S$7:$S$506,'CARGAR OPERACIONES'!$AA$7:$AA$506,B58))</f>
        <v>-</v>
      </c>
      <c r="H58" s="66" t="str">
        <f aca="false">IF(C58=0,"-",IF(E58=0,99,SUMIFS('CARGAR OPERACIONES'!$S$7:$S$506,'CARGAR OPERACIONES'!$AA$7:$AA$506,B58,'CARGAR OPERACIONES'!$S$7:$S$506,"&gt;0")/-SUMIFS('CARGAR OPERACIONES'!$S$7:$S$506,'CARGAR OPERACIONES'!$AA$7:$AA$506,B58,'CARGAR OPERACIONES'!$S$7:$S$506,"&lt;=0")))</f>
        <v>-</v>
      </c>
      <c r="I58" s="65" t="str">
        <f aca="false">IF(C58=0,"-",G58/C58)</f>
        <v>-</v>
      </c>
      <c r="J58" s="65" t="str">
        <f aca="false">IF(C58=0,"-",Parametros!$C$6+SUMIFS('CARGAR OPERACIONES'!$S$7:$S$506,'CARGAR OPERACIONES'!$AA$7:$AA$506,"&lt;="&amp;B58))</f>
        <v>-</v>
      </c>
      <c r="V58" s="0" t="str">
        <f aca="false">DAY(B58)&amp;"/"&amp;MONTH(B58)</f>
        <v>26/7</v>
      </c>
    </row>
    <row r="59" customFormat="false" ht="15" hidden="false" customHeight="false" outlineLevel="0" collapsed="false">
      <c r="B59" s="90" t="n">
        <f aca="false">B58+7</f>
        <v>46601</v>
      </c>
      <c r="C59" s="78" t="n">
        <f aca="false">COUNTIFS('CARGAR OPERACIONES'!$AA$7:$AA$506,B59)</f>
        <v>0</v>
      </c>
      <c r="D59" s="78" t="n">
        <f aca="false">COUNTIFS('CARGAR OPERACIONES'!$AA$7:$AA$506,B59,'CARGAR OPERACIONES'!$S$7:$S$506,"&gt;0")</f>
        <v>0</v>
      </c>
      <c r="E59" s="78" t="n">
        <f aca="false">COUNTIFS('CARGAR OPERACIONES'!$AA$7:$AA$506,B59,'CARGAR OPERACIONES'!$S$7:$S$506,"&lt;=0")</f>
        <v>0</v>
      </c>
      <c r="F59" s="74" t="str">
        <f aca="false">IF(C59=0,"-",D59/C59)</f>
        <v>-</v>
      </c>
      <c r="G59" s="75" t="str">
        <f aca="false">IF(C59=0,"-",SUMIFS('CARGAR OPERACIONES'!$S$7:$S$506,'CARGAR OPERACIONES'!$AA$7:$AA$506,B59))</f>
        <v>-</v>
      </c>
      <c r="H59" s="76" t="str">
        <f aca="false">IF(C59=0,"-",IF(E59=0,99,SUMIFS('CARGAR OPERACIONES'!$S$7:$S$506,'CARGAR OPERACIONES'!$AA$7:$AA$506,B59,'CARGAR OPERACIONES'!$S$7:$S$506,"&gt;0")/-SUMIFS('CARGAR OPERACIONES'!$S$7:$S$506,'CARGAR OPERACIONES'!$AA$7:$AA$506,B59,'CARGAR OPERACIONES'!$S$7:$S$506,"&lt;=0")))</f>
        <v>-</v>
      </c>
      <c r="I59" s="75" t="str">
        <f aca="false">IF(C59=0,"-",G59/C59)</f>
        <v>-</v>
      </c>
      <c r="J59" s="75" t="str">
        <f aca="false">IF(C59=0,"-",Parametros!$C$6+SUMIFS('CARGAR OPERACIONES'!$S$7:$S$506,'CARGAR OPERACIONES'!$AA$7:$AA$506,"&lt;="&amp;B59))</f>
        <v>-</v>
      </c>
      <c r="V59" s="0" t="str">
        <f aca="false">DAY(B59)&amp;"/"&amp;MONTH(B59)</f>
        <v>2/8</v>
      </c>
    </row>
  </sheetData>
  <mergeCells count="2">
    <mergeCell ref="B2:T2"/>
    <mergeCell ref="B3:T3"/>
  </mergeCells>
  <conditionalFormatting sqref="G8:G59">
    <cfRule type="expression" priority="2" aboveAverage="0" equalAverage="0" bottom="0" percent="0" rank="0" text="" dxfId="0">
      <formula>AND(ISNUMBER(G8),G8&gt;0)</formula>
    </cfRule>
    <cfRule type="expression" priority="3" aboveAverage="0" equalAverage="0" bottom="0" percent="0" rank="0" text="" dxfId="1">
      <formula>AND(ISNUMBER(G8),G8&lt;0)</formula>
    </cfRule>
  </conditionalFormatting>
  <conditionalFormatting sqref="H8:H59">
    <cfRule type="expression" priority="4" aboveAverage="0" equalAverage="0" bottom="0" percent="0" rank="0" text="" dxfId="0">
      <formula>AND(ISNUMBER(H8),H8&gt;=1)</formula>
    </cfRule>
    <cfRule type="expression" priority="5" aboveAverage="0" equalAverage="0" bottom="0" percent="0" rank="0" text="" dxfId="1">
      <formula>AND(ISNUMBER(H8),H8&lt;1)</formula>
    </cfRule>
  </conditionalFormatting>
  <conditionalFormatting sqref="B8:J59">
    <cfRule type="expression" priority="6" aboveAverage="0" equalAverage="0" bottom="0" percent="0" rank="0" text="" dxfId="10">
      <formula>$C8=0</formula>
    </cfRule>
  </conditionalFormatting>
  <conditionalFormatting sqref="Q8:Q25">
    <cfRule type="expression" priority="7" aboveAverage="0" equalAverage="0" bottom="0" percent="0" rank="0" text="" dxfId="0">
      <formula>AND(ISNUMBER(Q8),Q8&gt;0)</formula>
    </cfRule>
    <cfRule type="expression" priority="8" aboveAverage="0" equalAverage="0" bottom="0" percent="0" rank="0" text="" dxfId="1">
      <formula>AND(ISNUMBER(Q8),Q8&lt;0)</formula>
    </cfRule>
  </conditionalFormatting>
  <conditionalFormatting sqref="R8:R25">
    <cfRule type="expression" priority="9" aboveAverage="0" equalAverage="0" bottom="0" percent="0" rank="0" text="" dxfId="0">
      <formula>AND(ISNUMBER(R8),R8&gt;=1)</formula>
    </cfRule>
    <cfRule type="expression" priority="10" aboveAverage="0" equalAverage="0" bottom="0" percent="0" rank="0" text="" dxfId="1">
      <formula>AND(ISNUMBER(R8),R8&lt;1)</formula>
    </cfRule>
  </conditionalFormatting>
  <conditionalFormatting sqref="L8:T25">
    <cfRule type="expression" priority="11" aboveAverage="0" equalAverage="0" bottom="0" percent="0" rank="0" text="" dxfId="10">
      <formula>$M8=0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4B7C"/>
    <pageSetUpPr fitToPage="false"/>
  </sheetPr>
  <dimension ref="B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9.75" hidden="false" customHeight="true" outlineLevel="0" collapsed="false"/>
    <row r="2" customFormat="false" ht="33.75" hidden="false" customHeight="true" outlineLevel="0" collapsed="false">
      <c r="B2" s="1" t="s">
        <v>128</v>
      </c>
      <c r="C2" s="1"/>
      <c r="D2" s="1"/>
      <c r="E2" s="1"/>
      <c r="F2" s="1"/>
      <c r="G2" s="1"/>
      <c r="H2" s="1"/>
      <c r="I2" s="1"/>
    </row>
    <row r="3" customFormat="false" ht="19.5" hidden="false" customHeight="true" outlineLevel="0" collapsed="false">
      <c r="B3" s="2" t="s">
        <v>129</v>
      </c>
      <c r="C3" s="2"/>
      <c r="D3" s="2"/>
      <c r="E3" s="2"/>
      <c r="F3" s="2"/>
      <c r="G3" s="2"/>
      <c r="H3" s="2"/>
      <c r="I3" s="2"/>
    </row>
    <row r="4" customFormat="false" ht="3.75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6" customFormat="false" ht="16.15" hidden="false" customHeight="false" outlineLevel="0" collapsed="false">
      <c r="B6" s="48" t="s">
        <v>130</v>
      </c>
      <c r="C6" s="49"/>
      <c r="D6" s="49"/>
      <c r="E6" s="49"/>
      <c r="F6" s="49"/>
      <c r="G6" s="49"/>
      <c r="H6" s="49"/>
      <c r="I6" s="49"/>
    </row>
    <row r="7" customFormat="false" ht="31.5" hidden="false" customHeight="true" outlineLevel="0" collapsed="false">
      <c r="B7" s="50" t="s">
        <v>131</v>
      </c>
      <c r="C7" s="50" t="s">
        <v>106</v>
      </c>
      <c r="D7" s="50" t="s">
        <v>126</v>
      </c>
      <c r="E7" s="50" t="s">
        <v>127</v>
      </c>
      <c r="F7" s="50" t="s">
        <v>100</v>
      </c>
      <c r="G7" s="50" t="s">
        <v>74</v>
      </c>
      <c r="H7" s="50" t="s">
        <v>36</v>
      </c>
      <c r="I7" s="50" t="s">
        <v>102</v>
      </c>
    </row>
    <row r="8" customFormat="false" ht="15" hidden="false" customHeight="false" outlineLevel="0" collapsed="false">
      <c r="B8" s="59" t="s">
        <v>90</v>
      </c>
      <c r="C8" s="68" t="n">
        <f aca="false">COUNTIFS('CARGAR OPERACIONES'!$F$7:$F$506,B8)</f>
        <v>12</v>
      </c>
      <c r="D8" s="68" t="n">
        <f aca="false">COUNTIFS('CARGAR OPERACIONES'!$F$7:$F$506,B8,'CARGAR OPERACIONES'!$S$7:$S$506,"&gt;0")</f>
        <v>6</v>
      </c>
      <c r="E8" s="68" t="n">
        <f aca="false">COUNTIFS('CARGAR OPERACIONES'!$F$7:$F$506,B8,'CARGAR OPERACIONES'!$S$7:$S$506,"&lt;=0")</f>
        <v>6</v>
      </c>
      <c r="F8" s="64" t="n">
        <f aca="false">IF(C8=0,"-",D8/C8)</f>
        <v>0.5</v>
      </c>
      <c r="G8" s="65" t="n">
        <f aca="false">IF(C8=0,"-",SUMIFS('CARGAR OPERACIONES'!$S$7:$S$506,'CARGAR OPERACIONES'!$F$7:$F$506,B8))</f>
        <v>800.64</v>
      </c>
      <c r="H8" s="66" t="n">
        <f aca="false">IF(C8=0,"-",IF(E8=0,99,SUMIFS('CARGAR OPERACIONES'!$S$7:$S$506,'CARGAR OPERACIONES'!$F$7:$F$506,B8,'CARGAR OPERACIONES'!$S$7:$S$506,"&gt;0")/-SUMIFS('CARGAR OPERACIONES'!$S$7:$S$506,'CARGAR OPERACIONES'!$F$7:$F$506,B8,'CARGAR OPERACIONES'!$S$7:$S$506,"&lt;=0")))</f>
        <v>1.84143265512023</v>
      </c>
      <c r="I8" s="65" t="n">
        <f aca="false">IF(C8=0,"-",G8/C8)</f>
        <v>66.72</v>
      </c>
    </row>
    <row r="9" customFormat="false" ht="15" hidden="false" customHeight="false" outlineLevel="0" collapsed="false">
      <c r="B9" s="69" t="s">
        <v>94</v>
      </c>
      <c r="C9" s="78" t="n">
        <f aca="false">COUNTIFS('CARGAR OPERACIONES'!$F$7:$F$506,B9)</f>
        <v>4</v>
      </c>
      <c r="D9" s="78" t="n">
        <f aca="false">COUNTIFS('CARGAR OPERACIONES'!$F$7:$F$506,B9,'CARGAR OPERACIONES'!$S$7:$S$506,"&gt;0")</f>
        <v>0</v>
      </c>
      <c r="E9" s="78" t="n">
        <f aca="false">COUNTIFS('CARGAR OPERACIONES'!$F$7:$F$506,B9,'CARGAR OPERACIONES'!$S$7:$S$506,"&lt;=0")</f>
        <v>4</v>
      </c>
      <c r="F9" s="74" t="n">
        <f aca="false">IF(C9=0,"-",D9/C9)</f>
        <v>0</v>
      </c>
      <c r="G9" s="75" t="n">
        <f aca="false">IF(C9=0,"-",SUMIFS('CARGAR OPERACIONES'!$S$7:$S$506,'CARGAR OPERACIONES'!$F$7:$F$506,B9))</f>
        <v>-636.8</v>
      </c>
      <c r="H9" s="76" t="n">
        <f aca="false">IF(C9=0,"-",IF(E9=0,99,SUMIFS('CARGAR OPERACIONES'!$S$7:$S$506,'CARGAR OPERACIONES'!$F$7:$F$506,B9,'CARGAR OPERACIONES'!$S$7:$S$506,"&gt;0")/-SUMIFS('CARGAR OPERACIONES'!$S$7:$S$506,'CARGAR OPERACIONES'!$F$7:$F$506,B9,'CARGAR OPERACIONES'!$S$7:$S$506,"&lt;=0")))</f>
        <v>0</v>
      </c>
      <c r="I9" s="75" t="n">
        <f aca="false">IF(C9=0,"-",G9/C9)</f>
        <v>-159.2</v>
      </c>
    </row>
    <row r="11" customFormat="false" ht="16.15" hidden="false" customHeight="false" outlineLevel="0" collapsed="false">
      <c r="B11" s="48" t="s">
        <v>132</v>
      </c>
      <c r="C11" s="49"/>
      <c r="D11" s="49"/>
      <c r="E11" s="49"/>
      <c r="F11" s="49"/>
      <c r="G11" s="49"/>
      <c r="H11" s="49"/>
      <c r="I11" s="49"/>
    </row>
    <row r="12" customFormat="false" ht="31.5" hidden="false" customHeight="true" outlineLevel="0" collapsed="false">
      <c r="B12" s="50" t="s">
        <v>63</v>
      </c>
      <c r="C12" s="50" t="s">
        <v>106</v>
      </c>
      <c r="D12" s="50" t="s">
        <v>126</v>
      </c>
      <c r="E12" s="50" t="s">
        <v>127</v>
      </c>
      <c r="F12" s="50" t="s">
        <v>100</v>
      </c>
      <c r="G12" s="50" t="s">
        <v>74</v>
      </c>
      <c r="H12" s="50" t="s">
        <v>36</v>
      </c>
      <c r="I12" s="50" t="s">
        <v>102</v>
      </c>
    </row>
    <row r="13" customFormat="false" ht="15" hidden="false" customHeight="false" outlineLevel="0" collapsed="false">
      <c r="B13" s="59" t="s">
        <v>93</v>
      </c>
      <c r="C13" s="68" t="n">
        <f aca="false">COUNTIFS('CARGAR OPERACIONES'!$H$7:$H$506,B13)</f>
        <v>10</v>
      </c>
      <c r="D13" s="68" t="n">
        <f aca="false">COUNTIFS('CARGAR OPERACIONES'!$H$7:$H$506,B13,'CARGAR OPERACIONES'!$S$7:$S$506,"&gt;0")</f>
        <v>3</v>
      </c>
      <c r="E13" s="68" t="n">
        <f aca="false">COUNTIFS('CARGAR OPERACIONES'!$H$7:$H$506,B13,'CARGAR OPERACIONES'!$S$7:$S$506,"&lt;=0")</f>
        <v>7</v>
      </c>
      <c r="F13" s="64" t="n">
        <f aca="false">IF(C13=0,"-",D13/C13)</f>
        <v>0.3</v>
      </c>
      <c r="G13" s="65" t="n">
        <f aca="false">IF(C13=0,"-",SUMIFS('CARGAR OPERACIONES'!$S$7:$S$506,'CARGAR OPERACIONES'!$H$7:$H$506,B13))</f>
        <v>-234.64</v>
      </c>
      <c r="H13" s="66" t="n">
        <f aca="false">IF(C13=0,"-",IF(E13=0,99,SUMIFS('CARGAR OPERACIONES'!$S$7:$S$506,'CARGAR OPERACIONES'!$H$7:$H$506,B13,'CARGAR OPERACIONES'!$S$7:$S$506,"&gt;0")/-SUMIFS('CARGAR OPERACIONES'!$S$7:$S$506,'CARGAR OPERACIONES'!$H$7:$H$506,B13,'CARGAR OPERACIONES'!$S$7:$S$506,"&lt;=0")))</f>
        <v>0.788749639873235</v>
      </c>
      <c r="I13" s="65" t="n">
        <f aca="false">IF(C13=0,"-",G13/C13)</f>
        <v>-23.464</v>
      </c>
    </row>
    <row r="14" customFormat="false" ht="15" hidden="false" customHeight="false" outlineLevel="0" collapsed="false">
      <c r="B14" s="69" t="s">
        <v>91</v>
      </c>
      <c r="C14" s="78" t="n">
        <f aca="false">COUNTIFS('CARGAR OPERACIONES'!$H$7:$H$506,B14)</f>
        <v>6</v>
      </c>
      <c r="D14" s="78" t="n">
        <f aca="false">COUNTIFS('CARGAR OPERACIONES'!$H$7:$H$506,B14,'CARGAR OPERACIONES'!$S$7:$S$506,"&gt;0")</f>
        <v>3</v>
      </c>
      <c r="E14" s="78" t="n">
        <f aca="false">COUNTIFS('CARGAR OPERACIONES'!$H$7:$H$506,B14,'CARGAR OPERACIONES'!$S$7:$S$506,"&lt;=0")</f>
        <v>3</v>
      </c>
      <c r="F14" s="74" t="n">
        <f aca="false">IF(C14=0,"-",D14/C14)</f>
        <v>0.5</v>
      </c>
      <c r="G14" s="75" t="n">
        <f aca="false">IF(C14=0,"-",SUMIFS('CARGAR OPERACIONES'!$S$7:$S$506,'CARGAR OPERACIONES'!$H$7:$H$506,B14))</f>
        <v>398.48</v>
      </c>
      <c r="H14" s="76" t="n">
        <f aca="false">IF(C14=0,"-",IF(E14=0,99,SUMIFS('CARGAR OPERACIONES'!$S$7:$S$506,'CARGAR OPERACIONES'!$H$7:$H$506,B14,'CARGAR OPERACIONES'!$S$7:$S$506,"&gt;0")/-SUMIFS('CARGAR OPERACIONES'!$S$7:$S$506,'CARGAR OPERACIONES'!$H$7:$H$506,B14,'CARGAR OPERACIONES'!$S$7:$S$506,"&lt;=0")))</f>
        <v>1.83433835845896</v>
      </c>
      <c r="I14" s="75" t="n">
        <f aca="false">IF(C14=0,"-",G14/C14)</f>
        <v>66.4133333333333</v>
      </c>
    </row>
    <row r="15" customFormat="false" ht="15" hidden="false" customHeight="false" outlineLevel="0" collapsed="false">
      <c r="B15" s="59" t="s">
        <v>133</v>
      </c>
      <c r="C15" s="68" t="n">
        <f aca="false">COUNTIFS('CARGAR OPERACIONES'!$H$7:$H$506,B15)</f>
        <v>0</v>
      </c>
      <c r="D15" s="68" t="n">
        <f aca="false">COUNTIFS('CARGAR OPERACIONES'!$H$7:$H$506,B15,'CARGAR OPERACIONES'!$S$7:$S$506,"&gt;0")</f>
        <v>0</v>
      </c>
      <c r="E15" s="68" t="n">
        <f aca="false">COUNTIFS('CARGAR OPERACIONES'!$H$7:$H$506,B15,'CARGAR OPERACIONES'!$S$7:$S$506,"&lt;=0")</f>
        <v>0</v>
      </c>
      <c r="F15" s="64" t="str">
        <f aca="false">IF(C15=0,"-",D15/C15)</f>
        <v>-</v>
      </c>
      <c r="G15" s="65" t="str">
        <f aca="false">IF(C15=0,"-",SUMIFS('CARGAR OPERACIONES'!$S$7:$S$506,'CARGAR OPERACIONES'!$H$7:$H$506,B15))</f>
        <v>-</v>
      </c>
      <c r="H15" s="66" t="str">
        <f aca="false">IF(C15=0,"-",IF(E15=0,99,SUMIFS('CARGAR OPERACIONES'!$S$7:$S$506,'CARGAR OPERACIONES'!$H$7:$H$506,B15,'CARGAR OPERACIONES'!$S$7:$S$506,"&gt;0")/-SUMIFS('CARGAR OPERACIONES'!$S$7:$S$506,'CARGAR OPERACIONES'!$H$7:$H$506,B15,'CARGAR OPERACIONES'!$S$7:$S$506,"&lt;=0")))</f>
        <v>-</v>
      </c>
      <c r="I15" s="65" t="str">
        <f aca="false">IF(C15=0,"-",G15/C15)</f>
        <v>-</v>
      </c>
    </row>
    <row r="16" customFormat="false" ht="15" hidden="false" customHeight="false" outlineLevel="0" collapsed="false">
      <c r="B16" s="69" t="s">
        <v>134</v>
      </c>
      <c r="C16" s="78" t="n">
        <f aca="false">COUNTIFS('CARGAR OPERACIONES'!$H$7:$H$506,B16)</f>
        <v>0</v>
      </c>
      <c r="D16" s="78" t="n">
        <f aca="false">COUNTIFS('CARGAR OPERACIONES'!$H$7:$H$506,B16,'CARGAR OPERACIONES'!$S$7:$S$506,"&gt;0")</f>
        <v>0</v>
      </c>
      <c r="E16" s="78" t="n">
        <f aca="false">COUNTIFS('CARGAR OPERACIONES'!$H$7:$H$506,B16,'CARGAR OPERACIONES'!$S$7:$S$506,"&lt;=0")</f>
        <v>0</v>
      </c>
      <c r="F16" s="74" t="str">
        <f aca="false">IF(C16=0,"-",D16/C16)</f>
        <v>-</v>
      </c>
      <c r="G16" s="75" t="str">
        <f aca="false">IF(C16=0,"-",SUMIFS('CARGAR OPERACIONES'!$S$7:$S$506,'CARGAR OPERACIONES'!$H$7:$H$506,B16))</f>
        <v>-</v>
      </c>
      <c r="H16" s="76" t="str">
        <f aca="false">IF(C16=0,"-",IF(E16=0,99,SUMIFS('CARGAR OPERACIONES'!$S$7:$S$506,'CARGAR OPERACIONES'!$H$7:$H$506,B16,'CARGAR OPERACIONES'!$S$7:$S$506,"&gt;0")/-SUMIFS('CARGAR OPERACIONES'!$S$7:$S$506,'CARGAR OPERACIONES'!$H$7:$H$506,B16,'CARGAR OPERACIONES'!$S$7:$S$506,"&lt;=0")))</f>
        <v>-</v>
      </c>
      <c r="I16" s="75" t="str">
        <f aca="false">IF(C16=0,"-",G16/C16)</f>
        <v>-</v>
      </c>
    </row>
    <row r="17" customFormat="false" ht="15" hidden="false" customHeight="false" outlineLevel="0" collapsed="false">
      <c r="B17" s="59" t="s">
        <v>135</v>
      </c>
      <c r="C17" s="68" t="n">
        <f aca="false">COUNTIFS('CARGAR OPERACIONES'!$H$7:$H$506,B17)</f>
        <v>0</v>
      </c>
      <c r="D17" s="68" t="n">
        <f aca="false">COUNTIFS('CARGAR OPERACIONES'!$H$7:$H$506,B17,'CARGAR OPERACIONES'!$S$7:$S$506,"&gt;0")</f>
        <v>0</v>
      </c>
      <c r="E17" s="68" t="n">
        <f aca="false">COUNTIFS('CARGAR OPERACIONES'!$H$7:$H$506,B17,'CARGAR OPERACIONES'!$S$7:$S$506,"&lt;=0")</f>
        <v>0</v>
      </c>
      <c r="F17" s="64" t="str">
        <f aca="false">IF(C17=0,"-",D17/C17)</f>
        <v>-</v>
      </c>
      <c r="G17" s="65" t="str">
        <f aca="false">IF(C17=0,"-",SUMIFS('CARGAR OPERACIONES'!$S$7:$S$506,'CARGAR OPERACIONES'!$H$7:$H$506,B17))</f>
        <v>-</v>
      </c>
      <c r="H17" s="66" t="str">
        <f aca="false">IF(C17=0,"-",IF(E17=0,99,SUMIFS('CARGAR OPERACIONES'!$S$7:$S$506,'CARGAR OPERACIONES'!$H$7:$H$506,B17,'CARGAR OPERACIONES'!$S$7:$S$506,"&gt;0")/-SUMIFS('CARGAR OPERACIONES'!$S$7:$S$506,'CARGAR OPERACIONES'!$H$7:$H$506,B17,'CARGAR OPERACIONES'!$S$7:$S$506,"&lt;=0")))</f>
        <v>-</v>
      </c>
      <c r="I17" s="65" t="str">
        <f aca="false">IF(C17=0,"-",G17/C17)</f>
        <v>-</v>
      </c>
    </row>
    <row r="18" customFormat="false" ht="15" hidden="false" customHeight="false" outlineLevel="0" collapsed="false">
      <c r="B18" s="69" t="s">
        <v>136</v>
      </c>
      <c r="C18" s="78" t="n">
        <f aca="false">COUNTIFS('CARGAR OPERACIONES'!$H$7:$H$506,B18)</f>
        <v>0</v>
      </c>
      <c r="D18" s="78" t="n">
        <f aca="false">COUNTIFS('CARGAR OPERACIONES'!$H$7:$H$506,B18,'CARGAR OPERACIONES'!$S$7:$S$506,"&gt;0")</f>
        <v>0</v>
      </c>
      <c r="E18" s="78" t="n">
        <f aca="false">COUNTIFS('CARGAR OPERACIONES'!$H$7:$H$506,B18,'CARGAR OPERACIONES'!$S$7:$S$506,"&lt;=0")</f>
        <v>0</v>
      </c>
      <c r="F18" s="74" t="str">
        <f aca="false">IF(C18=0,"-",D18/C18)</f>
        <v>-</v>
      </c>
      <c r="G18" s="75" t="str">
        <f aca="false">IF(C18=0,"-",SUMIFS('CARGAR OPERACIONES'!$S$7:$S$506,'CARGAR OPERACIONES'!$H$7:$H$506,B18))</f>
        <v>-</v>
      </c>
      <c r="H18" s="76" t="str">
        <f aca="false">IF(C18=0,"-",IF(E18=0,99,SUMIFS('CARGAR OPERACIONES'!$S$7:$S$506,'CARGAR OPERACIONES'!$H$7:$H$506,B18,'CARGAR OPERACIONES'!$S$7:$S$506,"&gt;0")/-SUMIFS('CARGAR OPERACIONES'!$S$7:$S$506,'CARGAR OPERACIONES'!$H$7:$H$506,B18,'CARGAR OPERACIONES'!$S$7:$S$506,"&lt;=0")))</f>
        <v>-</v>
      </c>
      <c r="I18" s="75" t="str">
        <f aca="false">IF(C18=0,"-",G18/C18)</f>
        <v>-</v>
      </c>
    </row>
    <row r="20" customFormat="false" ht="16.15" hidden="false" customHeight="false" outlineLevel="0" collapsed="false">
      <c r="B20" s="48" t="s">
        <v>137</v>
      </c>
      <c r="C20" s="49"/>
      <c r="D20" s="49"/>
      <c r="E20" s="49"/>
      <c r="F20" s="49"/>
      <c r="G20" s="49"/>
      <c r="H20" s="49"/>
      <c r="I20" s="49"/>
    </row>
    <row r="21" customFormat="false" ht="31.5" hidden="false" customHeight="true" outlineLevel="0" collapsed="false">
      <c r="B21" s="50" t="s">
        <v>84</v>
      </c>
      <c r="C21" s="50" t="s">
        <v>106</v>
      </c>
      <c r="D21" s="50" t="s">
        <v>126</v>
      </c>
      <c r="E21" s="50" t="s">
        <v>127</v>
      </c>
      <c r="F21" s="50" t="s">
        <v>100</v>
      </c>
      <c r="G21" s="50" t="s">
        <v>74</v>
      </c>
      <c r="H21" s="50" t="s">
        <v>36</v>
      </c>
      <c r="I21" s="50" t="s">
        <v>102</v>
      </c>
    </row>
    <row r="22" customFormat="false" ht="15" hidden="false" customHeight="false" outlineLevel="0" collapsed="false">
      <c r="B22" s="59" t="s">
        <v>138</v>
      </c>
      <c r="C22" s="68" t="n">
        <f aca="false">COUNTIFS('CARGAR OPERACIONES'!$AC$7:$AC$506,B22)</f>
        <v>4</v>
      </c>
      <c r="D22" s="68" t="n">
        <f aca="false">COUNTIFS('CARGAR OPERACIONES'!$AC$7:$AC$506,B22,'CARGAR OPERACIONES'!$S$7:$S$506,"&gt;0")</f>
        <v>1</v>
      </c>
      <c r="E22" s="68" t="n">
        <f aca="false">COUNTIFS('CARGAR OPERACIONES'!$AC$7:$AC$506,B22,'CARGAR OPERACIONES'!$S$7:$S$506,"&lt;=0")</f>
        <v>3</v>
      </c>
      <c r="F22" s="64" t="n">
        <f aca="false">IF(C22=0,"-",D22/C22)</f>
        <v>0.25</v>
      </c>
      <c r="G22" s="65" t="n">
        <f aca="false">IF(C22=0,"-",SUMIFS('CARGAR OPERACIONES'!$S$7:$S$506,'CARGAR OPERACIONES'!$AC$7:$AC$506,B22))</f>
        <v>-186.8</v>
      </c>
      <c r="H22" s="66" t="n">
        <f aca="false">IF(C22=0,"-",IF(E22=0,99,SUMIFS('CARGAR OPERACIONES'!$S$7:$S$506,'CARGAR OPERACIONES'!$AC$7:$AC$506,B22,'CARGAR OPERACIONES'!$S$7:$S$506,"&gt;0")/-SUMIFS('CARGAR OPERACIONES'!$S$7:$S$506,'CARGAR OPERACIONES'!$AC$7:$AC$506,B22,'CARGAR OPERACIONES'!$S$7:$S$506,"&lt;=0")))</f>
        <v>0.608877721943049</v>
      </c>
      <c r="I22" s="65" t="n">
        <f aca="false">IF(C22=0,"-",G22/C22)</f>
        <v>-46.7</v>
      </c>
    </row>
    <row r="23" customFormat="false" ht="15" hidden="false" customHeight="false" outlineLevel="0" collapsed="false">
      <c r="B23" s="69" t="s">
        <v>139</v>
      </c>
      <c r="C23" s="78" t="n">
        <f aca="false">COUNTIFS('CARGAR OPERACIONES'!$AC$7:$AC$506,B23)</f>
        <v>1</v>
      </c>
      <c r="D23" s="78" t="n">
        <f aca="false">COUNTIFS('CARGAR OPERACIONES'!$AC$7:$AC$506,B23,'CARGAR OPERACIONES'!$S$7:$S$506,"&gt;0")</f>
        <v>0</v>
      </c>
      <c r="E23" s="78" t="n">
        <f aca="false">COUNTIFS('CARGAR OPERACIONES'!$AC$7:$AC$506,B23,'CARGAR OPERACIONES'!$S$7:$S$506,"&lt;=0")</f>
        <v>1</v>
      </c>
      <c r="F23" s="74" t="n">
        <f aca="false">IF(C23=0,"-",D23/C23)</f>
        <v>0</v>
      </c>
      <c r="G23" s="75" t="n">
        <f aca="false">IF(C23=0,"-",SUMIFS('CARGAR OPERACIONES'!$S$7:$S$506,'CARGAR OPERACIONES'!$AC$7:$AC$506,B23))</f>
        <v>-155.52</v>
      </c>
      <c r="H23" s="76" t="n">
        <f aca="false">IF(C23=0,"-",IF(E23=0,99,SUMIFS('CARGAR OPERACIONES'!$S$7:$S$506,'CARGAR OPERACIONES'!$AC$7:$AC$506,B23,'CARGAR OPERACIONES'!$S$7:$S$506,"&gt;0")/-SUMIFS('CARGAR OPERACIONES'!$S$7:$S$506,'CARGAR OPERACIONES'!$AC$7:$AC$506,B23,'CARGAR OPERACIONES'!$S$7:$S$506,"&lt;=0")))</f>
        <v>0</v>
      </c>
      <c r="I23" s="75" t="n">
        <f aca="false">IF(C23=0,"-",G23/C23)</f>
        <v>-155.52</v>
      </c>
    </row>
    <row r="24" customFormat="false" ht="15" hidden="false" customHeight="false" outlineLevel="0" collapsed="false">
      <c r="B24" s="59" t="s">
        <v>140</v>
      </c>
      <c r="C24" s="68" t="n">
        <f aca="false">COUNTIFS('CARGAR OPERACIONES'!$AC$7:$AC$506,B24)</f>
        <v>3</v>
      </c>
      <c r="D24" s="68" t="n">
        <f aca="false">COUNTIFS('CARGAR OPERACIONES'!$AC$7:$AC$506,B24,'CARGAR OPERACIONES'!$S$7:$S$506,"&gt;0")</f>
        <v>2</v>
      </c>
      <c r="E24" s="68" t="n">
        <f aca="false">COUNTIFS('CARGAR OPERACIONES'!$AC$7:$AC$506,B24,'CARGAR OPERACIONES'!$S$7:$S$506,"&lt;=0")</f>
        <v>1</v>
      </c>
      <c r="F24" s="64" t="n">
        <f aca="false">IF(C24=0,"-",D24/C24)</f>
        <v>0.666666666666667</v>
      </c>
      <c r="G24" s="65" t="n">
        <f aca="false">IF(C24=0,"-",SUMIFS('CARGAR OPERACIONES'!$S$7:$S$506,'CARGAR OPERACIONES'!$AC$7:$AC$506,B24))</f>
        <v>422.4</v>
      </c>
      <c r="H24" s="66" t="n">
        <f aca="false">IF(C24=0,"-",IF(E24=0,99,SUMIFS('CARGAR OPERACIONES'!$S$7:$S$506,'CARGAR OPERACIONES'!$AC$7:$AC$506,B24,'CARGAR OPERACIONES'!$S$7:$S$506,"&gt;0")/-SUMIFS('CARGAR OPERACIONES'!$S$7:$S$506,'CARGAR OPERACIONES'!$AC$7:$AC$506,B24,'CARGAR OPERACIONES'!$S$7:$S$506,"&lt;=0")))</f>
        <v>3.65326633165829</v>
      </c>
      <c r="I24" s="65" t="n">
        <f aca="false">IF(C24=0,"-",G24/C24)</f>
        <v>140.8</v>
      </c>
    </row>
    <row r="25" customFormat="false" ht="15" hidden="false" customHeight="false" outlineLevel="0" collapsed="false">
      <c r="B25" s="69" t="s">
        <v>141</v>
      </c>
      <c r="C25" s="78" t="n">
        <f aca="false">COUNTIFS('CARGAR OPERACIONES'!$AC$7:$AC$506,B25)</f>
        <v>4</v>
      </c>
      <c r="D25" s="78" t="n">
        <f aca="false">COUNTIFS('CARGAR OPERACIONES'!$AC$7:$AC$506,B25,'CARGAR OPERACIONES'!$S$7:$S$506,"&gt;0")</f>
        <v>1</v>
      </c>
      <c r="E25" s="78" t="n">
        <f aca="false">COUNTIFS('CARGAR OPERACIONES'!$AC$7:$AC$506,B25,'CARGAR OPERACIONES'!$S$7:$S$506,"&lt;=0")</f>
        <v>3</v>
      </c>
      <c r="F25" s="74" t="n">
        <f aca="false">IF(C25=0,"-",D25/C25)</f>
        <v>0.25</v>
      </c>
      <c r="G25" s="75" t="n">
        <f aca="false">IF(C25=0,"-",SUMIFS('CARGAR OPERACIONES'!$S$7:$S$506,'CARGAR OPERACIONES'!$AC$7:$AC$506,B25))</f>
        <v>-183.12</v>
      </c>
      <c r="H25" s="76" t="n">
        <f aca="false">IF(C25=0,"-",IF(E25=0,99,SUMIFS('CARGAR OPERACIONES'!$S$7:$S$506,'CARGAR OPERACIONES'!$AC$7:$AC$506,B25,'CARGAR OPERACIONES'!$S$7:$S$506,"&gt;0")/-SUMIFS('CARGAR OPERACIONES'!$S$7:$S$506,'CARGAR OPERACIONES'!$AC$7:$AC$506,B25,'CARGAR OPERACIONES'!$S$7:$S$506,"&lt;=0")))</f>
        <v>0.616582914572864</v>
      </c>
      <c r="I25" s="75" t="n">
        <f aca="false">IF(C25=0,"-",G25/C25)</f>
        <v>-45.78</v>
      </c>
    </row>
    <row r="26" customFormat="false" ht="15" hidden="false" customHeight="false" outlineLevel="0" collapsed="false">
      <c r="B26" s="59" t="s">
        <v>142</v>
      </c>
      <c r="C26" s="68" t="n">
        <f aca="false">COUNTIFS('CARGAR OPERACIONES'!$AC$7:$AC$506,B26)</f>
        <v>4</v>
      </c>
      <c r="D26" s="68" t="n">
        <f aca="false">COUNTIFS('CARGAR OPERACIONES'!$AC$7:$AC$506,B26,'CARGAR OPERACIONES'!$S$7:$S$506,"&gt;0")</f>
        <v>2</v>
      </c>
      <c r="E26" s="68" t="n">
        <f aca="false">COUNTIFS('CARGAR OPERACIONES'!$AC$7:$AC$506,B26,'CARGAR OPERACIONES'!$S$7:$S$506,"&lt;=0")</f>
        <v>2</v>
      </c>
      <c r="F26" s="64" t="n">
        <f aca="false">IF(C26=0,"-",D26/C26)</f>
        <v>0.5</v>
      </c>
      <c r="G26" s="65" t="n">
        <f aca="false">IF(C26=0,"-",SUMIFS('CARGAR OPERACIONES'!$S$7:$S$506,'CARGAR OPERACIONES'!$AC$7:$AC$506,B26))</f>
        <v>266.88</v>
      </c>
      <c r="H26" s="66" t="n">
        <f aca="false">IF(C26=0,"-",IF(E26=0,99,SUMIFS('CARGAR OPERACIONES'!$S$7:$S$506,'CARGAR OPERACIONES'!$AC$7:$AC$506,B26,'CARGAR OPERACIONES'!$S$7:$S$506,"&gt;0")/-SUMIFS('CARGAR OPERACIONES'!$S$7:$S$506,'CARGAR OPERACIONES'!$AC$7:$AC$506,B26,'CARGAR OPERACIONES'!$S$7:$S$506,"&lt;=0")))</f>
        <v>1.83819095477387</v>
      </c>
      <c r="I26" s="65" t="n">
        <f aca="false">IF(C26=0,"-",G26/C26)</f>
        <v>66.72</v>
      </c>
    </row>
    <row r="28" customFormat="false" ht="16.15" hidden="false" customHeight="false" outlineLevel="0" collapsed="false">
      <c r="B28" s="48" t="s">
        <v>143</v>
      </c>
      <c r="C28" s="49"/>
      <c r="D28" s="49"/>
      <c r="E28" s="49"/>
      <c r="F28" s="49"/>
      <c r="G28" s="49"/>
      <c r="H28" s="49"/>
      <c r="I28" s="49"/>
    </row>
    <row r="29" customFormat="false" ht="31.5" hidden="false" customHeight="true" outlineLevel="0" collapsed="false">
      <c r="B29" s="50" t="s">
        <v>144</v>
      </c>
      <c r="C29" s="50" t="s">
        <v>106</v>
      </c>
      <c r="D29" s="50" t="s">
        <v>126</v>
      </c>
      <c r="E29" s="50" t="s">
        <v>127</v>
      </c>
      <c r="F29" s="50" t="s">
        <v>100</v>
      </c>
      <c r="G29" s="50" t="s">
        <v>74</v>
      </c>
      <c r="H29" s="50" t="s">
        <v>36</v>
      </c>
      <c r="I29" s="50" t="s">
        <v>102</v>
      </c>
    </row>
    <row r="30" customFormat="false" ht="15" hidden="false" customHeight="false" outlineLevel="0" collapsed="false">
      <c r="B30" s="59" t="n">
        <v>9</v>
      </c>
      <c r="C30" s="68" t="n">
        <f aca="false">COUNTIFS('CARGAR OPERACIONES'!$AD$7:$AD$506,B30)</f>
        <v>0</v>
      </c>
      <c r="D30" s="68" t="n">
        <f aca="false">COUNTIFS('CARGAR OPERACIONES'!$AD$7:$AD$506,B30,'CARGAR OPERACIONES'!$S$7:$S$506,"&gt;0")</f>
        <v>0</v>
      </c>
      <c r="E30" s="68" t="n">
        <f aca="false">COUNTIFS('CARGAR OPERACIONES'!$AD$7:$AD$506,B30,'CARGAR OPERACIONES'!$S$7:$S$506,"&lt;=0")</f>
        <v>0</v>
      </c>
      <c r="F30" s="64" t="str">
        <f aca="false">IF(C30=0,"-",D30/C30)</f>
        <v>-</v>
      </c>
      <c r="G30" s="65" t="str">
        <f aca="false">IF(C30=0,"-",SUMIFS('CARGAR OPERACIONES'!$S$7:$S$506,'CARGAR OPERACIONES'!$AD$7:$AD$506,B30))</f>
        <v>-</v>
      </c>
      <c r="H30" s="66" t="str">
        <f aca="false">IF(C30=0,"-",IF(E30=0,99,SUMIFS('CARGAR OPERACIONES'!$S$7:$S$506,'CARGAR OPERACIONES'!$AD$7:$AD$506,B30,'CARGAR OPERACIONES'!$S$7:$S$506,"&gt;0")/-SUMIFS('CARGAR OPERACIONES'!$S$7:$S$506,'CARGAR OPERACIONES'!$AD$7:$AD$506,B30,'CARGAR OPERACIONES'!$S$7:$S$506,"&lt;=0")))</f>
        <v>-</v>
      </c>
      <c r="I30" s="65" t="str">
        <f aca="false">IF(C30=0,"-",G30/C30)</f>
        <v>-</v>
      </c>
    </row>
    <row r="31" customFormat="false" ht="15" hidden="false" customHeight="false" outlineLevel="0" collapsed="false">
      <c r="B31" s="69" t="n">
        <v>10</v>
      </c>
      <c r="C31" s="78" t="n">
        <f aca="false">COUNTIFS('CARGAR OPERACIONES'!$AD$7:$AD$506,B31)</f>
        <v>3</v>
      </c>
      <c r="D31" s="78" t="n">
        <f aca="false">COUNTIFS('CARGAR OPERACIONES'!$AD$7:$AD$506,B31,'CARGAR OPERACIONES'!$S$7:$S$506,"&gt;0")</f>
        <v>1</v>
      </c>
      <c r="E31" s="78" t="n">
        <f aca="false">COUNTIFS('CARGAR OPERACIONES'!$AD$7:$AD$506,B31,'CARGAR OPERACIONES'!$S$7:$S$506,"&lt;=0")</f>
        <v>2</v>
      </c>
      <c r="F31" s="74" t="n">
        <f aca="false">IF(C31=0,"-",D31/C31)</f>
        <v>0.333333333333333</v>
      </c>
      <c r="G31" s="75" t="n">
        <f aca="false">IF(C31=0,"-",SUMIFS('CARGAR OPERACIONES'!$S$7:$S$506,'CARGAR OPERACIONES'!$AD$7:$AD$506,B31))</f>
        <v>-23.92</v>
      </c>
      <c r="H31" s="76" t="n">
        <f aca="false">IF(C31=0,"-",IF(E31=0,99,SUMIFS('CARGAR OPERACIONES'!$S$7:$S$506,'CARGAR OPERACIONES'!$AD$7:$AD$506,B31,'CARGAR OPERACIONES'!$S$7:$S$506,"&gt;0")/-SUMIFS('CARGAR OPERACIONES'!$S$7:$S$506,'CARGAR OPERACIONES'!$AD$7:$AD$506,B31,'CARGAR OPERACIONES'!$S$7:$S$506,"&lt;=0")))</f>
        <v>0.924874371859297</v>
      </c>
      <c r="I31" s="75" t="n">
        <f aca="false">IF(C31=0,"-",G31/C31)</f>
        <v>-7.97333333333332</v>
      </c>
    </row>
    <row r="32" customFormat="false" ht="15" hidden="false" customHeight="false" outlineLevel="0" collapsed="false">
      <c r="B32" s="59" t="n">
        <v>11</v>
      </c>
      <c r="C32" s="68" t="n">
        <f aca="false">COUNTIFS('CARGAR OPERACIONES'!$AD$7:$AD$506,B32)</f>
        <v>7</v>
      </c>
      <c r="D32" s="68" t="n">
        <f aca="false">COUNTIFS('CARGAR OPERACIONES'!$AD$7:$AD$506,B32,'CARGAR OPERACIONES'!$S$7:$S$506,"&gt;0")</f>
        <v>4</v>
      </c>
      <c r="E32" s="68" t="n">
        <f aca="false">COUNTIFS('CARGAR OPERACIONES'!$AD$7:$AD$506,B32,'CARGAR OPERACIONES'!$S$7:$S$506,"&lt;=0")</f>
        <v>3</v>
      </c>
      <c r="F32" s="64" t="n">
        <f aca="false">IF(C32=0,"-",D32/C32)</f>
        <v>0.571428571428571</v>
      </c>
      <c r="G32" s="65" t="n">
        <f aca="false">IF(C32=0,"-",SUMIFS('CARGAR OPERACIONES'!$S$7:$S$506,'CARGAR OPERACIONES'!$AD$7:$AD$506,B32))</f>
        <v>689.28</v>
      </c>
      <c r="H32" s="66" t="n">
        <f aca="false">IF(C32=0,"-",IF(E32=0,99,SUMIFS('CARGAR OPERACIONES'!$S$7:$S$506,'CARGAR OPERACIONES'!$AD$7:$AD$506,B32,'CARGAR OPERACIONES'!$S$7:$S$506,"&gt;0")/-SUMIFS('CARGAR OPERACIONES'!$S$7:$S$506,'CARGAR OPERACIONES'!$AD$7:$AD$506,B32,'CARGAR OPERACIONES'!$S$7:$S$506,"&lt;=0")))</f>
        <v>2.44321608040201</v>
      </c>
      <c r="I32" s="65" t="n">
        <f aca="false">IF(C32=0,"-",G32/C32)</f>
        <v>98.4685714285714</v>
      </c>
    </row>
    <row r="33" customFormat="false" ht="15" hidden="false" customHeight="false" outlineLevel="0" collapsed="false">
      <c r="B33" s="69" t="n">
        <v>12</v>
      </c>
      <c r="C33" s="78" t="n">
        <f aca="false">COUNTIFS('CARGAR OPERACIONES'!$AD$7:$AD$506,B33)</f>
        <v>5</v>
      </c>
      <c r="D33" s="78" t="n">
        <f aca="false">COUNTIFS('CARGAR OPERACIONES'!$AD$7:$AD$506,B33,'CARGAR OPERACIONES'!$S$7:$S$506,"&gt;0")</f>
        <v>1</v>
      </c>
      <c r="E33" s="78" t="n">
        <f aca="false">COUNTIFS('CARGAR OPERACIONES'!$AD$7:$AD$506,B33,'CARGAR OPERACIONES'!$S$7:$S$506,"&lt;=0")</f>
        <v>4</v>
      </c>
      <c r="F33" s="74" t="n">
        <f aca="false">IF(C33=0,"-",D33/C33)</f>
        <v>0.2</v>
      </c>
      <c r="G33" s="75" t="n">
        <f aca="false">IF(C33=0,"-",SUMIFS('CARGAR OPERACIONES'!$S$7:$S$506,'CARGAR OPERACIONES'!$AD$7:$AD$506,B33))</f>
        <v>-342.32</v>
      </c>
      <c r="H33" s="76" t="n">
        <f aca="false">IF(C33=0,"-",IF(E33=0,99,SUMIFS('CARGAR OPERACIONES'!$S$7:$S$506,'CARGAR OPERACIONES'!$AD$7:$AD$506,B33,'CARGAR OPERACIONES'!$S$7:$S$506,"&gt;0")/-SUMIFS('CARGAR OPERACIONES'!$S$7:$S$506,'CARGAR OPERACIONES'!$AD$7:$AD$506,B33,'CARGAR OPERACIONES'!$S$7:$S$506,"&lt;=0")))</f>
        <v>0.459312610563558</v>
      </c>
      <c r="I33" s="75" t="n">
        <f aca="false">IF(C33=0,"-",G33/C33)</f>
        <v>-68.464</v>
      </c>
    </row>
    <row r="34" customFormat="false" ht="15" hidden="false" customHeight="false" outlineLevel="0" collapsed="false">
      <c r="B34" s="59" t="n">
        <v>13</v>
      </c>
      <c r="C34" s="68" t="n">
        <f aca="false">COUNTIFS('CARGAR OPERACIONES'!$AD$7:$AD$506,B34)</f>
        <v>1</v>
      </c>
      <c r="D34" s="68" t="n">
        <f aca="false">COUNTIFS('CARGAR OPERACIONES'!$AD$7:$AD$506,B34,'CARGAR OPERACIONES'!$S$7:$S$506,"&gt;0")</f>
        <v>0</v>
      </c>
      <c r="E34" s="68" t="n">
        <f aca="false">COUNTIFS('CARGAR OPERACIONES'!$AD$7:$AD$506,B34,'CARGAR OPERACIONES'!$S$7:$S$506,"&lt;=0")</f>
        <v>1</v>
      </c>
      <c r="F34" s="64" t="n">
        <f aca="false">IF(C34=0,"-",D34/C34)</f>
        <v>0</v>
      </c>
      <c r="G34" s="65" t="n">
        <f aca="false">IF(C34=0,"-",SUMIFS('CARGAR OPERACIONES'!$S$7:$S$506,'CARGAR OPERACIONES'!$AD$7:$AD$506,B34))</f>
        <v>-159.2</v>
      </c>
      <c r="H34" s="66" t="n">
        <f aca="false">IF(C34=0,"-",IF(E34=0,99,SUMIFS('CARGAR OPERACIONES'!$S$7:$S$506,'CARGAR OPERACIONES'!$AD$7:$AD$506,B34,'CARGAR OPERACIONES'!$S$7:$S$506,"&gt;0")/-SUMIFS('CARGAR OPERACIONES'!$S$7:$S$506,'CARGAR OPERACIONES'!$AD$7:$AD$506,B34,'CARGAR OPERACIONES'!$S$7:$S$506,"&lt;=0")))</f>
        <v>0</v>
      </c>
      <c r="I34" s="65" t="n">
        <f aca="false">IF(C34=0,"-",G34/C34)</f>
        <v>-159.2</v>
      </c>
    </row>
    <row r="35" customFormat="false" ht="15" hidden="false" customHeight="false" outlineLevel="0" collapsed="false">
      <c r="B35" s="69" t="n">
        <v>14</v>
      </c>
      <c r="C35" s="78" t="n">
        <f aca="false">COUNTIFS('CARGAR OPERACIONES'!$AD$7:$AD$506,B35)</f>
        <v>0</v>
      </c>
      <c r="D35" s="78" t="n">
        <f aca="false">COUNTIFS('CARGAR OPERACIONES'!$AD$7:$AD$506,B35,'CARGAR OPERACIONES'!$S$7:$S$506,"&gt;0")</f>
        <v>0</v>
      </c>
      <c r="E35" s="78" t="n">
        <f aca="false">COUNTIFS('CARGAR OPERACIONES'!$AD$7:$AD$506,B35,'CARGAR OPERACIONES'!$S$7:$S$506,"&lt;=0")</f>
        <v>0</v>
      </c>
      <c r="F35" s="74" t="str">
        <f aca="false">IF(C35=0,"-",D35/C35)</f>
        <v>-</v>
      </c>
      <c r="G35" s="75" t="str">
        <f aca="false">IF(C35=0,"-",SUMIFS('CARGAR OPERACIONES'!$S$7:$S$506,'CARGAR OPERACIONES'!$AD$7:$AD$506,B35))</f>
        <v>-</v>
      </c>
      <c r="H35" s="76" t="str">
        <f aca="false">IF(C35=0,"-",IF(E35=0,99,SUMIFS('CARGAR OPERACIONES'!$S$7:$S$506,'CARGAR OPERACIONES'!$AD$7:$AD$506,B35,'CARGAR OPERACIONES'!$S$7:$S$506,"&gt;0")/-SUMIFS('CARGAR OPERACIONES'!$S$7:$S$506,'CARGAR OPERACIONES'!$AD$7:$AD$506,B35,'CARGAR OPERACIONES'!$S$7:$S$506,"&lt;=0")))</f>
        <v>-</v>
      </c>
      <c r="I35" s="75" t="str">
        <f aca="false">IF(C35=0,"-",G35/C35)</f>
        <v>-</v>
      </c>
    </row>
    <row r="37" customFormat="false" ht="16.15" hidden="false" customHeight="false" outlineLevel="0" collapsed="false">
      <c r="B37" s="48" t="s">
        <v>145</v>
      </c>
      <c r="C37" s="49"/>
      <c r="D37" s="49"/>
      <c r="E37" s="49"/>
      <c r="F37" s="49"/>
      <c r="G37" s="49"/>
      <c r="H37" s="49"/>
      <c r="I37" s="49"/>
    </row>
    <row r="38" customFormat="false" ht="31.5" hidden="false" customHeight="true" outlineLevel="0" collapsed="false">
      <c r="B38" s="50" t="s">
        <v>67</v>
      </c>
      <c r="C38" s="50" t="s">
        <v>106</v>
      </c>
      <c r="D38" s="50" t="s">
        <v>126</v>
      </c>
      <c r="E38" s="50" t="s">
        <v>127</v>
      </c>
      <c r="F38" s="50" t="s">
        <v>100</v>
      </c>
      <c r="G38" s="50" t="s">
        <v>74</v>
      </c>
      <c r="H38" s="50" t="s">
        <v>36</v>
      </c>
      <c r="I38" s="50" t="s">
        <v>102</v>
      </c>
    </row>
    <row r="39" customFormat="false" ht="15" hidden="false" customHeight="false" outlineLevel="0" collapsed="false">
      <c r="B39" s="59" t="s">
        <v>92</v>
      </c>
      <c r="C39" s="68" t="n">
        <f aca="false">COUNTIFS('CARGAR OPERACIONES'!$L$7:$L$506,B39)</f>
        <v>15</v>
      </c>
      <c r="D39" s="68" t="n">
        <f aca="false">COUNTIFS('CARGAR OPERACIONES'!$L$7:$L$506,B39,'CARGAR OPERACIONES'!$S$7:$S$506,"&gt;0")</f>
        <v>6</v>
      </c>
      <c r="E39" s="68" t="n">
        <f aca="false">COUNTIFS('CARGAR OPERACIONES'!$L$7:$L$506,B39,'CARGAR OPERACIONES'!$S$7:$S$506,"&lt;=0")</f>
        <v>9</v>
      </c>
      <c r="F39" s="64" t="n">
        <f aca="false">IF(C39=0,"-",D39/C39)</f>
        <v>0.4</v>
      </c>
      <c r="G39" s="65" t="n">
        <f aca="false">IF(C39=0,"-",SUMIFS('CARGAR OPERACIONES'!$S$7:$S$506,'CARGAR OPERACIONES'!$L$7:$L$506,B39))</f>
        <v>323.04</v>
      </c>
      <c r="H39" s="66" t="n">
        <f aca="false">IF(C39=0,"-",IF(E39=0,99,SUMIFS('CARGAR OPERACIONES'!$S$7:$S$506,'CARGAR OPERACIONES'!$L$7:$L$506,B39,'CARGAR OPERACIONES'!$S$7:$S$506,"&gt;0")/-SUMIFS('CARGAR OPERACIONES'!$S$7:$S$506,'CARGAR OPERACIONES'!$L$7:$L$506,B39,'CARGAR OPERACIONES'!$S$7:$S$506,"&lt;=0")))</f>
        <v>1.22604120017913</v>
      </c>
      <c r="I39" s="65" t="n">
        <f aca="false">IF(C39=0,"-",G39/C39)</f>
        <v>21.536</v>
      </c>
    </row>
    <row r="40" customFormat="false" ht="15" hidden="false" customHeight="false" outlineLevel="0" collapsed="false">
      <c r="B40" s="69" t="s">
        <v>95</v>
      </c>
      <c r="C40" s="78" t="n">
        <f aca="false">COUNTIFS('CARGAR OPERACIONES'!$L$7:$L$506,B40)</f>
        <v>1</v>
      </c>
      <c r="D40" s="78" t="n">
        <f aca="false">COUNTIFS('CARGAR OPERACIONES'!$L$7:$L$506,B40,'CARGAR OPERACIONES'!$S$7:$S$506,"&gt;0")</f>
        <v>0</v>
      </c>
      <c r="E40" s="78" t="n">
        <f aca="false">COUNTIFS('CARGAR OPERACIONES'!$L$7:$L$506,B40,'CARGAR OPERACIONES'!$S$7:$S$506,"&lt;=0")</f>
        <v>1</v>
      </c>
      <c r="F40" s="74" t="n">
        <f aca="false">IF(C40=0,"-",D40/C40)</f>
        <v>0</v>
      </c>
      <c r="G40" s="75" t="n">
        <f aca="false">IF(C40=0,"-",SUMIFS('CARGAR OPERACIONES'!$S$7:$S$506,'CARGAR OPERACIONES'!$L$7:$L$506,B40))</f>
        <v>-159.2</v>
      </c>
      <c r="H40" s="76" t="n">
        <f aca="false">IF(C40=0,"-",IF(E40=0,99,SUMIFS('CARGAR OPERACIONES'!$S$7:$S$506,'CARGAR OPERACIONES'!$L$7:$L$506,B40,'CARGAR OPERACIONES'!$S$7:$S$506,"&gt;0")/-SUMIFS('CARGAR OPERACIONES'!$S$7:$S$506,'CARGAR OPERACIONES'!$L$7:$L$506,B40,'CARGAR OPERACIONES'!$S$7:$S$506,"&lt;=0")))</f>
        <v>0</v>
      </c>
      <c r="I40" s="75" t="n">
        <f aca="false">IF(C40=0,"-",G40/C40)</f>
        <v>-159.2</v>
      </c>
    </row>
    <row r="42" customFormat="false" ht="16.15" hidden="false" customHeight="false" outlineLevel="0" collapsed="false">
      <c r="B42" s="48" t="s">
        <v>146</v>
      </c>
      <c r="C42" s="49"/>
      <c r="D42" s="49"/>
      <c r="E42" s="49"/>
      <c r="F42" s="49"/>
      <c r="G42" s="49"/>
      <c r="H42" s="49"/>
      <c r="I42" s="49"/>
    </row>
    <row r="43" customFormat="false" ht="31.5" hidden="false" customHeight="true" outlineLevel="0" collapsed="false">
      <c r="B43" s="50" t="s">
        <v>62</v>
      </c>
      <c r="C43" s="50" t="s">
        <v>106</v>
      </c>
      <c r="D43" s="50" t="s">
        <v>126</v>
      </c>
      <c r="E43" s="50" t="s">
        <v>127</v>
      </c>
      <c r="F43" s="50" t="s">
        <v>100</v>
      </c>
      <c r="G43" s="50" t="s">
        <v>74</v>
      </c>
      <c r="H43" s="50" t="s">
        <v>36</v>
      </c>
      <c r="I43" s="50" t="s">
        <v>102</v>
      </c>
    </row>
    <row r="44" customFormat="false" ht="15" hidden="false" customHeight="false" outlineLevel="0" collapsed="false">
      <c r="B44" s="59" t="n">
        <v>1</v>
      </c>
      <c r="C44" s="68" t="n">
        <f aca="false">COUNTIFS('CARGAR OPERACIONES'!$G$7:$G$506,B44)</f>
        <v>0</v>
      </c>
      <c r="D44" s="68" t="n">
        <f aca="false">COUNTIFS('CARGAR OPERACIONES'!$G$7:$G$506,B44,'CARGAR OPERACIONES'!$S$7:$S$506,"&gt;0")</f>
        <v>0</v>
      </c>
      <c r="E44" s="68" t="n">
        <f aca="false">COUNTIFS('CARGAR OPERACIONES'!$G$7:$G$506,B44,'CARGAR OPERACIONES'!$S$7:$S$506,"&lt;=0")</f>
        <v>0</v>
      </c>
      <c r="F44" s="64" t="str">
        <f aca="false">IF(C44=0,"-",D44/C44)</f>
        <v>-</v>
      </c>
      <c r="G44" s="65" t="str">
        <f aca="false">IF(C44=0,"-",SUMIFS('CARGAR OPERACIONES'!$S$7:$S$506,'CARGAR OPERACIONES'!$G$7:$G$506,B44))</f>
        <v>-</v>
      </c>
      <c r="H44" s="66" t="str">
        <f aca="false">IF(C44=0,"-",IF(E44=0,99,SUMIFS('CARGAR OPERACIONES'!$S$7:$S$506,'CARGAR OPERACIONES'!$G$7:$G$506,B44,'CARGAR OPERACIONES'!$S$7:$S$506,"&gt;0")/-SUMIFS('CARGAR OPERACIONES'!$S$7:$S$506,'CARGAR OPERACIONES'!$G$7:$G$506,B44,'CARGAR OPERACIONES'!$S$7:$S$506,"&lt;=0")))</f>
        <v>-</v>
      </c>
      <c r="I44" s="65" t="str">
        <f aca="false">IF(C44=0,"-",G44/C44)</f>
        <v>-</v>
      </c>
    </row>
    <row r="45" customFormat="false" ht="15" hidden="false" customHeight="false" outlineLevel="0" collapsed="false">
      <c r="B45" s="69" t="n">
        <v>2</v>
      </c>
      <c r="C45" s="78" t="n">
        <f aca="false">COUNTIFS('CARGAR OPERACIONES'!$G$7:$G$506,B45)</f>
        <v>0</v>
      </c>
      <c r="D45" s="78" t="n">
        <f aca="false">COUNTIFS('CARGAR OPERACIONES'!$G$7:$G$506,B45,'CARGAR OPERACIONES'!$S$7:$S$506,"&gt;0")</f>
        <v>0</v>
      </c>
      <c r="E45" s="78" t="n">
        <f aca="false">COUNTIFS('CARGAR OPERACIONES'!$G$7:$G$506,B45,'CARGAR OPERACIONES'!$S$7:$S$506,"&lt;=0")</f>
        <v>0</v>
      </c>
      <c r="F45" s="74" t="str">
        <f aca="false">IF(C45=0,"-",D45/C45)</f>
        <v>-</v>
      </c>
      <c r="G45" s="75" t="str">
        <f aca="false">IF(C45=0,"-",SUMIFS('CARGAR OPERACIONES'!$S$7:$S$506,'CARGAR OPERACIONES'!$G$7:$G$506,B45))</f>
        <v>-</v>
      </c>
      <c r="H45" s="76" t="str">
        <f aca="false">IF(C45=0,"-",IF(E45=0,99,SUMIFS('CARGAR OPERACIONES'!$S$7:$S$506,'CARGAR OPERACIONES'!$G$7:$G$506,B45,'CARGAR OPERACIONES'!$S$7:$S$506,"&gt;0")/-SUMIFS('CARGAR OPERACIONES'!$S$7:$S$506,'CARGAR OPERACIONES'!$G$7:$G$506,B45,'CARGAR OPERACIONES'!$S$7:$S$506,"&lt;=0")))</f>
        <v>-</v>
      </c>
      <c r="I45" s="75" t="str">
        <f aca="false">IF(C45=0,"-",G45/C45)</f>
        <v>-</v>
      </c>
    </row>
    <row r="46" customFormat="false" ht="15" hidden="false" customHeight="false" outlineLevel="0" collapsed="false">
      <c r="B46" s="59" t="n">
        <v>3</v>
      </c>
      <c r="C46" s="68" t="n">
        <f aca="false">COUNTIFS('CARGAR OPERACIONES'!$G$7:$G$506,B46)</f>
        <v>3</v>
      </c>
      <c r="D46" s="68" t="n">
        <f aca="false">COUNTIFS('CARGAR OPERACIONES'!$G$7:$G$506,B46,'CARGAR OPERACIONES'!$S$7:$S$506,"&gt;0")</f>
        <v>2</v>
      </c>
      <c r="E46" s="68" t="n">
        <f aca="false">COUNTIFS('CARGAR OPERACIONES'!$G$7:$G$506,B46,'CARGAR OPERACIONES'!$S$7:$S$506,"&lt;=0")</f>
        <v>1</v>
      </c>
      <c r="F46" s="64" t="n">
        <f aca="false">IF(C46=0,"-",D46/C46)</f>
        <v>0.666666666666667</v>
      </c>
      <c r="G46" s="65" t="n">
        <f aca="false">IF(C46=0,"-",SUMIFS('CARGAR OPERACIONES'!$S$7:$S$506,'CARGAR OPERACIONES'!$G$7:$G$506,B46))</f>
        <v>433.44</v>
      </c>
      <c r="H46" s="66" t="n">
        <f aca="false">IF(C46=0,"-",IF(E46=0,99,SUMIFS('CARGAR OPERACIONES'!$S$7:$S$506,'CARGAR OPERACIONES'!$G$7:$G$506,B46,'CARGAR OPERACIONES'!$S$7:$S$506,"&gt;0")/-SUMIFS('CARGAR OPERACIONES'!$S$7:$S$506,'CARGAR OPERACIONES'!$G$7:$G$506,B46,'CARGAR OPERACIONES'!$S$7:$S$506,"&lt;=0")))</f>
        <v>3.78703703703704</v>
      </c>
      <c r="I46" s="65" t="n">
        <f aca="false">IF(C46=0,"-",G46/C46)</f>
        <v>144.48</v>
      </c>
    </row>
    <row r="47" customFormat="false" ht="15" hidden="false" customHeight="false" outlineLevel="0" collapsed="false">
      <c r="B47" s="69" t="n">
        <v>4</v>
      </c>
      <c r="C47" s="78" t="n">
        <f aca="false">COUNTIFS('CARGAR OPERACIONES'!$G$7:$G$506,B47)</f>
        <v>0</v>
      </c>
      <c r="D47" s="78" t="n">
        <f aca="false">COUNTIFS('CARGAR OPERACIONES'!$G$7:$G$506,B47,'CARGAR OPERACIONES'!$S$7:$S$506,"&gt;0")</f>
        <v>0</v>
      </c>
      <c r="E47" s="78" t="n">
        <f aca="false">COUNTIFS('CARGAR OPERACIONES'!$G$7:$G$506,B47,'CARGAR OPERACIONES'!$S$7:$S$506,"&lt;=0")</f>
        <v>0</v>
      </c>
      <c r="F47" s="74" t="str">
        <f aca="false">IF(C47=0,"-",D47/C47)</f>
        <v>-</v>
      </c>
      <c r="G47" s="75" t="str">
        <f aca="false">IF(C47=0,"-",SUMIFS('CARGAR OPERACIONES'!$S$7:$S$506,'CARGAR OPERACIONES'!$G$7:$G$506,B47))</f>
        <v>-</v>
      </c>
      <c r="H47" s="76" t="str">
        <f aca="false">IF(C47=0,"-",IF(E47=0,99,SUMIFS('CARGAR OPERACIONES'!$S$7:$S$506,'CARGAR OPERACIONES'!$G$7:$G$506,B47,'CARGAR OPERACIONES'!$S$7:$S$506,"&gt;0")/-SUMIFS('CARGAR OPERACIONES'!$S$7:$S$506,'CARGAR OPERACIONES'!$G$7:$G$506,B47,'CARGAR OPERACIONES'!$S$7:$S$506,"&lt;=0")))</f>
        <v>-</v>
      </c>
      <c r="I47" s="75" t="str">
        <f aca="false">IF(C47=0,"-",G47/C47)</f>
        <v>-</v>
      </c>
    </row>
    <row r="48" customFormat="false" ht="15" hidden="false" customHeight="false" outlineLevel="0" collapsed="false">
      <c r="B48" s="59" t="n">
        <v>5</v>
      </c>
      <c r="C48" s="68" t="n">
        <f aca="false">COUNTIFS('CARGAR OPERACIONES'!$G$7:$G$506,B48)</f>
        <v>13</v>
      </c>
      <c r="D48" s="68" t="n">
        <f aca="false">COUNTIFS('CARGAR OPERACIONES'!$G$7:$G$506,B48,'CARGAR OPERACIONES'!$S$7:$S$506,"&gt;0")</f>
        <v>4</v>
      </c>
      <c r="E48" s="68" t="n">
        <f aca="false">COUNTIFS('CARGAR OPERACIONES'!$G$7:$G$506,B48,'CARGAR OPERACIONES'!$S$7:$S$506,"&lt;=0")</f>
        <v>9</v>
      </c>
      <c r="F48" s="64" t="n">
        <f aca="false">IF(C48=0,"-",D48/C48)</f>
        <v>0.307692307692308</v>
      </c>
      <c r="G48" s="65" t="n">
        <f aca="false">IF(C48=0,"-",SUMIFS('CARGAR OPERACIONES'!$S$7:$S$506,'CARGAR OPERACIONES'!$G$7:$G$506,B48))</f>
        <v>-269.6</v>
      </c>
      <c r="H48" s="66" t="n">
        <f aca="false">IF(C48=0,"-",IF(E48=0,99,SUMIFS('CARGAR OPERACIONES'!$S$7:$S$506,'CARGAR OPERACIONES'!$G$7:$G$506,B48,'CARGAR OPERACIONES'!$S$7:$S$506,"&gt;0")/-SUMIFS('CARGAR OPERACIONES'!$S$7:$S$506,'CARGAR OPERACIONES'!$G$7:$G$506,B48,'CARGAR OPERACIONES'!$S$7:$S$506,"&lt;=0")))</f>
        <v>0.811836962590732</v>
      </c>
      <c r="I48" s="65" t="n">
        <f aca="false">IF(C48=0,"-",G48/C48)</f>
        <v>-20.7384615384615</v>
      </c>
    </row>
    <row r="50" customFormat="false" ht="16.15" hidden="false" customHeight="false" outlineLevel="0" collapsed="false">
      <c r="B50" s="48" t="s">
        <v>147</v>
      </c>
      <c r="C50" s="49"/>
      <c r="D50" s="49"/>
      <c r="E50" s="49"/>
      <c r="F50" s="49"/>
      <c r="G50" s="49"/>
      <c r="H50" s="49"/>
      <c r="I50" s="49"/>
    </row>
    <row r="51" customFormat="false" ht="31.5" hidden="false" customHeight="true" outlineLevel="0" collapsed="false">
      <c r="B51" s="50" t="s">
        <v>60</v>
      </c>
      <c r="C51" s="50" t="s">
        <v>106</v>
      </c>
      <c r="D51" s="50" t="s">
        <v>126</v>
      </c>
      <c r="E51" s="50" t="s">
        <v>127</v>
      </c>
      <c r="F51" s="50" t="s">
        <v>100</v>
      </c>
      <c r="G51" s="50" t="s">
        <v>74</v>
      </c>
      <c r="H51" s="50" t="s">
        <v>36</v>
      </c>
      <c r="I51" s="50" t="s">
        <v>102</v>
      </c>
    </row>
    <row r="52" customFormat="false" ht="15" hidden="false" customHeight="false" outlineLevel="0" collapsed="false">
      <c r="B52" s="59" t="s">
        <v>89</v>
      </c>
      <c r="C52" s="68" t="n">
        <f aca="false">COUNTIFS('CARGAR OPERACIONES'!$E$7:$E$506,B52)</f>
        <v>16</v>
      </c>
      <c r="D52" s="68" t="n">
        <f aca="false">COUNTIFS('CARGAR OPERACIONES'!$E$7:$E$506,B52,'CARGAR OPERACIONES'!$S$7:$S$506,"&gt;0")</f>
        <v>6</v>
      </c>
      <c r="E52" s="68" t="n">
        <f aca="false">COUNTIFS('CARGAR OPERACIONES'!$E$7:$E$506,B52,'CARGAR OPERACIONES'!$S$7:$S$506,"&lt;=0")</f>
        <v>10</v>
      </c>
      <c r="F52" s="64" t="n">
        <f aca="false">IF(C52=0,"-",D52/C52)</f>
        <v>0.375</v>
      </c>
      <c r="G52" s="65" t="n">
        <f aca="false">IF(C52=0,"-",SUMIFS('CARGAR OPERACIONES'!$S$7:$S$506,'CARGAR OPERACIONES'!$E$7:$E$506,B52))</f>
        <v>163.84</v>
      </c>
      <c r="H52" s="66" t="n">
        <f aca="false">IF(C52=0,"-",IF(E52=0,99,SUMIFS('CARGAR OPERACIONES'!$S$7:$S$506,'CARGAR OPERACIONES'!$E$7:$E$506,B52,'CARGAR OPERACIONES'!$S$7:$S$506,"&gt;0")/-SUMIFS('CARGAR OPERACIONES'!$S$7:$S$506,'CARGAR OPERACIONES'!$E$7:$E$506,B52,'CARGAR OPERACIONES'!$S$7:$S$506,"&lt;=0")))</f>
        <v>1.10315301702428</v>
      </c>
      <c r="I52" s="65" t="n">
        <f aca="false">IF(C52=0,"-",G52/C52)</f>
        <v>10.24</v>
      </c>
    </row>
    <row r="53" customFormat="false" ht="15" hidden="false" customHeight="false" outlineLevel="0" collapsed="false">
      <c r="B53" s="69" t="s">
        <v>148</v>
      </c>
      <c r="C53" s="78" t="n">
        <f aca="false">COUNTIFS('CARGAR OPERACIONES'!$E$7:$E$506,B53)</f>
        <v>0</v>
      </c>
      <c r="D53" s="78" t="n">
        <f aca="false">COUNTIFS('CARGAR OPERACIONES'!$E$7:$E$506,B53,'CARGAR OPERACIONES'!$S$7:$S$506,"&gt;0")</f>
        <v>0</v>
      </c>
      <c r="E53" s="78" t="n">
        <f aca="false">COUNTIFS('CARGAR OPERACIONES'!$E$7:$E$506,B53,'CARGAR OPERACIONES'!$S$7:$S$506,"&lt;=0")</f>
        <v>0</v>
      </c>
      <c r="F53" s="74" t="str">
        <f aca="false">IF(C53=0,"-",D53/C53)</f>
        <v>-</v>
      </c>
      <c r="G53" s="75" t="str">
        <f aca="false">IF(C53=0,"-",SUMIFS('CARGAR OPERACIONES'!$S$7:$S$506,'CARGAR OPERACIONES'!$E$7:$E$506,B53))</f>
        <v>-</v>
      </c>
      <c r="H53" s="76" t="str">
        <f aca="false">IF(C53=0,"-",IF(E53=0,99,SUMIFS('CARGAR OPERACIONES'!$S$7:$S$506,'CARGAR OPERACIONES'!$E$7:$E$506,B53,'CARGAR OPERACIONES'!$S$7:$S$506,"&gt;0")/-SUMIFS('CARGAR OPERACIONES'!$S$7:$S$506,'CARGAR OPERACIONES'!$E$7:$E$506,B53,'CARGAR OPERACIONES'!$S$7:$S$506,"&lt;=0")))</f>
        <v>-</v>
      </c>
      <c r="I53" s="75" t="str">
        <f aca="false">IF(C53=0,"-",G53/C53)</f>
        <v>-</v>
      </c>
    </row>
  </sheetData>
  <mergeCells count="2">
    <mergeCell ref="B2:I2"/>
    <mergeCell ref="B3:I3"/>
  </mergeCells>
  <conditionalFormatting sqref="G8:G9">
    <cfRule type="expression" priority="2" aboveAverage="0" equalAverage="0" bottom="0" percent="0" rank="0" text="" dxfId="0">
      <formula>AND(ISNUMBER(G8),G8&gt;0)</formula>
    </cfRule>
    <cfRule type="expression" priority="3" aboveAverage="0" equalAverage="0" bottom="0" percent="0" rank="0" text="" dxfId="1">
      <formula>AND(ISNUMBER(G8),G8&lt;0)</formula>
    </cfRule>
  </conditionalFormatting>
  <conditionalFormatting sqref="H8:H9">
    <cfRule type="expression" priority="4" aboveAverage="0" equalAverage="0" bottom="0" percent="0" rank="0" text="" dxfId="0">
      <formula>AND(ISNUMBER(H8),H8&gt;=1)</formula>
    </cfRule>
    <cfRule type="expression" priority="5" aboveAverage="0" equalAverage="0" bottom="0" percent="0" rank="0" text="" dxfId="1">
      <formula>AND(ISNUMBER(H8),H8&lt;1)</formula>
    </cfRule>
  </conditionalFormatting>
  <conditionalFormatting sqref="B8:I9">
    <cfRule type="expression" priority="6" aboveAverage="0" equalAverage="0" bottom="0" percent="0" rank="0" text="" dxfId="10">
      <formula>$C8=0</formula>
    </cfRule>
  </conditionalFormatting>
  <conditionalFormatting sqref="G13:G18">
    <cfRule type="expression" priority="7" aboveAverage="0" equalAverage="0" bottom="0" percent="0" rank="0" text="" dxfId="0">
      <formula>AND(ISNUMBER(G13),G13&gt;0)</formula>
    </cfRule>
    <cfRule type="expression" priority="8" aboveAverage="0" equalAverage="0" bottom="0" percent="0" rank="0" text="" dxfId="1">
      <formula>AND(ISNUMBER(G13),G13&lt;0)</formula>
    </cfRule>
  </conditionalFormatting>
  <conditionalFormatting sqref="H13:H18">
    <cfRule type="expression" priority="9" aboveAverage="0" equalAverage="0" bottom="0" percent="0" rank="0" text="" dxfId="0">
      <formula>AND(ISNUMBER(H13),H13&gt;=1)</formula>
    </cfRule>
    <cfRule type="expression" priority="10" aboveAverage="0" equalAverage="0" bottom="0" percent="0" rank="0" text="" dxfId="1">
      <formula>AND(ISNUMBER(H13),H13&lt;1)</formula>
    </cfRule>
  </conditionalFormatting>
  <conditionalFormatting sqref="B13:I18">
    <cfRule type="expression" priority="11" aboveAverage="0" equalAverage="0" bottom="0" percent="0" rank="0" text="" dxfId="10">
      <formula>$C13=0</formula>
    </cfRule>
  </conditionalFormatting>
  <conditionalFormatting sqref="G22:G26">
    <cfRule type="expression" priority="12" aboveAverage="0" equalAverage="0" bottom="0" percent="0" rank="0" text="" dxfId="0">
      <formula>AND(ISNUMBER(G22),G22&gt;0)</formula>
    </cfRule>
    <cfRule type="expression" priority="13" aboveAverage="0" equalAverage="0" bottom="0" percent="0" rank="0" text="" dxfId="1">
      <formula>AND(ISNUMBER(G22),G22&lt;0)</formula>
    </cfRule>
  </conditionalFormatting>
  <conditionalFormatting sqref="H22:H26">
    <cfRule type="expression" priority="14" aboveAverage="0" equalAverage="0" bottom="0" percent="0" rank="0" text="" dxfId="0">
      <formula>AND(ISNUMBER(H22),H22&gt;=1)</formula>
    </cfRule>
    <cfRule type="expression" priority="15" aboveAverage="0" equalAverage="0" bottom="0" percent="0" rank="0" text="" dxfId="1">
      <formula>AND(ISNUMBER(H22),H22&lt;1)</formula>
    </cfRule>
  </conditionalFormatting>
  <conditionalFormatting sqref="B22:I26">
    <cfRule type="expression" priority="16" aboveAverage="0" equalAverage="0" bottom="0" percent="0" rank="0" text="" dxfId="10">
      <formula>$C22=0</formula>
    </cfRule>
  </conditionalFormatting>
  <conditionalFormatting sqref="G30:G35">
    <cfRule type="expression" priority="17" aboveAverage="0" equalAverage="0" bottom="0" percent="0" rank="0" text="" dxfId="0">
      <formula>AND(ISNUMBER(G30),G30&gt;0)</formula>
    </cfRule>
    <cfRule type="expression" priority="18" aboveAverage="0" equalAverage="0" bottom="0" percent="0" rank="0" text="" dxfId="1">
      <formula>AND(ISNUMBER(G30),G30&lt;0)</formula>
    </cfRule>
  </conditionalFormatting>
  <conditionalFormatting sqref="H30:H35">
    <cfRule type="expression" priority="19" aboveAverage="0" equalAverage="0" bottom="0" percent="0" rank="0" text="" dxfId="0">
      <formula>AND(ISNUMBER(H30),H30&gt;=1)</formula>
    </cfRule>
    <cfRule type="expression" priority="20" aboveAverage="0" equalAverage="0" bottom="0" percent="0" rank="0" text="" dxfId="1">
      <formula>AND(ISNUMBER(H30),H30&lt;1)</formula>
    </cfRule>
  </conditionalFormatting>
  <conditionalFormatting sqref="B30:I35">
    <cfRule type="expression" priority="21" aboveAverage="0" equalAverage="0" bottom="0" percent="0" rank="0" text="" dxfId="10">
      <formula>$C30=0</formula>
    </cfRule>
  </conditionalFormatting>
  <conditionalFormatting sqref="G39:G40">
    <cfRule type="expression" priority="22" aboveAverage="0" equalAverage="0" bottom="0" percent="0" rank="0" text="" dxfId="0">
      <formula>AND(ISNUMBER(G39),G39&gt;0)</formula>
    </cfRule>
    <cfRule type="expression" priority="23" aboveAverage="0" equalAverage="0" bottom="0" percent="0" rank="0" text="" dxfId="1">
      <formula>AND(ISNUMBER(G39),G39&lt;0)</formula>
    </cfRule>
  </conditionalFormatting>
  <conditionalFormatting sqref="H39:H40">
    <cfRule type="expression" priority="24" aboveAverage="0" equalAverage="0" bottom="0" percent="0" rank="0" text="" dxfId="0">
      <formula>AND(ISNUMBER(H39),H39&gt;=1)</formula>
    </cfRule>
    <cfRule type="expression" priority="25" aboveAverage="0" equalAverage="0" bottom="0" percent="0" rank="0" text="" dxfId="1">
      <formula>AND(ISNUMBER(H39),H39&lt;1)</formula>
    </cfRule>
  </conditionalFormatting>
  <conditionalFormatting sqref="B39:I40">
    <cfRule type="expression" priority="26" aboveAverage="0" equalAverage="0" bottom="0" percent="0" rank="0" text="" dxfId="10">
      <formula>$C39=0</formula>
    </cfRule>
  </conditionalFormatting>
  <conditionalFormatting sqref="G44:G48">
    <cfRule type="expression" priority="27" aboveAverage="0" equalAverage="0" bottom="0" percent="0" rank="0" text="" dxfId="0">
      <formula>AND(ISNUMBER(G44),G44&gt;0)</formula>
    </cfRule>
    <cfRule type="expression" priority="28" aboveAverage="0" equalAverage="0" bottom="0" percent="0" rank="0" text="" dxfId="1">
      <formula>AND(ISNUMBER(G44),G44&lt;0)</formula>
    </cfRule>
  </conditionalFormatting>
  <conditionalFormatting sqref="H44:H48">
    <cfRule type="expression" priority="29" aboveAverage="0" equalAverage="0" bottom="0" percent="0" rank="0" text="" dxfId="0">
      <formula>AND(ISNUMBER(H44),H44&gt;=1)</formula>
    </cfRule>
    <cfRule type="expression" priority="30" aboveAverage="0" equalAverage="0" bottom="0" percent="0" rank="0" text="" dxfId="1">
      <formula>AND(ISNUMBER(H44),H44&lt;1)</formula>
    </cfRule>
  </conditionalFormatting>
  <conditionalFormatting sqref="B44:I48">
    <cfRule type="expression" priority="31" aboveAverage="0" equalAverage="0" bottom="0" percent="0" rank="0" text="" dxfId="10">
      <formula>$C44=0</formula>
    </cfRule>
  </conditionalFormatting>
  <conditionalFormatting sqref="G52:G53">
    <cfRule type="expression" priority="32" aboveAverage="0" equalAverage="0" bottom="0" percent="0" rank="0" text="" dxfId="0">
      <formula>AND(ISNUMBER(G52),G52&gt;0)</formula>
    </cfRule>
    <cfRule type="expression" priority="33" aboveAverage="0" equalAverage="0" bottom="0" percent="0" rank="0" text="" dxfId="1">
      <formula>AND(ISNUMBER(G52),G52&lt;0)</formula>
    </cfRule>
  </conditionalFormatting>
  <conditionalFormatting sqref="H52:H53">
    <cfRule type="expression" priority="34" aboveAverage="0" equalAverage="0" bottom="0" percent="0" rank="0" text="" dxfId="0">
      <formula>AND(ISNUMBER(H52),H52&gt;=1)</formula>
    </cfRule>
    <cfRule type="expression" priority="35" aboveAverage="0" equalAverage="0" bottom="0" percent="0" rank="0" text="" dxfId="1">
      <formula>AND(ISNUMBER(H52),H52&lt;1)</formula>
    </cfRule>
  </conditionalFormatting>
  <conditionalFormatting sqref="B52:I53">
    <cfRule type="expression" priority="36" aboveAverage="0" equalAverage="0" bottom="0" percent="0" rank="0" text="" dxfId="10">
      <formula>$C52=0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B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4"/>
  </cols>
  <sheetData>
    <row r="1" customFormat="false" ht="9.75" hidden="false" customHeight="true" outlineLevel="0" collapsed="false"/>
    <row r="2" customFormat="false" ht="33.75" hidden="false" customHeight="true" outlineLevel="0" collapsed="false">
      <c r="B2" s="1" t="s">
        <v>149</v>
      </c>
      <c r="C2" s="1"/>
      <c r="D2" s="1"/>
      <c r="E2" s="1"/>
      <c r="F2" s="1"/>
    </row>
    <row r="3" customFormat="false" ht="19.5" hidden="false" customHeight="true" outlineLevel="0" collapsed="false">
      <c r="B3" s="2" t="s">
        <v>150</v>
      </c>
      <c r="C3" s="2"/>
      <c r="D3" s="2"/>
      <c r="E3" s="2"/>
      <c r="F3" s="2"/>
    </row>
    <row r="4" customFormat="false" ht="3.75" hidden="false" customHeight="true" outlineLevel="0" collapsed="false">
      <c r="B4" s="3"/>
      <c r="C4" s="3"/>
      <c r="D4" s="3"/>
      <c r="E4" s="3"/>
      <c r="F4" s="3"/>
    </row>
    <row r="6" customFormat="false" ht="15" hidden="false" customHeight="false" outlineLevel="0" collapsed="false">
      <c r="B6" s="92" t="s">
        <v>151</v>
      </c>
      <c r="C6" s="93" t="n">
        <v>8584.52</v>
      </c>
      <c r="D6" s="94" t="s">
        <v>152</v>
      </c>
    </row>
    <row r="7" customFormat="false" ht="15" hidden="false" customHeight="false" outlineLevel="0" collapsed="false">
      <c r="B7" s="92" t="s">
        <v>153</v>
      </c>
      <c r="C7" s="95" t="n">
        <v>46248</v>
      </c>
      <c r="D7" s="94" t="s">
        <v>154</v>
      </c>
    </row>
    <row r="8" customFormat="false" ht="15" hidden="false" customHeight="false" outlineLevel="0" collapsed="false">
      <c r="B8" s="92" t="s">
        <v>155</v>
      </c>
      <c r="C8" s="93" t="n">
        <v>150</v>
      </c>
      <c r="D8" s="94" t="s">
        <v>156</v>
      </c>
    </row>
    <row r="9" customFormat="false" ht="15" hidden="false" customHeight="false" outlineLevel="0" collapsed="false">
      <c r="B9" s="92" t="s">
        <v>157</v>
      </c>
      <c r="C9" s="93" t="n">
        <v>300</v>
      </c>
      <c r="D9" s="94" t="s">
        <v>158</v>
      </c>
    </row>
    <row r="10" customFormat="false" ht="15" hidden="false" customHeight="false" outlineLevel="0" collapsed="false">
      <c r="B10" s="92" t="s">
        <v>159</v>
      </c>
      <c r="C10" s="96" t="n">
        <v>20</v>
      </c>
      <c r="D10" s="94" t="s">
        <v>160</v>
      </c>
    </row>
    <row r="11" customFormat="false" ht="15" hidden="false" customHeight="false" outlineLevel="0" collapsed="false">
      <c r="B11" s="92" t="s">
        <v>161</v>
      </c>
      <c r="C11" s="97" t="n">
        <v>1.3</v>
      </c>
      <c r="D11" s="94" t="s">
        <v>162</v>
      </c>
    </row>
    <row r="12" customFormat="false" ht="15" hidden="false" customHeight="false" outlineLevel="0" collapsed="false">
      <c r="B12" s="92" t="s">
        <v>163</v>
      </c>
      <c r="C12" s="98" t="n">
        <v>0.4</v>
      </c>
      <c r="D12" s="94" t="s">
        <v>164</v>
      </c>
    </row>
    <row r="13" customFormat="false" ht="15" hidden="false" customHeight="false" outlineLevel="0" collapsed="false">
      <c r="B13" s="92" t="s">
        <v>165</v>
      </c>
      <c r="C13" s="98" t="n">
        <v>0.95</v>
      </c>
      <c r="D13" s="94" t="s">
        <v>166</v>
      </c>
    </row>
    <row r="16" customFormat="false" ht="16.15" hidden="false" customHeight="false" outlineLevel="0" collapsed="false">
      <c r="B16" s="48" t="s">
        <v>167</v>
      </c>
      <c r="C16" s="49"/>
      <c r="D16" s="49"/>
    </row>
    <row r="17" customFormat="false" ht="31.5" hidden="false" customHeight="true" outlineLevel="0" collapsed="false">
      <c r="B17" s="50" t="s">
        <v>60</v>
      </c>
      <c r="C17" s="50" t="s">
        <v>168</v>
      </c>
      <c r="D17" s="50" t="s">
        <v>169</v>
      </c>
    </row>
    <row r="18" customFormat="false" ht="15" hidden="false" customHeight="false" outlineLevel="0" collapsed="false">
      <c r="B18" s="99" t="s">
        <v>89</v>
      </c>
      <c r="C18" s="100" t="n">
        <v>1</v>
      </c>
      <c r="D18" s="100" t="n">
        <v>1.84</v>
      </c>
      <c r="E18" s="94" t="s">
        <v>170</v>
      </c>
    </row>
    <row r="19" customFormat="false" ht="15" hidden="false" customHeight="false" outlineLevel="0" collapsed="false">
      <c r="B19" s="99" t="s">
        <v>148</v>
      </c>
      <c r="C19" s="100" t="n">
        <v>10</v>
      </c>
      <c r="D19" s="100" t="n">
        <v>5.32</v>
      </c>
    </row>
    <row r="20" customFormat="false" ht="15" hidden="false" customHeight="false" outlineLevel="0" collapsed="false">
      <c r="B20" s="99"/>
      <c r="C20" s="100"/>
      <c r="D20" s="100"/>
    </row>
    <row r="21" customFormat="false" ht="15" hidden="false" customHeight="false" outlineLevel="0" collapsed="false">
      <c r="B21" s="99"/>
      <c r="C21" s="100"/>
      <c r="D21" s="100"/>
    </row>
    <row r="22" customFormat="false" ht="15" hidden="false" customHeight="false" outlineLevel="0" collapsed="false">
      <c r="B22" s="99"/>
      <c r="C22" s="100"/>
      <c r="D22" s="100"/>
    </row>
    <row r="23" customFormat="false" ht="15" hidden="false" customHeight="false" outlineLevel="0" collapsed="false">
      <c r="B23" s="99"/>
      <c r="C23" s="100"/>
      <c r="D23" s="100"/>
    </row>
    <row r="24" customFormat="false" ht="15" hidden="false" customHeight="false" outlineLevel="0" collapsed="false">
      <c r="B24" s="99"/>
      <c r="C24" s="100"/>
      <c r="D24" s="100"/>
    </row>
    <row r="27" customFormat="false" ht="16.15" hidden="false" customHeight="false" outlineLevel="0" collapsed="false">
      <c r="B27" s="48" t="s">
        <v>171</v>
      </c>
      <c r="C27" s="49"/>
      <c r="E27" s="48" t="s">
        <v>172</v>
      </c>
    </row>
    <row r="28" customFormat="false" ht="31.5" hidden="false" customHeight="true" outlineLevel="0" collapsed="false">
      <c r="B28" s="50" t="s">
        <v>63</v>
      </c>
      <c r="C28" s="50" t="s">
        <v>173</v>
      </c>
      <c r="E28" s="50" t="s">
        <v>174</v>
      </c>
    </row>
    <row r="29" customFormat="false" ht="15" hidden="false" customHeight="false" outlineLevel="0" collapsed="false">
      <c r="B29" s="99" t="s">
        <v>93</v>
      </c>
      <c r="C29" s="99" t="s">
        <v>175</v>
      </c>
      <c r="E29" s="99" t="s">
        <v>176</v>
      </c>
    </row>
    <row r="30" customFormat="false" ht="15" hidden="false" customHeight="false" outlineLevel="0" collapsed="false">
      <c r="B30" s="99" t="s">
        <v>91</v>
      </c>
      <c r="C30" s="99" t="s">
        <v>177</v>
      </c>
      <c r="E30" s="99" t="s">
        <v>178</v>
      </c>
    </row>
    <row r="31" customFormat="false" ht="15" hidden="false" customHeight="false" outlineLevel="0" collapsed="false">
      <c r="B31" s="99" t="s">
        <v>133</v>
      </c>
      <c r="C31" s="99" t="s">
        <v>179</v>
      </c>
      <c r="E31" s="99" t="s">
        <v>180</v>
      </c>
    </row>
    <row r="32" customFormat="false" ht="15" hidden="false" customHeight="false" outlineLevel="0" collapsed="false">
      <c r="B32" s="99" t="s">
        <v>134</v>
      </c>
      <c r="C32" s="99" t="s">
        <v>181</v>
      </c>
      <c r="E32" s="99" t="s">
        <v>182</v>
      </c>
    </row>
    <row r="33" customFormat="false" ht="15" hidden="false" customHeight="false" outlineLevel="0" collapsed="false">
      <c r="B33" s="99" t="s">
        <v>135</v>
      </c>
      <c r="C33" s="99" t="s">
        <v>183</v>
      </c>
      <c r="E33" s="99" t="s">
        <v>184</v>
      </c>
    </row>
    <row r="34" customFormat="false" ht="15" hidden="false" customHeight="false" outlineLevel="0" collapsed="false">
      <c r="B34" s="99" t="s">
        <v>136</v>
      </c>
      <c r="C34" s="99" t="s">
        <v>185</v>
      </c>
      <c r="E34" s="99" t="s">
        <v>186</v>
      </c>
    </row>
    <row r="35" customFormat="false" ht="15" hidden="false" customHeight="false" outlineLevel="0" collapsed="false">
      <c r="B35" s="99"/>
      <c r="C35" s="99"/>
      <c r="E35" s="99" t="s">
        <v>187</v>
      </c>
    </row>
    <row r="36" customFormat="false" ht="15" hidden="false" customHeight="false" outlineLevel="0" collapsed="false">
      <c r="B36" s="99"/>
      <c r="C36" s="99"/>
      <c r="E36" s="99"/>
    </row>
    <row r="37" customFormat="false" ht="15" hidden="false" customHeight="false" outlineLevel="0" collapsed="false">
      <c r="B37" s="99"/>
      <c r="C37" s="99"/>
      <c r="E37" s="99"/>
    </row>
    <row r="38" customFormat="false" ht="15" hidden="false" customHeight="false" outlineLevel="0" collapsed="false">
      <c r="B38" s="99"/>
      <c r="C38" s="99"/>
      <c r="E38" s="99"/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56</v>
      </c>
      <c r="B1" s="0" t="s">
        <v>188</v>
      </c>
      <c r="C1" s="0" t="s">
        <v>41</v>
      </c>
      <c r="E1" s="0" t="s">
        <v>189</v>
      </c>
    </row>
    <row r="2" customFormat="false" ht="15" hidden="false" customHeight="false" outlineLevel="0" collapsed="false">
      <c r="A2" s="0" t="n">
        <v>0</v>
      </c>
      <c r="B2" s="101" t="n">
        <f aca="false">Parametros!$C$6</f>
        <v>8584.52</v>
      </c>
      <c r="C2" s="101" t="n">
        <f aca="false">Parametros!$C$6</f>
        <v>8584.52</v>
      </c>
    </row>
    <row r="3" customFormat="false" ht="15" hidden="false" customHeight="false" outlineLevel="0" collapsed="false">
      <c r="A3" s="0" t="n">
        <f aca="false">IF('CARGAR OPERACIONES'!$B7="",NA(),'CARGAR OPERACIONES'!$A7)</f>
        <v>1</v>
      </c>
      <c r="B3" s="101" t="n">
        <f aca="false">IF('CARGAR OPERACIONES'!$B7="",NA(),'CARGAR OPERACIONES'!$V7)</f>
        <v>8875.32</v>
      </c>
      <c r="C3" s="101" t="n">
        <f aca="false">IF('CARGAR OPERACIONES'!$B7="",NA(),Parametros!$C$6)</f>
        <v>8584.52</v>
      </c>
    </row>
    <row r="4" customFormat="false" ht="15" hidden="false" customHeight="false" outlineLevel="0" collapsed="false">
      <c r="A4" s="0" t="n">
        <f aca="false">IF('CARGAR OPERACIONES'!$B8="",NA(),'CARGAR OPERACIONES'!$A8)</f>
        <v>2</v>
      </c>
      <c r="B4" s="101" t="n">
        <f aca="false">IF('CARGAR OPERACIONES'!$B8="",NA(),'CARGAR OPERACIONES'!$V8)</f>
        <v>9166.12</v>
      </c>
      <c r="C4" s="101" t="n">
        <f aca="false">IF('CARGAR OPERACIONES'!$B8="",NA(),Parametros!$C$6)</f>
        <v>8584.52</v>
      </c>
    </row>
    <row r="5" customFormat="false" ht="15" hidden="false" customHeight="false" outlineLevel="0" collapsed="false">
      <c r="A5" s="0" t="n">
        <f aca="false">IF('CARGAR OPERACIONES'!$B9="",NA(),'CARGAR OPERACIONES'!$A9)</f>
        <v>3</v>
      </c>
      <c r="B5" s="101" t="n">
        <f aca="false">IF('CARGAR OPERACIONES'!$B9="",NA(),'CARGAR OPERACIONES'!$V9)</f>
        <v>9006.92</v>
      </c>
      <c r="C5" s="101" t="n">
        <f aca="false">IF('CARGAR OPERACIONES'!$B9="",NA(),Parametros!$C$6)</f>
        <v>8584.52</v>
      </c>
    </row>
    <row r="6" customFormat="false" ht="15" hidden="false" customHeight="false" outlineLevel="0" collapsed="false">
      <c r="A6" s="0" t="n">
        <f aca="false">IF('CARGAR OPERACIONES'!$B10="",NA(),'CARGAR OPERACIONES'!$A10)</f>
        <v>4</v>
      </c>
      <c r="B6" s="101" t="n">
        <f aca="false">IF('CARGAR OPERACIONES'!$B10="",NA(),'CARGAR OPERACIONES'!$V10)</f>
        <v>9297.72</v>
      </c>
      <c r="C6" s="101" t="n">
        <f aca="false">IF('CARGAR OPERACIONES'!$B10="",NA(),Parametros!$C$6)</f>
        <v>8584.52</v>
      </c>
    </row>
    <row r="7" customFormat="false" ht="15" hidden="false" customHeight="false" outlineLevel="0" collapsed="false">
      <c r="A7" s="0" t="n">
        <f aca="false">IF('CARGAR OPERACIONES'!$B11="",NA(),'CARGAR OPERACIONES'!$A11)</f>
        <v>5</v>
      </c>
      <c r="B7" s="101" t="n">
        <f aca="false">IF('CARGAR OPERACIONES'!$B11="",NA(),'CARGAR OPERACIONES'!$V11)</f>
        <v>9138.52</v>
      </c>
      <c r="C7" s="101" t="n">
        <f aca="false">IF('CARGAR OPERACIONES'!$B11="",NA(),Parametros!$C$6)</f>
        <v>8584.52</v>
      </c>
    </row>
    <row r="8" customFormat="false" ht="15" hidden="false" customHeight="false" outlineLevel="0" collapsed="false">
      <c r="A8" s="0" t="n">
        <f aca="false">IF('CARGAR OPERACIONES'!$B12="",NA(),'CARGAR OPERACIONES'!$A12)</f>
        <v>6</v>
      </c>
      <c r="B8" s="101" t="n">
        <f aca="false">IF('CARGAR OPERACIONES'!$B12="",NA(),'CARGAR OPERACIONES'!$V12)</f>
        <v>9429.32</v>
      </c>
      <c r="C8" s="101" t="n">
        <f aca="false">IF('CARGAR OPERACIONES'!$B12="",NA(),Parametros!$C$6)</f>
        <v>8584.52</v>
      </c>
    </row>
    <row r="9" customFormat="false" ht="15" hidden="false" customHeight="false" outlineLevel="0" collapsed="false">
      <c r="A9" s="0" t="n">
        <f aca="false">IF('CARGAR OPERACIONES'!$B13="",NA(),'CARGAR OPERACIONES'!$A13)</f>
        <v>7</v>
      </c>
      <c r="B9" s="101" t="n">
        <f aca="false">IF('CARGAR OPERACIONES'!$B13="",NA(),'CARGAR OPERACIONES'!$V13)</f>
        <v>9270.12</v>
      </c>
      <c r="C9" s="101" t="n">
        <f aca="false">IF('CARGAR OPERACIONES'!$B13="",NA(),Parametros!$C$6)</f>
        <v>8584.52</v>
      </c>
    </row>
    <row r="10" customFormat="false" ht="15" hidden="false" customHeight="false" outlineLevel="0" collapsed="false">
      <c r="A10" s="0" t="n">
        <f aca="false">IF('CARGAR OPERACIONES'!$B14="",NA(),'CARGAR OPERACIONES'!$A14)</f>
        <v>8</v>
      </c>
      <c r="B10" s="101" t="n">
        <f aca="false">IF('CARGAR OPERACIONES'!$B14="",NA(),'CARGAR OPERACIONES'!$V14)</f>
        <v>9110.92</v>
      </c>
      <c r="C10" s="101" t="n">
        <f aca="false">IF('CARGAR OPERACIONES'!$B14="",NA(),Parametros!$C$6)</f>
        <v>8584.52</v>
      </c>
    </row>
    <row r="11" customFormat="false" ht="15" hidden="false" customHeight="false" outlineLevel="0" collapsed="false">
      <c r="A11" s="0" t="n">
        <f aca="false">IF('CARGAR OPERACIONES'!$B15="",NA(),'CARGAR OPERACIONES'!$A15)</f>
        <v>9</v>
      </c>
      <c r="B11" s="101" t="n">
        <f aca="false">IF('CARGAR OPERACIONES'!$B15="",NA(),'CARGAR OPERACIONES'!$V15)</f>
        <v>9405.4</v>
      </c>
      <c r="C11" s="101" t="n">
        <f aca="false">IF('CARGAR OPERACIONES'!$B15="",NA(),Parametros!$C$6)</f>
        <v>8584.52</v>
      </c>
    </row>
    <row r="12" customFormat="false" ht="15" hidden="false" customHeight="false" outlineLevel="0" collapsed="false">
      <c r="A12" s="0" t="n">
        <f aca="false">IF('CARGAR OPERACIONES'!$B16="",NA(),'CARGAR OPERACIONES'!$A16)</f>
        <v>10</v>
      </c>
      <c r="B12" s="101" t="n">
        <f aca="false">IF('CARGAR OPERACIONES'!$B16="",NA(),'CARGAR OPERACIONES'!$V16)</f>
        <v>9246.2</v>
      </c>
      <c r="C12" s="101" t="n">
        <f aca="false">IF('CARGAR OPERACIONES'!$B16="",NA(),Parametros!$C$6)</f>
        <v>8584.52</v>
      </c>
    </row>
    <row r="13" customFormat="false" ht="15" hidden="false" customHeight="false" outlineLevel="0" collapsed="false">
      <c r="A13" s="0" t="n">
        <f aca="false">IF('CARGAR OPERACIONES'!$B17="",NA(),'CARGAR OPERACIONES'!$A17)</f>
        <v>11</v>
      </c>
      <c r="B13" s="101" t="n">
        <f aca="false">IF('CARGAR OPERACIONES'!$B17="",NA(),'CARGAR OPERACIONES'!$V17)</f>
        <v>9087</v>
      </c>
      <c r="C13" s="101" t="n">
        <f aca="false">IF('CARGAR OPERACIONES'!$B17="",NA(),Parametros!$C$6)</f>
        <v>8584.52</v>
      </c>
    </row>
    <row r="14" customFormat="false" ht="15" hidden="false" customHeight="false" outlineLevel="0" collapsed="false">
      <c r="A14" s="0" t="n">
        <f aca="false">IF('CARGAR OPERACIONES'!$B18="",NA(),'CARGAR OPERACIONES'!$A18)</f>
        <v>12</v>
      </c>
      <c r="B14" s="101" t="n">
        <f aca="false">IF('CARGAR OPERACIONES'!$B18="",NA(),'CARGAR OPERACIONES'!$V18)</f>
        <v>9381.48</v>
      </c>
      <c r="C14" s="101" t="n">
        <f aca="false">IF('CARGAR OPERACIONES'!$B18="",NA(),Parametros!$C$6)</f>
        <v>8584.52</v>
      </c>
    </row>
    <row r="15" customFormat="false" ht="15" hidden="false" customHeight="false" outlineLevel="0" collapsed="false">
      <c r="A15" s="0" t="n">
        <f aca="false">IF('CARGAR OPERACIONES'!$B19="",NA(),'CARGAR OPERACIONES'!$A19)</f>
        <v>13</v>
      </c>
      <c r="B15" s="101" t="n">
        <f aca="false">IF('CARGAR OPERACIONES'!$B19="",NA(),'CARGAR OPERACIONES'!$V19)</f>
        <v>9222.28</v>
      </c>
      <c r="C15" s="101" t="n">
        <f aca="false">IF('CARGAR OPERACIONES'!$B19="",NA(),Parametros!$C$6)</f>
        <v>8584.52</v>
      </c>
    </row>
    <row r="16" customFormat="false" ht="15" hidden="false" customHeight="false" outlineLevel="0" collapsed="false">
      <c r="A16" s="0" t="n">
        <f aca="false">IF('CARGAR OPERACIONES'!$B20="",NA(),'CARGAR OPERACIONES'!$A20)</f>
        <v>14</v>
      </c>
      <c r="B16" s="101" t="n">
        <f aca="false">IF('CARGAR OPERACIONES'!$B20="",NA(),'CARGAR OPERACIONES'!$V20)</f>
        <v>9066.76</v>
      </c>
      <c r="C16" s="101" t="n">
        <f aca="false">IF('CARGAR OPERACIONES'!$B20="",NA(),Parametros!$C$6)</f>
        <v>8584.52</v>
      </c>
    </row>
    <row r="17" customFormat="false" ht="15" hidden="false" customHeight="false" outlineLevel="0" collapsed="false">
      <c r="A17" s="0" t="n">
        <f aca="false">IF('CARGAR OPERACIONES'!$B21="",NA(),'CARGAR OPERACIONES'!$A21)</f>
        <v>15</v>
      </c>
      <c r="B17" s="101" t="n">
        <f aca="false">IF('CARGAR OPERACIONES'!$B21="",NA(),'CARGAR OPERACIONES'!$V21)</f>
        <v>8907.56</v>
      </c>
      <c r="C17" s="101" t="n">
        <f aca="false">IF('CARGAR OPERACIONES'!$B21="",NA(),Parametros!$C$6)</f>
        <v>8584.52</v>
      </c>
    </row>
    <row r="18" customFormat="false" ht="15" hidden="false" customHeight="false" outlineLevel="0" collapsed="false">
      <c r="A18" s="0" t="n">
        <f aca="false">IF('CARGAR OPERACIONES'!$B22="",NA(),'CARGAR OPERACIONES'!$A22)</f>
        <v>16</v>
      </c>
      <c r="B18" s="101" t="n">
        <f aca="false">IF('CARGAR OPERACIONES'!$B22="",NA(),'CARGAR OPERACIONES'!$V22)</f>
        <v>8748.36</v>
      </c>
      <c r="C18" s="101" t="n">
        <f aca="false">IF('CARGAR OPERACIONES'!$B22="",NA(),Parametros!$C$6)</f>
        <v>8584.52</v>
      </c>
    </row>
    <row r="19" customFormat="false" ht="15" hidden="false" customHeight="false" outlineLevel="0" collapsed="false">
      <c r="A19" s="0" t="e">
        <f aca="false">IF('CARGAR OPERACIONES'!$B23="",NA(),'CARGAR OPERACIONES'!$A23)</f>
        <v>#N/A</v>
      </c>
      <c r="B19" s="0" t="e">
        <f aca="false">IF('CARGAR OPERACIONES'!$B23="",NA(),'CARGAR OPERACIONES'!$V23)</f>
        <v>#N/A</v>
      </c>
      <c r="C19" s="0" t="e">
        <f aca="false">IF('CARGAR OPERACIONES'!$B23="",NA(),Parametros!$C$6)</f>
        <v>#N/A</v>
      </c>
    </row>
    <row r="20" customFormat="false" ht="15" hidden="false" customHeight="false" outlineLevel="0" collapsed="false">
      <c r="A20" s="0" t="e">
        <f aca="false">IF('CARGAR OPERACIONES'!$B24="",NA(),'CARGAR OPERACIONES'!$A24)</f>
        <v>#N/A</v>
      </c>
      <c r="B20" s="0" t="e">
        <f aca="false">IF('CARGAR OPERACIONES'!$B24="",NA(),'CARGAR OPERACIONES'!$V24)</f>
        <v>#N/A</v>
      </c>
      <c r="C20" s="0" t="e">
        <f aca="false">IF('CARGAR OPERACIONES'!$B24="",NA(),Parametros!$C$6)</f>
        <v>#N/A</v>
      </c>
    </row>
    <row r="21" customFormat="false" ht="15" hidden="false" customHeight="false" outlineLevel="0" collapsed="false">
      <c r="A21" s="0" t="e">
        <f aca="false">IF('CARGAR OPERACIONES'!$B25="",NA(),'CARGAR OPERACIONES'!$A25)</f>
        <v>#N/A</v>
      </c>
      <c r="B21" s="0" t="e">
        <f aca="false">IF('CARGAR OPERACIONES'!$B25="",NA(),'CARGAR OPERACIONES'!$V25)</f>
        <v>#N/A</v>
      </c>
      <c r="C21" s="0" t="e">
        <f aca="false">IF('CARGAR OPERACIONES'!$B25="",NA(),Parametros!$C$6)</f>
        <v>#N/A</v>
      </c>
    </row>
    <row r="22" customFormat="false" ht="15" hidden="false" customHeight="false" outlineLevel="0" collapsed="false">
      <c r="A22" s="0" t="e">
        <f aca="false">IF('CARGAR OPERACIONES'!$B26="",NA(),'CARGAR OPERACIONES'!$A26)</f>
        <v>#N/A</v>
      </c>
      <c r="B22" s="0" t="e">
        <f aca="false">IF('CARGAR OPERACIONES'!$B26="",NA(),'CARGAR OPERACIONES'!$V26)</f>
        <v>#N/A</v>
      </c>
      <c r="C22" s="0" t="e">
        <f aca="false">IF('CARGAR OPERACIONES'!$B26="",NA(),Parametros!$C$6)</f>
        <v>#N/A</v>
      </c>
    </row>
    <row r="23" customFormat="false" ht="15" hidden="false" customHeight="false" outlineLevel="0" collapsed="false">
      <c r="A23" s="0" t="e">
        <f aca="false">IF('CARGAR OPERACIONES'!$B27="",NA(),'CARGAR OPERACIONES'!$A27)</f>
        <v>#N/A</v>
      </c>
      <c r="B23" s="0" t="e">
        <f aca="false">IF('CARGAR OPERACIONES'!$B27="",NA(),'CARGAR OPERACIONES'!$V27)</f>
        <v>#N/A</v>
      </c>
      <c r="C23" s="0" t="e">
        <f aca="false">IF('CARGAR OPERACIONES'!$B27="",NA(),Parametros!$C$6)</f>
        <v>#N/A</v>
      </c>
    </row>
    <row r="24" customFormat="false" ht="15" hidden="false" customHeight="false" outlineLevel="0" collapsed="false">
      <c r="A24" s="0" t="e">
        <f aca="false">IF('CARGAR OPERACIONES'!$B28="",NA(),'CARGAR OPERACIONES'!$A28)</f>
        <v>#N/A</v>
      </c>
      <c r="B24" s="0" t="e">
        <f aca="false">IF('CARGAR OPERACIONES'!$B28="",NA(),'CARGAR OPERACIONES'!$V28)</f>
        <v>#N/A</v>
      </c>
      <c r="C24" s="0" t="e">
        <f aca="false">IF('CARGAR OPERACIONES'!$B28="",NA(),Parametros!$C$6)</f>
        <v>#N/A</v>
      </c>
    </row>
    <row r="25" customFormat="false" ht="15" hidden="false" customHeight="false" outlineLevel="0" collapsed="false">
      <c r="A25" s="0" t="e">
        <f aca="false">IF('CARGAR OPERACIONES'!$B29="",NA(),'CARGAR OPERACIONES'!$A29)</f>
        <v>#N/A</v>
      </c>
      <c r="B25" s="0" t="e">
        <f aca="false">IF('CARGAR OPERACIONES'!$B29="",NA(),'CARGAR OPERACIONES'!$V29)</f>
        <v>#N/A</v>
      </c>
      <c r="C25" s="0" t="e">
        <f aca="false">IF('CARGAR OPERACIONES'!$B29="",NA(),Parametros!$C$6)</f>
        <v>#N/A</v>
      </c>
    </row>
    <row r="26" customFormat="false" ht="15" hidden="false" customHeight="false" outlineLevel="0" collapsed="false">
      <c r="A26" s="0" t="e">
        <f aca="false">IF('CARGAR OPERACIONES'!$B30="",NA(),'CARGAR OPERACIONES'!$A30)</f>
        <v>#N/A</v>
      </c>
      <c r="B26" s="0" t="e">
        <f aca="false">IF('CARGAR OPERACIONES'!$B30="",NA(),'CARGAR OPERACIONES'!$V30)</f>
        <v>#N/A</v>
      </c>
      <c r="C26" s="0" t="e">
        <f aca="false">IF('CARGAR OPERACIONES'!$B30="",NA(),Parametros!$C$6)</f>
        <v>#N/A</v>
      </c>
    </row>
    <row r="27" customFormat="false" ht="15" hidden="false" customHeight="false" outlineLevel="0" collapsed="false">
      <c r="A27" s="0" t="e">
        <f aca="false">IF('CARGAR OPERACIONES'!$B31="",NA(),'CARGAR OPERACIONES'!$A31)</f>
        <v>#N/A</v>
      </c>
      <c r="B27" s="0" t="e">
        <f aca="false">IF('CARGAR OPERACIONES'!$B31="",NA(),'CARGAR OPERACIONES'!$V31)</f>
        <v>#N/A</v>
      </c>
      <c r="C27" s="0" t="e">
        <f aca="false">IF('CARGAR OPERACIONES'!$B31="",NA(),Parametros!$C$6)</f>
        <v>#N/A</v>
      </c>
    </row>
    <row r="28" customFormat="false" ht="15" hidden="false" customHeight="false" outlineLevel="0" collapsed="false">
      <c r="A28" s="0" t="e">
        <f aca="false">IF('CARGAR OPERACIONES'!$B32="",NA(),'CARGAR OPERACIONES'!$A32)</f>
        <v>#N/A</v>
      </c>
      <c r="B28" s="0" t="e">
        <f aca="false">IF('CARGAR OPERACIONES'!$B32="",NA(),'CARGAR OPERACIONES'!$V32)</f>
        <v>#N/A</v>
      </c>
      <c r="C28" s="0" t="e">
        <f aca="false">IF('CARGAR OPERACIONES'!$B32="",NA(),Parametros!$C$6)</f>
        <v>#N/A</v>
      </c>
    </row>
    <row r="29" customFormat="false" ht="15" hidden="false" customHeight="false" outlineLevel="0" collapsed="false">
      <c r="A29" s="0" t="e">
        <f aca="false">IF('CARGAR OPERACIONES'!$B33="",NA(),'CARGAR OPERACIONES'!$A33)</f>
        <v>#N/A</v>
      </c>
      <c r="B29" s="0" t="e">
        <f aca="false">IF('CARGAR OPERACIONES'!$B33="",NA(),'CARGAR OPERACIONES'!$V33)</f>
        <v>#N/A</v>
      </c>
      <c r="C29" s="0" t="e">
        <f aca="false">IF('CARGAR OPERACIONES'!$B33="",NA(),Parametros!$C$6)</f>
        <v>#N/A</v>
      </c>
    </row>
    <row r="30" customFormat="false" ht="15" hidden="false" customHeight="false" outlineLevel="0" collapsed="false">
      <c r="A30" s="0" t="e">
        <f aca="false">IF('CARGAR OPERACIONES'!$B34="",NA(),'CARGAR OPERACIONES'!$A34)</f>
        <v>#N/A</v>
      </c>
      <c r="B30" s="0" t="e">
        <f aca="false">IF('CARGAR OPERACIONES'!$B34="",NA(),'CARGAR OPERACIONES'!$V34)</f>
        <v>#N/A</v>
      </c>
      <c r="C30" s="0" t="e">
        <f aca="false">IF('CARGAR OPERACIONES'!$B34="",NA(),Parametros!$C$6)</f>
        <v>#N/A</v>
      </c>
    </row>
    <row r="31" customFormat="false" ht="15" hidden="false" customHeight="false" outlineLevel="0" collapsed="false">
      <c r="A31" s="0" t="e">
        <f aca="false">IF('CARGAR OPERACIONES'!$B35="",NA(),'CARGAR OPERACIONES'!$A35)</f>
        <v>#N/A</v>
      </c>
      <c r="B31" s="0" t="e">
        <f aca="false">IF('CARGAR OPERACIONES'!$B35="",NA(),'CARGAR OPERACIONES'!$V35)</f>
        <v>#N/A</v>
      </c>
      <c r="C31" s="0" t="e">
        <f aca="false">IF('CARGAR OPERACIONES'!$B35="",NA(),Parametros!$C$6)</f>
        <v>#N/A</v>
      </c>
    </row>
    <row r="32" customFormat="false" ht="15" hidden="false" customHeight="false" outlineLevel="0" collapsed="false">
      <c r="A32" s="0" t="e">
        <f aca="false">IF('CARGAR OPERACIONES'!$B36="",NA(),'CARGAR OPERACIONES'!$A36)</f>
        <v>#N/A</v>
      </c>
      <c r="B32" s="0" t="e">
        <f aca="false">IF('CARGAR OPERACIONES'!$B36="",NA(),'CARGAR OPERACIONES'!$V36)</f>
        <v>#N/A</v>
      </c>
      <c r="C32" s="0" t="e">
        <f aca="false">IF('CARGAR OPERACIONES'!$B36="",NA(),Parametros!$C$6)</f>
        <v>#N/A</v>
      </c>
    </row>
    <row r="33" customFormat="false" ht="15" hidden="false" customHeight="false" outlineLevel="0" collapsed="false">
      <c r="A33" s="0" t="e">
        <f aca="false">IF('CARGAR OPERACIONES'!$B37="",NA(),'CARGAR OPERACIONES'!$A37)</f>
        <v>#N/A</v>
      </c>
      <c r="B33" s="0" t="e">
        <f aca="false">IF('CARGAR OPERACIONES'!$B37="",NA(),'CARGAR OPERACIONES'!$V37)</f>
        <v>#N/A</v>
      </c>
      <c r="C33" s="0" t="e">
        <f aca="false">IF('CARGAR OPERACIONES'!$B37="",NA(),Parametros!$C$6)</f>
        <v>#N/A</v>
      </c>
    </row>
    <row r="34" customFormat="false" ht="15" hidden="false" customHeight="false" outlineLevel="0" collapsed="false">
      <c r="A34" s="0" t="e">
        <f aca="false">IF('CARGAR OPERACIONES'!$B38="",NA(),'CARGAR OPERACIONES'!$A38)</f>
        <v>#N/A</v>
      </c>
      <c r="B34" s="0" t="e">
        <f aca="false">IF('CARGAR OPERACIONES'!$B38="",NA(),'CARGAR OPERACIONES'!$V38)</f>
        <v>#N/A</v>
      </c>
      <c r="C34" s="0" t="e">
        <f aca="false">IF('CARGAR OPERACIONES'!$B38="",NA(),Parametros!$C$6)</f>
        <v>#N/A</v>
      </c>
    </row>
    <row r="35" customFormat="false" ht="15" hidden="false" customHeight="false" outlineLevel="0" collapsed="false">
      <c r="A35" s="0" t="e">
        <f aca="false">IF('CARGAR OPERACIONES'!$B39="",NA(),'CARGAR OPERACIONES'!$A39)</f>
        <v>#N/A</v>
      </c>
      <c r="B35" s="0" t="e">
        <f aca="false">IF('CARGAR OPERACIONES'!$B39="",NA(),'CARGAR OPERACIONES'!$V39)</f>
        <v>#N/A</v>
      </c>
      <c r="C35" s="0" t="e">
        <f aca="false">IF('CARGAR OPERACIONES'!$B39="",NA(),Parametros!$C$6)</f>
        <v>#N/A</v>
      </c>
    </row>
    <row r="36" customFormat="false" ht="15" hidden="false" customHeight="false" outlineLevel="0" collapsed="false">
      <c r="A36" s="0" t="e">
        <f aca="false">IF('CARGAR OPERACIONES'!$B40="",NA(),'CARGAR OPERACIONES'!$A40)</f>
        <v>#N/A</v>
      </c>
      <c r="B36" s="0" t="e">
        <f aca="false">IF('CARGAR OPERACIONES'!$B40="",NA(),'CARGAR OPERACIONES'!$V40)</f>
        <v>#N/A</v>
      </c>
      <c r="C36" s="0" t="e">
        <f aca="false">IF('CARGAR OPERACIONES'!$B40="",NA(),Parametros!$C$6)</f>
        <v>#N/A</v>
      </c>
    </row>
    <row r="37" customFormat="false" ht="15" hidden="false" customHeight="false" outlineLevel="0" collapsed="false">
      <c r="A37" s="0" t="e">
        <f aca="false">IF('CARGAR OPERACIONES'!$B41="",NA(),'CARGAR OPERACIONES'!$A41)</f>
        <v>#N/A</v>
      </c>
      <c r="B37" s="0" t="e">
        <f aca="false">IF('CARGAR OPERACIONES'!$B41="",NA(),'CARGAR OPERACIONES'!$V41)</f>
        <v>#N/A</v>
      </c>
      <c r="C37" s="0" t="e">
        <f aca="false">IF('CARGAR OPERACIONES'!$B41="",NA(),Parametros!$C$6)</f>
        <v>#N/A</v>
      </c>
    </row>
    <row r="38" customFormat="false" ht="15" hidden="false" customHeight="false" outlineLevel="0" collapsed="false">
      <c r="A38" s="0" t="e">
        <f aca="false">IF('CARGAR OPERACIONES'!$B42="",NA(),'CARGAR OPERACIONES'!$A42)</f>
        <v>#N/A</v>
      </c>
      <c r="B38" s="0" t="e">
        <f aca="false">IF('CARGAR OPERACIONES'!$B42="",NA(),'CARGAR OPERACIONES'!$V42)</f>
        <v>#N/A</v>
      </c>
      <c r="C38" s="0" t="e">
        <f aca="false">IF('CARGAR OPERACIONES'!$B42="",NA(),Parametros!$C$6)</f>
        <v>#N/A</v>
      </c>
    </row>
    <row r="39" customFormat="false" ht="15" hidden="false" customHeight="false" outlineLevel="0" collapsed="false">
      <c r="A39" s="0" t="e">
        <f aca="false">IF('CARGAR OPERACIONES'!$B43="",NA(),'CARGAR OPERACIONES'!$A43)</f>
        <v>#N/A</v>
      </c>
      <c r="B39" s="0" t="e">
        <f aca="false">IF('CARGAR OPERACIONES'!$B43="",NA(),'CARGAR OPERACIONES'!$V43)</f>
        <v>#N/A</v>
      </c>
      <c r="C39" s="0" t="e">
        <f aca="false">IF('CARGAR OPERACIONES'!$B43="",NA(),Parametros!$C$6)</f>
        <v>#N/A</v>
      </c>
    </row>
    <row r="40" customFormat="false" ht="15" hidden="false" customHeight="false" outlineLevel="0" collapsed="false">
      <c r="A40" s="0" t="e">
        <f aca="false">IF('CARGAR OPERACIONES'!$B44="",NA(),'CARGAR OPERACIONES'!$A44)</f>
        <v>#N/A</v>
      </c>
      <c r="B40" s="0" t="e">
        <f aca="false">IF('CARGAR OPERACIONES'!$B44="",NA(),'CARGAR OPERACIONES'!$V44)</f>
        <v>#N/A</v>
      </c>
      <c r="C40" s="0" t="e">
        <f aca="false">IF('CARGAR OPERACIONES'!$B44="",NA(),Parametros!$C$6)</f>
        <v>#N/A</v>
      </c>
    </row>
    <row r="41" customFormat="false" ht="15" hidden="false" customHeight="false" outlineLevel="0" collapsed="false">
      <c r="A41" s="0" t="e">
        <f aca="false">IF('CARGAR OPERACIONES'!$B45="",NA(),'CARGAR OPERACIONES'!$A45)</f>
        <v>#N/A</v>
      </c>
      <c r="B41" s="0" t="e">
        <f aca="false">IF('CARGAR OPERACIONES'!$B45="",NA(),'CARGAR OPERACIONES'!$V45)</f>
        <v>#N/A</v>
      </c>
      <c r="C41" s="0" t="e">
        <f aca="false">IF('CARGAR OPERACIONES'!$B45="",NA(),Parametros!$C$6)</f>
        <v>#N/A</v>
      </c>
    </row>
    <row r="42" customFormat="false" ht="15" hidden="false" customHeight="false" outlineLevel="0" collapsed="false">
      <c r="A42" s="0" t="e">
        <f aca="false">IF('CARGAR OPERACIONES'!$B46="",NA(),'CARGAR OPERACIONES'!$A46)</f>
        <v>#N/A</v>
      </c>
      <c r="B42" s="0" t="e">
        <f aca="false">IF('CARGAR OPERACIONES'!$B46="",NA(),'CARGAR OPERACIONES'!$V46)</f>
        <v>#N/A</v>
      </c>
      <c r="C42" s="0" t="e">
        <f aca="false">IF('CARGAR OPERACIONES'!$B46="",NA(),Parametros!$C$6)</f>
        <v>#N/A</v>
      </c>
    </row>
    <row r="43" customFormat="false" ht="15" hidden="false" customHeight="false" outlineLevel="0" collapsed="false">
      <c r="A43" s="0" t="e">
        <f aca="false">IF('CARGAR OPERACIONES'!$B47="",NA(),'CARGAR OPERACIONES'!$A47)</f>
        <v>#N/A</v>
      </c>
      <c r="B43" s="0" t="e">
        <f aca="false">IF('CARGAR OPERACIONES'!$B47="",NA(),'CARGAR OPERACIONES'!$V47)</f>
        <v>#N/A</v>
      </c>
      <c r="C43" s="0" t="e">
        <f aca="false">IF('CARGAR OPERACIONES'!$B47="",NA(),Parametros!$C$6)</f>
        <v>#N/A</v>
      </c>
    </row>
    <row r="44" customFormat="false" ht="15" hidden="false" customHeight="false" outlineLevel="0" collapsed="false">
      <c r="A44" s="0" t="e">
        <f aca="false">IF('CARGAR OPERACIONES'!$B48="",NA(),'CARGAR OPERACIONES'!$A48)</f>
        <v>#N/A</v>
      </c>
      <c r="B44" s="0" t="e">
        <f aca="false">IF('CARGAR OPERACIONES'!$B48="",NA(),'CARGAR OPERACIONES'!$V48)</f>
        <v>#N/A</v>
      </c>
      <c r="C44" s="0" t="e">
        <f aca="false">IF('CARGAR OPERACIONES'!$B48="",NA(),Parametros!$C$6)</f>
        <v>#N/A</v>
      </c>
    </row>
    <row r="45" customFormat="false" ht="15" hidden="false" customHeight="false" outlineLevel="0" collapsed="false">
      <c r="A45" s="0" t="e">
        <f aca="false">IF('CARGAR OPERACIONES'!$B49="",NA(),'CARGAR OPERACIONES'!$A49)</f>
        <v>#N/A</v>
      </c>
      <c r="B45" s="0" t="e">
        <f aca="false">IF('CARGAR OPERACIONES'!$B49="",NA(),'CARGAR OPERACIONES'!$V49)</f>
        <v>#N/A</v>
      </c>
      <c r="C45" s="0" t="e">
        <f aca="false">IF('CARGAR OPERACIONES'!$B49="",NA(),Parametros!$C$6)</f>
        <v>#N/A</v>
      </c>
    </row>
    <row r="46" customFormat="false" ht="15" hidden="false" customHeight="false" outlineLevel="0" collapsed="false">
      <c r="A46" s="0" t="e">
        <f aca="false">IF('CARGAR OPERACIONES'!$B50="",NA(),'CARGAR OPERACIONES'!$A50)</f>
        <v>#N/A</v>
      </c>
      <c r="B46" s="0" t="e">
        <f aca="false">IF('CARGAR OPERACIONES'!$B50="",NA(),'CARGAR OPERACIONES'!$V50)</f>
        <v>#N/A</v>
      </c>
      <c r="C46" s="0" t="e">
        <f aca="false">IF('CARGAR OPERACIONES'!$B50="",NA(),Parametros!$C$6)</f>
        <v>#N/A</v>
      </c>
    </row>
    <row r="47" customFormat="false" ht="15" hidden="false" customHeight="false" outlineLevel="0" collapsed="false">
      <c r="A47" s="0" t="e">
        <f aca="false">IF('CARGAR OPERACIONES'!$B51="",NA(),'CARGAR OPERACIONES'!$A51)</f>
        <v>#N/A</v>
      </c>
      <c r="B47" s="0" t="e">
        <f aca="false">IF('CARGAR OPERACIONES'!$B51="",NA(),'CARGAR OPERACIONES'!$V51)</f>
        <v>#N/A</v>
      </c>
      <c r="C47" s="0" t="e">
        <f aca="false">IF('CARGAR OPERACIONES'!$B51="",NA(),Parametros!$C$6)</f>
        <v>#N/A</v>
      </c>
    </row>
    <row r="48" customFormat="false" ht="15" hidden="false" customHeight="false" outlineLevel="0" collapsed="false">
      <c r="A48" s="0" t="e">
        <f aca="false">IF('CARGAR OPERACIONES'!$B52="",NA(),'CARGAR OPERACIONES'!$A52)</f>
        <v>#N/A</v>
      </c>
      <c r="B48" s="0" t="e">
        <f aca="false">IF('CARGAR OPERACIONES'!$B52="",NA(),'CARGAR OPERACIONES'!$V52)</f>
        <v>#N/A</v>
      </c>
      <c r="C48" s="0" t="e">
        <f aca="false">IF('CARGAR OPERACIONES'!$B52="",NA(),Parametros!$C$6)</f>
        <v>#N/A</v>
      </c>
    </row>
    <row r="49" customFormat="false" ht="15" hidden="false" customHeight="false" outlineLevel="0" collapsed="false">
      <c r="A49" s="0" t="e">
        <f aca="false">IF('CARGAR OPERACIONES'!$B53="",NA(),'CARGAR OPERACIONES'!$A53)</f>
        <v>#N/A</v>
      </c>
      <c r="B49" s="0" t="e">
        <f aca="false">IF('CARGAR OPERACIONES'!$B53="",NA(),'CARGAR OPERACIONES'!$V53)</f>
        <v>#N/A</v>
      </c>
      <c r="C49" s="0" t="e">
        <f aca="false">IF('CARGAR OPERACIONES'!$B53="",NA(),Parametros!$C$6)</f>
        <v>#N/A</v>
      </c>
    </row>
    <row r="50" customFormat="false" ht="15" hidden="false" customHeight="false" outlineLevel="0" collapsed="false">
      <c r="A50" s="0" t="e">
        <f aca="false">IF('CARGAR OPERACIONES'!$B54="",NA(),'CARGAR OPERACIONES'!$A54)</f>
        <v>#N/A</v>
      </c>
      <c r="B50" s="0" t="e">
        <f aca="false">IF('CARGAR OPERACIONES'!$B54="",NA(),'CARGAR OPERACIONES'!$V54)</f>
        <v>#N/A</v>
      </c>
      <c r="C50" s="0" t="e">
        <f aca="false">IF('CARGAR OPERACIONES'!$B54="",NA(),Parametros!$C$6)</f>
        <v>#N/A</v>
      </c>
    </row>
    <row r="51" customFormat="false" ht="15" hidden="false" customHeight="false" outlineLevel="0" collapsed="false">
      <c r="A51" s="0" t="e">
        <f aca="false">IF('CARGAR OPERACIONES'!$B55="",NA(),'CARGAR OPERACIONES'!$A55)</f>
        <v>#N/A</v>
      </c>
      <c r="B51" s="0" t="e">
        <f aca="false">IF('CARGAR OPERACIONES'!$B55="",NA(),'CARGAR OPERACIONES'!$V55)</f>
        <v>#N/A</v>
      </c>
      <c r="C51" s="0" t="e">
        <f aca="false">IF('CARGAR OPERACIONES'!$B55="",NA(),Parametros!$C$6)</f>
        <v>#N/A</v>
      </c>
    </row>
    <row r="52" customFormat="false" ht="15" hidden="false" customHeight="false" outlineLevel="0" collapsed="false">
      <c r="A52" s="0" t="e">
        <f aca="false">IF('CARGAR OPERACIONES'!$B56="",NA(),'CARGAR OPERACIONES'!$A56)</f>
        <v>#N/A</v>
      </c>
      <c r="B52" s="0" t="e">
        <f aca="false">IF('CARGAR OPERACIONES'!$B56="",NA(),'CARGAR OPERACIONES'!$V56)</f>
        <v>#N/A</v>
      </c>
      <c r="C52" s="0" t="e">
        <f aca="false">IF('CARGAR OPERACIONES'!$B56="",NA(),Parametros!$C$6)</f>
        <v>#N/A</v>
      </c>
    </row>
    <row r="53" customFormat="false" ht="15" hidden="false" customHeight="false" outlineLevel="0" collapsed="false">
      <c r="A53" s="0" t="e">
        <f aca="false">IF('CARGAR OPERACIONES'!$B57="",NA(),'CARGAR OPERACIONES'!$A57)</f>
        <v>#N/A</v>
      </c>
      <c r="B53" s="0" t="e">
        <f aca="false">IF('CARGAR OPERACIONES'!$B57="",NA(),'CARGAR OPERACIONES'!$V57)</f>
        <v>#N/A</v>
      </c>
      <c r="C53" s="0" t="e">
        <f aca="false">IF('CARGAR OPERACIONES'!$B57="",NA(),Parametros!$C$6)</f>
        <v>#N/A</v>
      </c>
    </row>
    <row r="54" customFormat="false" ht="15" hidden="false" customHeight="false" outlineLevel="0" collapsed="false">
      <c r="A54" s="0" t="e">
        <f aca="false">IF('CARGAR OPERACIONES'!$B58="",NA(),'CARGAR OPERACIONES'!$A58)</f>
        <v>#N/A</v>
      </c>
      <c r="B54" s="0" t="e">
        <f aca="false">IF('CARGAR OPERACIONES'!$B58="",NA(),'CARGAR OPERACIONES'!$V58)</f>
        <v>#N/A</v>
      </c>
      <c r="C54" s="0" t="e">
        <f aca="false">IF('CARGAR OPERACIONES'!$B58="",NA(),Parametros!$C$6)</f>
        <v>#N/A</v>
      </c>
    </row>
    <row r="55" customFormat="false" ht="15" hidden="false" customHeight="false" outlineLevel="0" collapsed="false">
      <c r="A55" s="0" t="e">
        <f aca="false">IF('CARGAR OPERACIONES'!$B59="",NA(),'CARGAR OPERACIONES'!$A59)</f>
        <v>#N/A</v>
      </c>
      <c r="B55" s="0" t="e">
        <f aca="false">IF('CARGAR OPERACIONES'!$B59="",NA(),'CARGAR OPERACIONES'!$V59)</f>
        <v>#N/A</v>
      </c>
      <c r="C55" s="0" t="e">
        <f aca="false">IF('CARGAR OPERACIONES'!$B59="",NA(),Parametros!$C$6)</f>
        <v>#N/A</v>
      </c>
    </row>
    <row r="56" customFormat="false" ht="15" hidden="false" customHeight="false" outlineLevel="0" collapsed="false">
      <c r="A56" s="0" t="e">
        <f aca="false">IF('CARGAR OPERACIONES'!$B60="",NA(),'CARGAR OPERACIONES'!$A60)</f>
        <v>#N/A</v>
      </c>
      <c r="B56" s="0" t="e">
        <f aca="false">IF('CARGAR OPERACIONES'!$B60="",NA(),'CARGAR OPERACIONES'!$V60)</f>
        <v>#N/A</v>
      </c>
      <c r="C56" s="0" t="e">
        <f aca="false">IF('CARGAR OPERACIONES'!$B60="",NA(),Parametros!$C$6)</f>
        <v>#N/A</v>
      </c>
    </row>
    <row r="57" customFormat="false" ht="15" hidden="false" customHeight="false" outlineLevel="0" collapsed="false">
      <c r="A57" s="0" t="e">
        <f aca="false">IF('CARGAR OPERACIONES'!$B61="",NA(),'CARGAR OPERACIONES'!$A61)</f>
        <v>#N/A</v>
      </c>
      <c r="B57" s="0" t="e">
        <f aca="false">IF('CARGAR OPERACIONES'!$B61="",NA(),'CARGAR OPERACIONES'!$V61)</f>
        <v>#N/A</v>
      </c>
      <c r="C57" s="0" t="e">
        <f aca="false">IF('CARGAR OPERACIONES'!$B61="",NA(),Parametros!$C$6)</f>
        <v>#N/A</v>
      </c>
    </row>
    <row r="58" customFormat="false" ht="15" hidden="false" customHeight="false" outlineLevel="0" collapsed="false">
      <c r="A58" s="0" t="e">
        <f aca="false">IF('CARGAR OPERACIONES'!$B62="",NA(),'CARGAR OPERACIONES'!$A62)</f>
        <v>#N/A</v>
      </c>
      <c r="B58" s="0" t="e">
        <f aca="false">IF('CARGAR OPERACIONES'!$B62="",NA(),'CARGAR OPERACIONES'!$V62)</f>
        <v>#N/A</v>
      </c>
      <c r="C58" s="0" t="e">
        <f aca="false">IF('CARGAR OPERACIONES'!$B62="",NA(),Parametros!$C$6)</f>
        <v>#N/A</v>
      </c>
    </row>
    <row r="59" customFormat="false" ht="15" hidden="false" customHeight="false" outlineLevel="0" collapsed="false">
      <c r="A59" s="0" t="e">
        <f aca="false">IF('CARGAR OPERACIONES'!$B63="",NA(),'CARGAR OPERACIONES'!$A63)</f>
        <v>#N/A</v>
      </c>
      <c r="B59" s="0" t="e">
        <f aca="false">IF('CARGAR OPERACIONES'!$B63="",NA(),'CARGAR OPERACIONES'!$V63)</f>
        <v>#N/A</v>
      </c>
      <c r="C59" s="0" t="e">
        <f aca="false">IF('CARGAR OPERACIONES'!$B63="",NA(),Parametros!$C$6)</f>
        <v>#N/A</v>
      </c>
    </row>
    <row r="60" customFormat="false" ht="15" hidden="false" customHeight="false" outlineLevel="0" collapsed="false">
      <c r="A60" s="0" t="e">
        <f aca="false">IF('CARGAR OPERACIONES'!$B64="",NA(),'CARGAR OPERACIONES'!$A64)</f>
        <v>#N/A</v>
      </c>
      <c r="B60" s="0" t="e">
        <f aca="false">IF('CARGAR OPERACIONES'!$B64="",NA(),'CARGAR OPERACIONES'!$V64)</f>
        <v>#N/A</v>
      </c>
      <c r="C60" s="0" t="e">
        <f aca="false">IF('CARGAR OPERACIONES'!$B64="",NA(),Parametros!$C$6)</f>
        <v>#N/A</v>
      </c>
    </row>
    <row r="61" customFormat="false" ht="15" hidden="false" customHeight="false" outlineLevel="0" collapsed="false">
      <c r="A61" s="0" t="e">
        <f aca="false">IF('CARGAR OPERACIONES'!$B65="",NA(),'CARGAR OPERACIONES'!$A65)</f>
        <v>#N/A</v>
      </c>
      <c r="B61" s="0" t="e">
        <f aca="false">IF('CARGAR OPERACIONES'!$B65="",NA(),'CARGAR OPERACIONES'!$V65)</f>
        <v>#N/A</v>
      </c>
      <c r="C61" s="0" t="e">
        <f aca="false">IF('CARGAR OPERACIONES'!$B65="",NA(),Parametros!$C$6)</f>
        <v>#N/A</v>
      </c>
    </row>
    <row r="62" customFormat="false" ht="15" hidden="false" customHeight="false" outlineLevel="0" collapsed="false">
      <c r="A62" s="0" t="e">
        <f aca="false">IF('CARGAR OPERACIONES'!$B66="",NA(),'CARGAR OPERACIONES'!$A66)</f>
        <v>#N/A</v>
      </c>
      <c r="B62" s="0" t="e">
        <f aca="false">IF('CARGAR OPERACIONES'!$B66="",NA(),'CARGAR OPERACIONES'!$V66)</f>
        <v>#N/A</v>
      </c>
      <c r="C62" s="0" t="e">
        <f aca="false">IF('CARGAR OPERACIONES'!$B66="",NA(),Parametros!$C$6)</f>
        <v>#N/A</v>
      </c>
    </row>
    <row r="63" customFormat="false" ht="15" hidden="false" customHeight="false" outlineLevel="0" collapsed="false">
      <c r="A63" s="0" t="e">
        <f aca="false">IF('CARGAR OPERACIONES'!$B67="",NA(),'CARGAR OPERACIONES'!$A67)</f>
        <v>#N/A</v>
      </c>
      <c r="B63" s="0" t="e">
        <f aca="false">IF('CARGAR OPERACIONES'!$B67="",NA(),'CARGAR OPERACIONES'!$V67)</f>
        <v>#N/A</v>
      </c>
      <c r="C63" s="0" t="e">
        <f aca="false">IF('CARGAR OPERACIONES'!$B67="",NA(),Parametros!$C$6)</f>
        <v>#N/A</v>
      </c>
    </row>
    <row r="64" customFormat="false" ht="15" hidden="false" customHeight="false" outlineLevel="0" collapsed="false">
      <c r="A64" s="0" t="e">
        <f aca="false">IF('CARGAR OPERACIONES'!$B68="",NA(),'CARGAR OPERACIONES'!$A68)</f>
        <v>#N/A</v>
      </c>
      <c r="B64" s="0" t="e">
        <f aca="false">IF('CARGAR OPERACIONES'!$B68="",NA(),'CARGAR OPERACIONES'!$V68)</f>
        <v>#N/A</v>
      </c>
      <c r="C64" s="0" t="e">
        <f aca="false">IF('CARGAR OPERACIONES'!$B68="",NA(),Parametros!$C$6)</f>
        <v>#N/A</v>
      </c>
    </row>
    <row r="65" customFormat="false" ht="15" hidden="false" customHeight="false" outlineLevel="0" collapsed="false">
      <c r="A65" s="0" t="e">
        <f aca="false">IF('CARGAR OPERACIONES'!$B69="",NA(),'CARGAR OPERACIONES'!$A69)</f>
        <v>#N/A</v>
      </c>
      <c r="B65" s="0" t="e">
        <f aca="false">IF('CARGAR OPERACIONES'!$B69="",NA(),'CARGAR OPERACIONES'!$V69)</f>
        <v>#N/A</v>
      </c>
      <c r="C65" s="0" t="e">
        <f aca="false">IF('CARGAR OPERACIONES'!$B69="",NA(),Parametros!$C$6)</f>
        <v>#N/A</v>
      </c>
    </row>
    <row r="66" customFormat="false" ht="15" hidden="false" customHeight="false" outlineLevel="0" collapsed="false">
      <c r="A66" s="0" t="e">
        <f aca="false">IF('CARGAR OPERACIONES'!$B70="",NA(),'CARGAR OPERACIONES'!$A70)</f>
        <v>#N/A</v>
      </c>
      <c r="B66" s="0" t="e">
        <f aca="false">IF('CARGAR OPERACIONES'!$B70="",NA(),'CARGAR OPERACIONES'!$V70)</f>
        <v>#N/A</v>
      </c>
      <c r="C66" s="0" t="e">
        <f aca="false">IF('CARGAR OPERACIONES'!$B70="",NA(),Parametros!$C$6)</f>
        <v>#N/A</v>
      </c>
    </row>
    <row r="67" customFormat="false" ht="15" hidden="false" customHeight="false" outlineLevel="0" collapsed="false">
      <c r="A67" s="0" t="e">
        <f aca="false">IF('CARGAR OPERACIONES'!$B71="",NA(),'CARGAR OPERACIONES'!$A71)</f>
        <v>#N/A</v>
      </c>
      <c r="B67" s="0" t="e">
        <f aca="false">IF('CARGAR OPERACIONES'!$B71="",NA(),'CARGAR OPERACIONES'!$V71)</f>
        <v>#N/A</v>
      </c>
      <c r="C67" s="0" t="e">
        <f aca="false">IF('CARGAR OPERACIONES'!$B71="",NA(),Parametros!$C$6)</f>
        <v>#N/A</v>
      </c>
    </row>
    <row r="68" customFormat="false" ht="15" hidden="false" customHeight="false" outlineLevel="0" collapsed="false">
      <c r="A68" s="0" t="e">
        <f aca="false">IF('CARGAR OPERACIONES'!$B72="",NA(),'CARGAR OPERACIONES'!$A72)</f>
        <v>#N/A</v>
      </c>
      <c r="B68" s="0" t="e">
        <f aca="false">IF('CARGAR OPERACIONES'!$B72="",NA(),'CARGAR OPERACIONES'!$V72)</f>
        <v>#N/A</v>
      </c>
      <c r="C68" s="0" t="e">
        <f aca="false">IF('CARGAR OPERACIONES'!$B72="",NA(),Parametros!$C$6)</f>
        <v>#N/A</v>
      </c>
    </row>
    <row r="69" customFormat="false" ht="15" hidden="false" customHeight="false" outlineLevel="0" collapsed="false">
      <c r="A69" s="0" t="e">
        <f aca="false">IF('CARGAR OPERACIONES'!$B73="",NA(),'CARGAR OPERACIONES'!$A73)</f>
        <v>#N/A</v>
      </c>
      <c r="B69" s="0" t="e">
        <f aca="false">IF('CARGAR OPERACIONES'!$B73="",NA(),'CARGAR OPERACIONES'!$V73)</f>
        <v>#N/A</v>
      </c>
      <c r="C69" s="0" t="e">
        <f aca="false">IF('CARGAR OPERACIONES'!$B73="",NA(),Parametros!$C$6)</f>
        <v>#N/A</v>
      </c>
    </row>
    <row r="70" customFormat="false" ht="15" hidden="false" customHeight="false" outlineLevel="0" collapsed="false">
      <c r="A70" s="0" t="e">
        <f aca="false">IF('CARGAR OPERACIONES'!$B74="",NA(),'CARGAR OPERACIONES'!$A74)</f>
        <v>#N/A</v>
      </c>
      <c r="B70" s="0" t="e">
        <f aca="false">IF('CARGAR OPERACIONES'!$B74="",NA(),'CARGAR OPERACIONES'!$V74)</f>
        <v>#N/A</v>
      </c>
      <c r="C70" s="0" t="e">
        <f aca="false">IF('CARGAR OPERACIONES'!$B74="",NA(),Parametros!$C$6)</f>
        <v>#N/A</v>
      </c>
    </row>
    <row r="71" customFormat="false" ht="15" hidden="false" customHeight="false" outlineLevel="0" collapsed="false">
      <c r="A71" s="0" t="e">
        <f aca="false">IF('CARGAR OPERACIONES'!$B75="",NA(),'CARGAR OPERACIONES'!$A75)</f>
        <v>#N/A</v>
      </c>
      <c r="B71" s="0" t="e">
        <f aca="false">IF('CARGAR OPERACIONES'!$B75="",NA(),'CARGAR OPERACIONES'!$V75)</f>
        <v>#N/A</v>
      </c>
      <c r="C71" s="0" t="e">
        <f aca="false">IF('CARGAR OPERACIONES'!$B75="",NA(),Parametros!$C$6)</f>
        <v>#N/A</v>
      </c>
    </row>
    <row r="72" customFormat="false" ht="15" hidden="false" customHeight="false" outlineLevel="0" collapsed="false">
      <c r="A72" s="0" t="e">
        <f aca="false">IF('CARGAR OPERACIONES'!$B76="",NA(),'CARGAR OPERACIONES'!$A76)</f>
        <v>#N/A</v>
      </c>
      <c r="B72" s="0" t="e">
        <f aca="false">IF('CARGAR OPERACIONES'!$B76="",NA(),'CARGAR OPERACIONES'!$V76)</f>
        <v>#N/A</v>
      </c>
      <c r="C72" s="0" t="e">
        <f aca="false">IF('CARGAR OPERACIONES'!$B76="",NA(),Parametros!$C$6)</f>
        <v>#N/A</v>
      </c>
    </row>
    <row r="73" customFormat="false" ht="15" hidden="false" customHeight="false" outlineLevel="0" collapsed="false">
      <c r="A73" s="0" t="e">
        <f aca="false">IF('CARGAR OPERACIONES'!$B77="",NA(),'CARGAR OPERACIONES'!$A77)</f>
        <v>#N/A</v>
      </c>
      <c r="B73" s="0" t="e">
        <f aca="false">IF('CARGAR OPERACIONES'!$B77="",NA(),'CARGAR OPERACIONES'!$V77)</f>
        <v>#N/A</v>
      </c>
      <c r="C73" s="0" t="e">
        <f aca="false">IF('CARGAR OPERACIONES'!$B77="",NA(),Parametros!$C$6)</f>
        <v>#N/A</v>
      </c>
    </row>
    <row r="74" customFormat="false" ht="15" hidden="false" customHeight="false" outlineLevel="0" collapsed="false">
      <c r="A74" s="0" t="e">
        <f aca="false">IF('CARGAR OPERACIONES'!$B78="",NA(),'CARGAR OPERACIONES'!$A78)</f>
        <v>#N/A</v>
      </c>
      <c r="B74" s="0" t="e">
        <f aca="false">IF('CARGAR OPERACIONES'!$B78="",NA(),'CARGAR OPERACIONES'!$V78)</f>
        <v>#N/A</v>
      </c>
      <c r="C74" s="0" t="e">
        <f aca="false">IF('CARGAR OPERACIONES'!$B78="",NA(),Parametros!$C$6)</f>
        <v>#N/A</v>
      </c>
    </row>
    <row r="75" customFormat="false" ht="15" hidden="false" customHeight="false" outlineLevel="0" collapsed="false">
      <c r="A75" s="0" t="e">
        <f aca="false">IF('CARGAR OPERACIONES'!$B79="",NA(),'CARGAR OPERACIONES'!$A79)</f>
        <v>#N/A</v>
      </c>
      <c r="B75" s="0" t="e">
        <f aca="false">IF('CARGAR OPERACIONES'!$B79="",NA(),'CARGAR OPERACIONES'!$V79)</f>
        <v>#N/A</v>
      </c>
      <c r="C75" s="0" t="e">
        <f aca="false">IF('CARGAR OPERACIONES'!$B79="",NA(),Parametros!$C$6)</f>
        <v>#N/A</v>
      </c>
    </row>
    <row r="76" customFormat="false" ht="15" hidden="false" customHeight="false" outlineLevel="0" collapsed="false">
      <c r="A76" s="0" t="e">
        <f aca="false">IF('CARGAR OPERACIONES'!$B80="",NA(),'CARGAR OPERACIONES'!$A80)</f>
        <v>#N/A</v>
      </c>
      <c r="B76" s="0" t="e">
        <f aca="false">IF('CARGAR OPERACIONES'!$B80="",NA(),'CARGAR OPERACIONES'!$V80)</f>
        <v>#N/A</v>
      </c>
      <c r="C76" s="0" t="e">
        <f aca="false">IF('CARGAR OPERACIONES'!$B80="",NA(),Parametros!$C$6)</f>
        <v>#N/A</v>
      </c>
    </row>
    <row r="77" customFormat="false" ht="15" hidden="false" customHeight="false" outlineLevel="0" collapsed="false">
      <c r="A77" s="0" t="e">
        <f aca="false">IF('CARGAR OPERACIONES'!$B81="",NA(),'CARGAR OPERACIONES'!$A81)</f>
        <v>#N/A</v>
      </c>
      <c r="B77" s="0" t="e">
        <f aca="false">IF('CARGAR OPERACIONES'!$B81="",NA(),'CARGAR OPERACIONES'!$V81)</f>
        <v>#N/A</v>
      </c>
      <c r="C77" s="0" t="e">
        <f aca="false">IF('CARGAR OPERACIONES'!$B81="",NA(),Parametros!$C$6)</f>
        <v>#N/A</v>
      </c>
    </row>
    <row r="78" customFormat="false" ht="15" hidden="false" customHeight="false" outlineLevel="0" collapsed="false">
      <c r="A78" s="0" t="e">
        <f aca="false">IF('CARGAR OPERACIONES'!$B82="",NA(),'CARGAR OPERACIONES'!$A82)</f>
        <v>#N/A</v>
      </c>
      <c r="B78" s="0" t="e">
        <f aca="false">IF('CARGAR OPERACIONES'!$B82="",NA(),'CARGAR OPERACIONES'!$V82)</f>
        <v>#N/A</v>
      </c>
      <c r="C78" s="0" t="e">
        <f aca="false">IF('CARGAR OPERACIONES'!$B82="",NA(),Parametros!$C$6)</f>
        <v>#N/A</v>
      </c>
    </row>
    <row r="79" customFormat="false" ht="15" hidden="false" customHeight="false" outlineLevel="0" collapsed="false">
      <c r="A79" s="0" t="e">
        <f aca="false">IF('CARGAR OPERACIONES'!$B83="",NA(),'CARGAR OPERACIONES'!$A83)</f>
        <v>#N/A</v>
      </c>
      <c r="B79" s="0" t="e">
        <f aca="false">IF('CARGAR OPERACIONES'!$B83="",NA(),'CARGAR OPERACIONES'!$V83)</f>
        <v>#N/A</v>
      </c>
      <c r="C79" s="0" t="e">
        <f aca="false">IF('CARGAR OPERACIONES'!$B83="",NA(),Parametros!$C$6)</f>
        <v>#N/A</v>
      </c>
    </row>
    <row r="80" customFormat="false" ht="15" hidden="false" customHeight="false" outlineLevel="0" collapsed="false">
      <c r="A80" s="0" t="e">
        <f aca="false">IF('CARGAR OPERACIONES'!$B84="",NA(),'CARGAR OPERACIONES'!$A84)</f>
        <v>#N/A</v>
      </c>
      <c r="B80" s="0" t="e">
        <f aca="false">IF('CARGAR OPERACIONES'!$B84="",NA(),'CARGAR OPERACIONES'!$V84)</f>
        <v>#N/A</v>
      </c>
      <c r="C80" s="0" t="e">
        <f aca="false">IF('CARGAR OPERACIONES'!$B84="",NA(),Parametros!$C$6)</f>
        <v>#N/A</v>
      </c>
    </row>
    <row r="81" customFormat="false" ht="15" hidden="false" customHeight="false" outlineLevel="0" collapsed="false">
      <c r="A81" s="0" t="e">
        <f aca="false">IF('CARGAR OPERACIONES'!$B85="",NA(),'CARGAR OPERACIONES'!$A85)</f>
        <v>#N/A</v>
      </c>
      <c r="B81" s="0" t="e">
        <f aca="false">IF('CARGAR OPERACIONES'!$B85="",NA(),'CARGAR OPERACIONES'!$V85)</f>
        <v>#N/A</v>
      </c>
      <c r="C81" s="0" t="e">
        <f aca="false">IF('CARGAR OPERACIONES'!$B85="",NA(),Parametros!$C$6)</f>
        <v>#N/A</v>
      </c>
    </row>
    <row r="82" customFormat="false" ht="15" hidden="false" customHeight="false" outlineLevel="0" collapsed="false">
      <c r="A82" s="0" t="e">
        <f aca="false">IF('CARGAR OPERACIONES'!$B86="",NA(),'CARGAR OPERACIONES'!$A86)</f>
        <v>#N/A</v>
      </c>
      <c r="B82" s="0" t="e">
        <f aca="false">IF('CARGAR OPERACIONES'!$B86="",NA(),'CARGAR OPERACIONES'!$V86)</f>
        <v>#N/A</v>
      </c>
      <c r="C82" s="0" t="e">
        <f aca="false">IF('CARGAR OPERACIONES'!$B86="",NA(),Parametros!$C$6)</f>
        <v>#N/A</v>
      </c>
    </row>
    <row r="83" customFormat="false" ht="15" hidden="false" customHeight="false" outlineLevel="0" collapsed="false">
      <c r="A83" s="0" t="e">
        <f aca="false">IF('CARGAR OPERACIONES'!$B87="",NA(),'CARGAR OPERACIONES'!$A87)</f>
        <v>#N/A</v>
      </c>
      <c r="B83" s="0" t="e">
        <f aca="false">IF('CARGAR OPERACIONES'!$B87="",NA(),'CARGAR OPERACIONES'!$V87)</f>
        <v>#N/A</v>
      </c>
      <c r="C83" s="0" t="e">
        <f aca="false">IF('CARGAR OPERACIONES'!$B87="",NA(),Parametros!$C$6)</f>
        <v>#N/A</v>
      </c>
    </row>
    <row r="84" customFormat="false" ht="15" hidden="false" customHeight="false" outlineLevel="0" collapsed="false">
      <c r="A84" s="0" t="e">
        <f aca="false">IF('CARGAR OPERACIONES'!$B88="",NA(),'CARGAR OPERACIONES'!$A88)</f>
        <v>#N/A</v>
      </c>
      <c r="B84" s="0" t="e">
        <f aca="false">IF('CARGAR OPERACIONES'!$B88="",NA(),'CARGAR OPERACIONES'!$V88)</f>
        <v>#N/A</v>
      </c>
      <c r="C84" s="0" t="e">
        <f aca="false">IF('CARGAR OPERACIONES'!$B88="",NA(),Parametros!$C$6)</f>
        <v>#N/A</v>
      </c>
    </row>
    <row r="85" customFormat="false" ht="15" hidden="false" customHeight="false" outlineLevel="0" collapsed="false">
      <c r="A85" s="0" t="e">
        <f aca="false">IF('CARGAR OPERACIONES'!$B89="",NA(),'CARGAR OPERACIONES'!$A89)</f>
        <v>#N/A</v>
      </c>
      <c r="B85" s="0" t="e">
        <f aca="false">IF('CARGAR OPERACIONES'!$B89="",NA(),'CARGAR OPERACIONES'!$V89)</f>
        <v>#N/A</v>
      </c>
      <c r="C85" s="0" t="e">
        <f aca="false">IF('CARGAR OPERACIONES'!$B89="",NA(),Parametros!$C$6)</f>
        <v>#N/A</v>
      </c>
    </row>
    <row r="86" customFormat="false" ht="15" hidden="false" customHeight="false" outlineLevel="0" collapsed="false">
      <c r="A86" s="0" t="e">
        <f aca="false">IF('CARGAR OPERACIONES'!$B90="",NA(),'CARGAR OPERACIONES'!$A90)</f>
        <v>#N/A</v>
      </c>
      <c r="B86" s="0" t="e">
        <f aca="false">IF('CARGAR OPERACIONES'!$B90="",NA(),'CARGAR OPERACIONES'!$V90)</f>
        <v>#N/A</v>
      </c>
      <c r="C86" s="0" t="e">
        <f aca="false">IF('CARGAR OPERACIONES'!$B90="",NA(),Parametros!$C$6)</f>
        <v>#N/A</v>
      </c>
    </row>
    <row r="87" customFormat="false" ht="15" hidden="false" customHeight="false" outlineLevel="0" collapsed="false">
      <c r="A87" s="0" t="e">
        <f aca="false">IF('CARGAR OPERACIONES'!$B91="",NA(),'CARGAR OPERACIONES'!$A91)</f>
        <v>#N/A</v>
      </c>
      <c r="B87" s="0" t="e">
        <f aca="false">IF('CARGAR OPERACIONES'!$B91="",NA(),'CARGAR OPERACIONES'!$V91)</f>
        <v>#N/A</v>
      </c>
      <c r="C87" s="0" t="e">
        <f aca="false">IF('CARGAR OPERACIONES'!$B91="",NA(),Parametros!$C$6)</f>
        <v>#N/A</v>
      </c>
    </row>
    <row r="88" customFormat="false" ht="15" hidden="false" customHeight="false" outlineLevel="0" collapsed="false">
      <c r="A88" s="0" t="e">
        <f aca="false">IF('CARGAR OPERACIONES'!$B92="",NA(),'CARGAR OPERACIONES'!$A92)</f>
        <v>#N/A</v>
      </c>
      <c r="B88" s="0" t="e">
        <f aca="false">IF('CARGAR OPERACIONES'!$B92="",NA(),'CARGAR OPERACIONES'!$V92)</f>
        <v>#N/A</v>
      </c>
      <c r="C88" s="0" t="e">
        <f aca="false">IF('CARGAR OPERACIONES'!$B92="",NA(),Parametros!$C$6)</f>
        <v>#N/A</v>
      </c>
    </row>
    <row r="89" customFormat="false" ht="15" hidden="false" customHeight="false" outlineLevel="0" collapsed="false">
      <c r="A89" s="0" t="e">
        <f aca="false">IF('CARGAR OPERACIONES'!$B93="",NA(),'CARGAR OPERACIONES'!$A93)</f>
        <v>#N/A</v>
      </c>
      <c r="B89" s="0" t="e">
        <f aca="false">IF('CARGAR OPERACIONES'!$B93="",NA(),'CARGAR OPERACIONES'!$V93)</f>
        <v>#N/A</v>
      </c>
      <c r="C89" s="0" t="e">
        <f aca="false">IF('CARGAR OPERACIONES'!$B93="",NA(),Parametros!$C$6)</f>
        <v>#N/A</v>
      </c>
    </row>
    <row r="90" customFormat="false" ht="15" hidden="false" customHeight="false" outlineLevel="0" collapsed="false">
      <c r="A90" s="0" t="e">
        <f aca="false">IF('CARGAR OPERACIONES'!$B94="",NA(),'CARGAR OPERACIONES'!$A94)</f>
        <v>#N/A</v>
      </c>
      <c r="B90" s="0" t="e">
        <f aca="false">IF('CARGAR OPERACIONES'!$B94="",NA(),'CARGAR OPERACIONES'!$V94)</f>
        <v>#N/A</v>
      </c>
      <c r="C90" s="0" t="e">
        <f aca="false">IF('CARGAR OPERACIONES'!$B94="",NA(),Parametros!$C$6)</f>
        <v>#N/A</v>
      </c>
    </row>
    <row r="91" customFormat="false" ht="15" hidden="false" customHeight="false" outlineLevel="0" collapsed="false">
      <c r="A91" s="0" t="e">
        <f aca="false">IF('CARGAR OPERACIONES'!$B95="",NA(),'CARGAR OPERACIONES'!$A95)</f>
        <v>#N/A</v>
      </c>
      <c r="B91" s="0" t="e">
        <f aca="false">IF('CARGAR OPERACIONES'!$B95="",NA(),'CARGAR OPERACIONES'!$V95)</f>
        <v>#N/A</v>
      </c>
      <c r="C91" s="0" t="e">
        <f aca="false">IF('CARGAR OPERACIONES'!$B95="",NA(),Parametros!$C$6)</f>
        <v>#N/A</v>
      </c>
    </row>
    <row r="92" customFormat="false" ht="15" hidden="false" customHeight="false" outlineLevel="0" collapsed="false">
      <c r="A92" s="0" t="e">
        <f aca="false">IF('CARGAR OPERACIONES'!$B96="",NA(),'CARGAR OPERACIONES'!$A96)</f>
        <v>#N/A</v>
      </c>
      <c r="B92" s="0" t="e">
        <f aca="false">IF('CARGAR OPERACIONES'!$B96="",NA(),'CARGAR OPERACIONES'!$V96)</f>
        <v>#N/A</v>
      </c>
      <c r="C92" s="0" t="e">
        <f aca="false">IF('CARGAR OPERACIONES'!$B96="",NA(),Parametros!$C$6)</f>
        <v>#N/A</v>
      </c>
    </row>
    <row r="93" customFormat="false" ht="15" hidden="false" customHeight="false" outlineLevel="0" collapsed="false">
      <c r="A93" s="0" t="e">
        <f aca="false">IF('CARGAR OPERACIONES'!$B97="",NA(),'CARGAR OPERACIONES'!$A97)</f>
        <v>#N/A</v>
      </c>
      <c r="B93" s="0" t="e">
        <f aca="false">IF('CARGAR OPERACIONES'!$B97="",NA(),'CARGAR OPERACIONES'!$V97)</f>
        <v>#N/A</v>
      </c>
      <c r="C93" s="0" t="e">
        <f aca="false">IF('CARGAR OPERACIONES'!$B97="",NA(),Parametros!$C$6)</f>
        <v>#N/A</v>
      </c>
    </row>
    <row r="94" customFormat="false" ht="15" hidden="false" customHeight="false" outlineLevel="0" collapsed="false">
      <c r="A94" s="0" t="e">
        <f aca="false">IF('CARGAR OPERACIONES'!$B98="",NA(),'CARGAR OPERACIONES'!$A98)</f>
        <v>#N/A</v>
      </c>
      <c r="B94" s="0" t="e">
        <f aca="false">IF('CARGAR OPERACIONES'!$B98="",NA(),'CARGAR OPERACIONES'!$V98)</f>
        <v>#N/A</v>
      </c>
      <c r="C94" s="0" t="e">
        <f aca="false">IF('CARGAR OPERACIONES'!$B98="",NA(),Parametros!$C$6)</f>
        <v>#N/A</v>
      </c>
    </row>
    <row r="95" customFormat="false" ht="15" hidden="false" customHeight="false" outlineLevel="0" collapsed="false">
      <c r="A95" s="0" t="e">
        <f aca="false">IF('CARGAR OPERACIONES'!$B99="",NA(),'CARGAR OPERACIONES'!$A99)</f>
        <v>#N/A</v>
      </c>
      <c r="B95" s="0" t="e">
        <f aca="false">IF('CARGAR OPERACIONES'!$B99="",NA(),'CARGAR OPERACIONES'!$V99)</f>
        <v>#N/A</v>
      </c>
      <c r="C95" s="0" t="e">
        <f aca="false">IF('CARGAR OPERACIONES'!$B99="",NA(),Parametros!$C$6)</f>
        <v>#N/A</v>
      </c>
    </row>
    <row r="96" customFormat="false" ht="15" hidden="false" customHeight="false" outlineLevel="0" collapsed="false">
      <c r="A96" s="0" t="e">
        <f aca="false">IF('CARGAR OPERACIONES'!$B100="",NA(),'CARGAR OPERACIONES'!$A100)</f>
        <v>#N/A</v>
      </c>
      <c r="B96" s="0" t="e">
        <f aca="false">IF('CARGAR OPERACIONES'!$B100="",NA(),'CARGAR OPERACIONES'!$V100)</f>
        <v>#N/A</v>
      </c>
      <c r="C96" s="0" t="e">
        <f aca="false">IF('CARGAR OPERACIONES'!$B100="",NA(),Parametros!$C$6)</f>
        <v>#N/A</v>
      </c>
    </row>
    <row r="97" customFormat="false" ht="15" hidden="false" customHeight="false" outlineLevel="0" collapsed="false">
      <c r="A97" s="0" t="e">
        <f aca="false">IF('CARGAR OPERACIONES'!$B101="",NA(),'CARGAR OPERACIONES'!$A101)</f>
        <v>#N/A</v>
      </c>
      <c r="B97" s="0" t="e">
        <f aca="false">IF('CARGAR OPERACIONES'!$B101="",NA(),'CARGAR OPERACIONES'!$V101)</f>
        <v>#N/A</v>
      </c>
      <c r="C97" s="0" t="e">
        <f aca="false">IF('CARGAR OPERACIONES'!$B101="",NA(),Parametros!$C$6)</f>
        <v>#N/A</v>
      </c>
    </row>
    <row r="98" customFormat="false" ht="15" hidden="false" customHeight="false" outlineLevel="0" collapsed="false">
      <c r="A98" s="0" t="e">
        <f aca="false">IF('CARGAR OPERACIONES'!$B102="",NA(),'CARGAR OPERACIONES'!$A102)</f>
        <v>#N/A</v>
      </c>
      <c r="B98" s="0" t="e">
        <f aca="false">IF('CARGAR OPERACIONES'!$B102="",NA(),'CARGAR OPERACIONES'!$V102)</f>
        <v>#N/A</v>
      </c>
      <c r="C98" s="0" t="e">
        <f aca="false">IF('CARGAR OPERACIONES'!$B102="",NA(),Parametros!$C$6)</f>
        <v>#N/A</v>
      </c>
    </row>
    <row r="99" customFormat="false" ht="15" hidden="false" customHeight="false" outlineLevel="0" collapsed="false">
      <c r="A99" s="0" t="e">
        <f aca="false">IF('CARGAR OPERACIONES'!$B103="",NA(),'CARGAR OPERACIONES'!$A103)</f>
        <v>#N/A</v>
      </c>
      <c r="B99" s="0" t="e">
        <f aca="false">IF('CARGAR OPERACIONES'!$B103="",NA(),'CARGAR OPERACIONES'!$V103)</f>
        <v>#N/A</v>
      </c>
      <c r="C99" s="0" t="e">
        <f aca="false">IF('CARGAR OPERACIONES'!$B103="",NA(),Parametros!$C$6)</f>
        <v>#N/A</v>
      </c>
    </row>
    <row r="100" customFormat="false" ht="15" hidden="false" customHeight="false" outlineLevel="0" collapsed="false">
      <c r="A100" s="0" t="e">
        <f aca="false">IF('CARGAR OPERACIONES'!$B104="",NA(),'CARGAR OPERACIONES'!$A104)</f>
        <v>#N/A</v>
      </c>
      <c r="B100" s="0" t="e">
        <f aca="false">IF('CARGAR OPERACIONES'!$B104="",NA(),'CARGAR OPERACIONES'!$V104)</f>
        <v>#N/A</v>
      </c>
      <c r="C100" s="0" t="e">
        <f aca="false">IF('CARGAR OPERACIONES'!$B104="",NA(),Parametros!$C$6)</f>
        <v>#N/A</v>
      </c>
    </row>
    <row r="101" customFormat="false" ht="15" hidden="false" customHeight="false" outlineLevel="0" collapsed="false">
      <c r="A101" s="0" t="e">
        <f aca="false">IF('CARGAR OPERACIONES'!$B105="",NA(),'CARGAR OPERACIONES'!$A105)</f>
        <v>#N/A</v>
      </c>
      <c r="B101" s="0" t="e">
        <f aca="false">IF('CARGAR OPERACIONES'!$B105="",NA(),'CARGAR OPERACIONES'!$V105)</f>
        <v>#N/A</v>
      </c>
      <c r="C101" s="0" t="e">
        <f aca="false">IF('CARGAR OPERACIONES'!$B105="",NA(),Parametros!$C$6)</f>
        <v>#N/A</v>
      </c>
    </row>
    <row r="102" customFormat="false" ht="15" hidden="false" customHeight="false" outlineLevel="0" collapsed="false">
      <c r="A102" s="0" t="e">
        <f aca="false">IF('CARGAR OPERACIONES'!$B106="",NA(),'CARGAR OPERACIONES'!$A106)</f>
        <v>#N/A</v>
      </c>
      <c r="B102" s="0" t="e">
        <f aca="false">IF('CARGAR OPERACIONES'!$B106="",NA(),'CARGAR OPERACIONES'!$V106)</f>
        <v>#N/A</v>
      </c>
      <c r="C102" s="0" t="e">
        <f aca="false">IF('CARGAR OPERACIONES'!$B106="",NA(),Parametros!$C$6)</f>
        <v>#N/A</v>
      </c>
    </row>
    <row r="103" customFormat="false" ht="15" hidden="false" customHeight="false" outlineLevel="0" collapsed="false">
      <c r="A103" s="0" t="e">
        <f aca="false">IF('CARGAR OPERACIONES'!$B107="",NA(),'CARGAR OPERACIONES'!$A107)</f>
        <v>#N/A</v>
      </c>
      <c r="B103" s="0" t="e">
        <f aca="false">IF('CARGAR OPERACIONES'!$B107="",NA(),'CARGAR OPERACIONES'!$V107)</f>
        <v>#N/A</v>
      </c>
      <c r="C103" s="0" t="e">
        <f aca="false">IF('CARGAR OPERACIONES'!$B107="",NA(),Parametros!$C$6)</f>
        <v>#N/A</v>
      </c>
    </row>
    <row r="104" customFormat="false" ht="15" hidden="false" customHeight="false" outlineLevel="0" collapsed="false">
      <c r="A104" s="0" t="e">
        <f aca="false">IF('CARGAR OPERACIONES'!$B108="",NA(),'CARGAR OPERACIONES'!$A108)</f>
        <v>#N/A</v>
      </c>
      <c r="B104" s="0" t="e">
        <f aca="false">IF('CARGAR OPERACIONES'!$B108="",NA(),'CARGAR OPERACIONES'!$V108)</f>
        <v>#N/A</v>
      </c>
      <c r="C104" s="0" t="e">
        <f aca="false">IF('CARGAR OPERACIONES'!$B108="",NA(),Parametros!$C$6)</f>
        <v>#N/A</v>
      </c>
    </row>
    <row r="105" customFormat="false" ht="15" hidden="false" customHeight="false" outlineLevel="0" collapsed="false">
      <c r="A105" s="0" t="e">
        <f aca="false">IF('CARGAR OPERACIONES'!$B109="",NA(),'CARGAR OPERACIONES'!$A109)</f>
        <v>#N/A</v>
      </c>
      <c r="B105" s="0" t="e">
        <f aca="false">IF('CARGAR OPERACIONES'!$B109="",NA(),'CARGAR OPERACIONES'!$V109)</f>
        <v>#N/A</v>
      </c>
      <c r="C105" s="0" t="e">
        <f aca="false">IF('CARGAR OPERACIONES'!$B109="",NA(),Parametros!$C$6)</f>
        <v>#N/A</v>
      </c>
    </row>
    <row r="106" customFormat="false" ht="15" hidden="false" customHeight="false" outlineLevel="0" collapsed="false">
      <c r="A106" s="0" t="e">
        <f aca="false">IF('CARGAR OPERACIONES'!$B110="",NA(),'CARGAR OPERACIONES'!$A110)</f>
        <v>#N/A</v>
      </c>
      <c r="B106" s="0" t="e">
        <f aca="false">IF('CARGAR OPERACIONES'!$B110="",NA(),'CARGAR OPERACIONES'!$V110)</f>
        <v>#N/A</v>
      </c>
      <c r="C106" s="0" t="e">
        <f aca="false">IF('CARGAR OPERACIONES'!$B110="",NA(),Parametros!$C$6)</f>
        <v>#N/A</v>
      </c>
    </row>
    <row r="107" customFormat="false" ht="15" hidden="false" customHeight="false" outlineLevel="0" collapsed="false">
      <c r="A107" s="0" t="e">
        <f aca="false">IF('CARGAR OPERACIONES'!$B111="",NA(),'CARGAR OPERACIONES'!$A111)</f>
        <v>#N/A</v>
      </c>
      <c r="B107" s="0" t="e">
        <f aca="false">IF('CARGAR OPERACIONES'!$B111="",NA(),'CARGAR OPERACIONES'!$V111)</f>
        <v>#N/A</v>
      </c>
      <c r="C107" s="0" t="e">
        <f aca="false">IF('CARGAR OPERACIONES'!$B111="",NA(),Parametros!$C$6)</f>
        <v>#N/A</v>
      </c>
    </row>
    <row r="108" customFormat="false" ht="15" hidden="false" customHeight="false" outlineLevel="0" collapsed="false">
      <c r="A108" s="0" t="e">
        <f aca="false">IF('CARGAR OPERACIONES'!$B112="",NA(),'CARGAR OPERACIONES'!$A112)</f>
        <v>#N/A</v>
      </c>
      <c r="B108" s="0" t="e">
        <f aca="false">IF('CARGAR OPERACIONES'!$B112="",NA(),'CARGAR OPERACIONES'!$V112)</f>
        <v>#N/A</v>
      </c>
      <c r="C108" s="0" t="e">
        <f aca="false">IF('CARGAR OPERACIONES'!$B112="",NA(),Parametros!$C$6)</f>
        <v>#N/A</v>
      </c>
    </row>
    <row r="109" customFormat="false" ht="15" hidden="false" customHeight="false" outlineLevel="0" collapsed="false">
      <c r="A109" s="0" t="e">
        <f aca="false">IF('CARGAR OPERACIONES'!$B113="",NA(),'CARGAR OPERACIONES'!$A113)</f>
        <v>#N/A</v>
      </c>
      <c r="B109" s="0" t="e">
        <f aca="false">IF('CARGAR OPERACIONES'!$B113="",NA(),'CARGAR OPERACIONES'!$V113)</f>
        <v>#N/A</v>
      </c>
      <c r="C109" s="0" t="e">
        <f aca="false">IF('CARGAR OPERACIONES'!$B113="",NA(),Parametros!$C$6)</f>
        <v>#N/A</v>
      </c>
    </row>
    <row r="110" customFormat="false" ht="15" hidden="false" customHeight="false" outlineLevel="0" collapsed="false">
      <c r="A110" s="0" t="e">
        <f aca="false">IF('CARGAR OPERACIONES'!$B114="",NA(),'CARGAR OPERACIONES'!$A114)</f>
        <v>#N/A</v>
      </c>
      <c r="B110" s="0" t="e">
        <f aca="false">IF('CARGAR OPERACIONES'!$B114="",NA(),'CARGAR OPERACIONES'!$V114)</f>
        <v>#N/A</v>
      </c>
      <c r="C110" s="0" t="e">
        <f aca="false">IF('CARGAR OPERACIONES'!$B114="",NA(),Parametros!$C$6)</f>
        <v>#N/A</v>
      </c>
    </row>
    <row r="111" customFormat="false" ht="15" hidden="false" customHeight="false" outlineLevel="0" collapsed="false">
      <c r="A111" s="0" t="e">
        <f aca="false">IF('CARGAR OPERACIONES'!$B115="",NA(),'CARGAR OPERACIONES'!$A115)</f>
        <v>#N/A</v>
      </c>
      <c r="B111" s="0" t="e">
        <f aca="false">IF('CARGAR OPERACIONES'!$B115="",NA(),'CARGAR OPERACIONES'!$V115)</f>
        <v>#N/A</v>
      </c>
      <c r="C111" s="0" t="e">
        <f aca="false">IF('CARGAR OPERACIONES'!$B115="",NA(),Parametros!$C$6)</f>
        <v>#N/A</v>
      </c>
    </row>
    <row r="112" customFormat="false" ht="15" hidden="false" customHeight="false" outlineLevel="0" collapsed="false">
      <c r="A112" s="0" t="e">
        <f aca="false">IF('CARGAR OPERACIONES'!$B116="",NA(),'CARGAR OPERACIONES'!$A116)</f>
        <v>#N/A</v>
      </c>
      <c r="B112" s="0" t="e">
        <f aca="false">IF('CARGAR OPERACIONES'!$B116="",NA(),'CARGAR OPERACIONES'!$V116)</f>
        <v>#N/A</v>
      </c>
      <c r="C112" s="0" t="e">
        <f aca="false">IF('CARGAR OPERACIONES'!$B116="",NA(),Parametros!$C$6)</f>
        <v>#N/A</v>
      </c>
    </row>
    <row r="113" customFormat="false" ht="15" hidden="false" customHeight="false" outlineLevel="0" collapsed="false">
      <c r="A113" s="0" t="e">
        <f aca="false">IF('CARGAR OPERACIONES'!$B117="",NA(),'CARGAR OPERACIONES'!$A117)</f>
        <v>#N/A</v>
      </c>
      <c r="B113" s="0" t="e">
        <f aca="false">IF('CARGAR OPERACIONES'!$B117="",NA(),'CARGAR OPERACIONES'!$V117)</f>
        <v>#N/A</v>
      </c>
      <c r="C113" s="0" t="e">
        <f aca="false">IF('CARGAR OPERACIONES'!$B117="",NA(),Parametros!$C$6)</f>
        <v>#N/A</v>
      </c>
    </row>
    <row r="114" customFormat="false" ht="15" hidden="false" customHeight="false" outlineLevel="0" collapsed="false">
      <c r="A114" s="0" t="e">
        <f aca="false">IF('CARGAR OPERACIONES'!$B118="",NA(),'CARGAR OPERACIONES'!$A118)</f>
        <v>#N/A</v>
      </c>
      <c r="B114" s="0" t="e">
        <f aca="false">IF('CARGAR OPERACIONES'!$B118="",NA(),'CARGAR OPERACIONES'!$V118)</f>
        <v>#N/A</v>
      </c>
      <c r="C114" s="0" t="e">
        <f aca="false">IF('CARGAR OPERACIONES'!$B118="",NA(),Parametros!$C$6)</f>
        <v>#N/A</v>
      </c>
    </row>
    <row r="115" customFormat="false" ht="15" hidden="false" customHeight="false" outlineLevel="0" collapsed="false">
      <c r="A115" s="0" t="e">
        <f aca="false">IF('CARGAR OPERACIONES'!$B119="",NA(),'CARGAR OPERACIONES'!$A119)</f>
        <v>#N/A</v>
      </c>
      <c r="B115" s="0" t="e">
        <f aca="false">IF('CARGAR OPERACIONES'!$B119="",NA(),'CARGAR OPERACIONES'!$V119)</f>
        <v>#N/A</v>
      </c>
      <c r="C115" s="0" t="e">
        <f aca="false">IF('CARGAR OPERACIONES'!$B119="",NA(),Parametros!$C$6)</f>
        <v>#N/A</v>
      </c>
    </row>
    <row r="116" customFormat="false" ht="15" hidden="false" customHeight="false" outlineLevel="0" collapsed="false">
      <c r="A116" s="0" t="e">
        <f aca="false">IF('CARGAR OPERACIONES'!$B120="",NA(),'CARGAR OPERACIONES'!$A120)</f>
        <v>#N/A</v>
      </c>
      <c r="B116" s="0" t="e">
        <f aca="false">IF('CARGAR OPERACIONES'!$B120="",NA(),'CARGAR OPERACIONES'!$V120)</f>
        <v>#N/A</v>
      </c>
      <c r="C116" s="0" t="e">
        <f aca="false">IF('CARGAR OPERACIONES'!$B120="",NA(),Parametros!$C$6)</f>
        <v>#N/A</v>
      </c>
    </row>
    <row r="117" customFormat="false" ht="15" hidden="false" customHeight="false" outlineLevel="0" collapsed="false">
      <c r="A117" s="0" t="e">
        <f aca="false">IF('CARGAR OPERACIONES'!$B121="",NA(),'CARGAR OPERACIONES'!$A121)</f>
        <v>#N/A</v>
      </c>
      <c r="B117" s="0" t="e">
        <f aca="false">IF('CARGAR OPERACIONES'!$B121="",NA(),'CARGAR OPERACIONES'!$V121)</f>
        <v>#N/A</v>
      </c>
      <c r="C117" s="0" t="e">
        <f aca="false">IF('CARGAR OPERACIONES'!$B121="",NA(),Parametros!$C$6)</f>
        <v>#N/A</v>
      </c>
    </row>
    <row r="118" customFormat="false" ht="15" hidden="false" customHeight="false" outlineLevel="0" collapsed="false">
      <c r="A118" s="0" t="e">
        <f aca="false">IF('CARGAR OPERACIONES'!$B122="",NA(),'CARGAR OPERACIONES'!$A122)</f>
        <v>#N/A</v>
      </c>
      <c r="B118" s="0" t="e">
        <f aca="false">IF('CARGAR OPERACIONES'!$B122="",NA(),'CARGAR OPERACIONES'!$V122)</f>
        <v>#N/A</v>
      </c>
      <c r="C118" s="0" t="e">
        <f aca="false">IF('CARGAR OPERACIONES'!$B122="",NA(),Parametros!$C$6)</f>
        <v>#N/A</v>
      </c>
    </row>
    <row r="119" customFormat="false" ht="15" hidden="false" customHeight="false" outlineLevel="0" collapsed="false">
      <c r="A119" s="0" t="e">
        <f aca="false">IF('CARGAR OPERACIONES'!$B123="",NA(),'CARGAR OPERACIONES'!$A123)</f>
        <v>#N/A</v>
      </c>
      <c r="B119" s="0" t="e">
        <f aca="false">IF('CARGAR OPERACIONES'!$B123="",NA(),'CARGAR OPERACIONES'!$V123)</f>
        <v>#N/A</v>
      </c>
      <c r="C119" s="0" t="e">
        <f aca="false">IF('CARGAR OPERACIONES'!$B123="",NA(),Parametros!$C$6)</f>
        <v>#N/A</v>
      </c>
    </row>
    <row r="120" customFormat="false" ht="15" hidden="false" customHeight="false" outlineLevel="0" collapsed="false">
      <c r="A120" s="0" t="e">
        <f aca="false">IF('CARGAR OPERACIONES'!$B124="",NA(),'CARGAR OPERACIONES'!$A124)</f>
        <v>#N/A</v>
      </c>
      <c r="B120" s="0" t="e">
        <f aca="false">IF('CARGAR OPERACIONES'!$B124="",NA(),'CARGAR OPERACIONES'!$V124)</f>
        <v>#N/A</v>
      </c>
      <c r="C120" s="0" t="e">
        <f aca="false">IF('CARGAR OPERACIONES'!$B124="",NA(),Parametros!$C$6)</f>
        <v>#N/A</v>
      </c>
    </row>
    <row r="121" customFormat="false" ht="15" hidden="false" customHeight="false" outlineLevel="0" collapsed="false">
      <c r="A121" s="0" t="e">
        <f aca="false">IF('CARGAR OPERACIONES'!$B125="",NA(),'CARGAR OPERACIONES'!$A125)</f>
        <v>#N/A</v>
      </c>
      <c r="B121" s="0" t="e">
        <f aca="false">IF('CARGAR OPERACIONES'!$B125="",NA(),'CARGAR OPERACIONES'!$V125)</f>
        <v>#N/A</v>
      </c>
      <c r="C121" s="0" t="e">
        <f aca="false">IF('CARGAR OPERACIONES'!$B125="",NA(),Parametros!$C$6)</f>
        <v>#N/A</v>
      </c>
    </row>
    <row r="122" customFormat="false" ht="15" hidden="false" customHeight="false" outlineLevel="0" collapsed="false">
      <c r="A122" s="0" t="e">
        <f aca="false">IF('CARGAR OPERACIONES'!$B126="",NA(),'CARGAR OPERACIONES'!$A126)</f>
        <v>#N/A</v>
      </c>
      <c r="B122" s="0" t="e">
        <f aca="false">IF('CARGAR OPERACIONES'!$B126="",NA(),'CARGAR OPERACIONES'!$V126)</f>
        <v>#N/A</v>
      </c>
      <c r="C122" s="0" t="e">
        <f aca="false">IF('CARGAR OPERACIONES'!$B126="",NA(),Parametros!$C$6)</f>
        <v>#N/A</v>
      </c>
    </row>
    <row r="123" customFormat="false" ht="15" hidden="false" customHeight="false" outlineLevel="0" collapsed="false">
      <c r="A123" s="0" t="e">
        <f aca="false">IF('CARGAR OPERACIONES'!$B127="",NA(),'CARGAR OPERACIONES'!$A127)</f>
        <v>#N/A</v>
      </c>
      <c r="B123" s="0" t="e">
        <f aca="false">IF('CARGAR OPERACIONES'!$B127="",NA(),'CARGAR OPERACIONES'!$V127)</f>
        <v>#N/A</v>
      </c>
      <c r="C123" s="0" t="e">
        <f aca="false">IF('CARGAR OPERACIONES'!$B127="",NA(),Parametros!$C$6)</f>
        <v>#N/A</v>
      </c>
    </row>
    <row r="124" customFormat="false" ht="15" hidden="false" customHeight="false" outlineLevel="0" collapsed="false">
      <c r="A124" s="0" t="e">
        <f aca="false">IF('CARGAR OPERACIONES'!$B128="",NA(),'CARGAR OPERACIONES'!$A128)</f>
        <v>#N/A</v>
      </c>
      <c r="B124" s="0" t="e">
        <f aca="false">IF('CARGAR OPERACIONES'!$B128="",NA(),'CARGAR OPERACIONES'!$V128)</f>
        <v>#N/A</v>
      </c>
      <c r="C124" s="0" t="e">
        <f aca="false">IF('CARGAR OPERACIONES'!$B128="",NA(),Parametros!$C$6)</f>
        <v>#N/A</v>
      </c>
    </row>
    <row r="125" customFormat="false" ht="15" hidden="false" customHeight="false" outlineLevel="0" collapsed="false">
      <c r="A125" s="0" t="e">
        <f aca="false">IF('CARGAR OPERACIONES'!$B129="",NA(),'CARGAR OPERACIONES'!$A129)</f>
        <v>#N/A</v>
      </c>
      <c r="B125" s="0" t="e">
        <f aca="false">IF('CARGAR OPERACIONES'!$B129="",NA(),'CARGAR OPERACIONES'!$V129)</f>
        <v>#N/A</v>
      </c>
      <c r="C125" s="0" t="e">
        <f aca="false">IF('CARGAR OPERACIONES'!$B129="",NA(),Parametros!$C$6)</f>
        <v>#N/A</v>
      </c>
    </row>
    <row r="126" customFormat="false" ht="15" hidden="false" customHeight="false" outlineLevel="0" collapsed="false">
      <c r="A126" s="0" t="e">
        <f aca="false">IF('CARGAR OPERACIONES'!$B130="",NA(),'CARGAR OPERACIONES'!$A130)</f>
        <v>#N/A</v>
      </c>
      <c r="B126" s="0" t="e">
        <f aca="false">IF('CARGAR OPERACIONES'!$B130="",NA(),'CARGAR OPERACIONES'!$V130)</f>
        <v>#N/A</v>
      </c>
      <c r="C126" s="0" t="e">
        <f aca="false">IF('CARGAR OPERACIONES'!$B130="",NA(),Parametros!$C$6)</f>
        <v>#N/A</v>
      </c>
    </row>
    <row r="127" customFormat="false" ht="15" hidden="false" customHeight="false" outlineLevel="0" collapsed="false">
      <c r="A127" s="0" t="e">
        <f aca="false">IF('CARGAR OPERACIONES'!$B131="",NA(),'CARGAR OPERACIONES'!$A131)</f>
        <v>#N/A</v>
      </c>
      <c r="B127" s="0" t="e">
        <f aca="false">IF('CARGAR OPERACIONES'!$B131="",NA(),'CARGAR OPERACIONES'!$V131)</f>
        <v>#N/A</v>
      </c>
      <c r="C127" s="0" t="e">
        <f aca="false">IF('CARGAR OPERACIONES'!$B131="",NA(),Parametros!$C$6)</f>
        <v>#N/A</v>
      </c>
    </row>
    <row r="128" customFormat="false" ht="15" hidden="false" customHeight="false" outlineLevel="0" collapsed="false">
      <c r="A128" s="0" t="e">
        <f aca="false">IF('CARGAR OPERACIONES'!$B132="",NA(),'CARGAR OPERACIONES'!$A132)</f>
        <v>#N/A</v>
      </c>
      <c r="B128" s="0" t="e">
        <f aca="false">IF('CARGAR OPERACIONES'!$B132="",NA(),'CARGAR OPERACIONES'!$V132)</f>
        <v>#N/A</v>
      </c>
      <c r="C128" s="0" t="e">
        <f aca="false">IF('CARGAR OPERACIONES'!$B132="",NA(),Parametros!$C$6)</f>
        <v>#N/A</v>
      </c>
    </row>
    <row r="129" customFormat="false" ht="15" hidden="false" customHeight="false" outlineLevel="0" collapsed="false">
      <c r="A129" s="0" t="e">
        <f aca="false">IF('CARGAR OPERACIONES'!$B133="",NA(),'CARGAR OPERACIONES'!$A133)</f>
        <v>#N/A</v>
      </c>
      <c r="B129" s="0" t="e">
        <f aca="false">IF('CARGAR OPERACIONES'!$B133="",NA(),'CARGAR OPERACIONES'!$V133)</f>
        <v>#N/A</v>
      </c>
      <c r="C129" s="0" t="e">
        <f aca="false">IF('CARGAR OPERACIONES'!$B133="",NA(),Parametros!$C$6)</f>
        <v>#N/A</v>
      </c>
    </row>
    <row r="130" customFormat="false" ht="15" hidden="false" customHeight="false" outlineLevel="0" collapsed="false">
      <c r="A130" s="0" t="e">
        <f aca="false">IF('CARGAR OPERACIONES'!$B134="",NA(),'CARGAR OPERACIONES'!$A134)</f>
        <v>#N/A</v>
      </c>
      <c r="B130" s="0" t="e">
        <f aca="false">IF('CARGAR OPERACIONES'!$B134="",NA(),'CARGAR OPERACIONES'!$V134)</f>
        <v>#N/A</v>
      </c>
      <c r="C130" s="0" t="e">
        <f aca="false">IF('CARGAR OPERACIONES'!$B134="",NA(),Parametros!$C$6)</f>
        <v>#N/A</v>
      </c>
    </row>
    <row r="131" customFormat="false" ht="15" hidden="false" customHeight="false" outlineLevel="0" collapsed="false">
      <c r="A131" s="0" t="e">
        <f aca="false">IF('CARGAR OPERACIONES'!$B135="",NA(),'CARGAR OPERACIONES'!$A135)</f>
        <v>#N/A</v>
      </c>
      <c r="B131" s="0" t="e">
        <f aca="false">IF('CARGAR OPERACIONES'!$B135="",NA(),'CARGAR OPERACIONES'!$V135)</f>
        <v>#N/A</v>
      </c>
      <c r="C131" s="0" t="e">
        <f aca="false">IF('CARGAR OPERACIONES'!$B135="",NA(),Parametros!$C$6)</f>
        <v>#N/A</v>
      </c>
    </row>
    <row r="132" customFormat="false" ht="15" hidden="false" customHeight="false" outlineLevel="0" collapsed="false">
      <c r="A132" s="0" t="e">
        <f aca="false">IF('CARGAR OPERACIONES'!$B136="",NA(),'CARGAR OPERACIONES'!$A136)</f>
        <v>#N/A</v>
      </c>
      <c r="B132" s="0" t="e">
        <f aca="false">IF('CARGAR OPERACIONES'!$B136="",NA(),'CARGAR OPERACIONES'!$V136)</f>
        <v>#N/A</v>
      </c>
      <c r="C132" s="0" t="e">
        <f aca="false">IF('CARGAR OPERACIONES'!$B136="",NA(),Parametros!$C$6)</f>
        <v>#N/A</v>
      </c>
    </row>
    <row r="133" customFormat="false" ht="15" hidden="false" customHeight="false" outlineLevel="0" collapsed="false">
      <c r="A133" s="0" t="e">
        <f aca="false">IF('CARGAR OPERACIONES'!$B137="",NA(),'CARGAR OPERACIONES'!$A137)</f>
        <v>#N/A</v>
      </c>
      <c r="B133" s="0" t="e">
        <f aca="false">IF('CARGAR OPERACIONES'!$B137="",NA(),'CARGAR OPERACIONES'!$V137)</f>
        <v>#N/A</v>
      </c>
      <c r="C133" s="0" t="e">
        <f aca="false">IF('CARGAR OPERACIONES'!$B137="",NA(),Parametros!$C$6)</f>
        <v>#N/A</v>
      </c>
    </row>
    <row r="134" customFormat="false" ht="15" hidden="false" customHeight="false" outlineLevel="0" collapsed="false">
      <c r="A134" s="0" t="e">
        <f aca="false">IF('CARGAR OPERACIONES'!$B138="",NA(),'CARGAR OPERACIONES'!$A138)</f>
        <v>#N/A</v>
      </c>
      <c r="B134" s="0" t="e">
        <f aca="false">IF('CARGAR OPERACIONES'!$B138="",NA(),'CARGAR OPERACIONES'!$V138)</f>
        <v>#N/A</v>
      </c>
      <c r="C134" s="0" t="e">
        <f aca="false">IF('CARGAR OPERACIONES'!$B138="",NA(),Parametros!$C$6)</f>
        <v>#N/A</v>
      </c>
    </row>
    <row r="135" customFormat="false" ht="15" hidden="false" customHeight="false" outlineLevel="0" collapsed="false">
      <c r="A135" s="0" t="e">
        <f aca="false">IF('CARGAR OPERACIONES'!$B139="",NA(),'CARGAR OPERACIONES'!$A139)</f>
        <v>#N/A</v>
      </c>
      <c r="B135" s="0" t="e">
        <f aca="false">IF('CARGAR OPERACIONES'!$B139="",NA(),'CARGAR OPERACIONES'!$V139)</f>
        <v>#N/A</v>
      </c>
      <c r="C135" s="0" t="e">
        <f aca="false">IF('CARGAR OPERACIONES'!$B139="",NA(),Parametros!$C$6)</f>
        <v>#N/A</v>
      </c>
    </row>
    <row r="136" customFormat="false" ht="15" hidden="false" customHeight="false" outlineLevel="0" collapsed="false">
      <c r="A136" s="0" t="e">
        <f aca="false">IF('CARGAR OPERACIONES'!$B140="",NA(),'CARGAR OPERACIONES'!$A140)</f>
        <v>#N/A</v>
      </c>
      <c r="B136" s="0" t="e">
        <f aca="false">IF('CARGAR OPERACIONES'!$B140="",NA(),'CARGAR OPERACIONES'!$V140)</f>
        <v>#N/A</v>
      </c>
      <c r="C136" s="0" t="e">
        <f aca="false">IF('CARGAR OPERACIONES'!$B140="",NA(),Parametros!$C$6)</f>
        <v>#N/A</v>
      </c>
    </row>
    <row r="137" customFormat="false" ht="15" hidden="false" customHeight="false" outlineLevel="0" collapsed="false">
      <c r="A137" s="0" t="e">
        <f aca="false">IF('CARGAR OPERACIONES'!$B141="",NA(),'CARGAR OPERACIONES'!$A141)</f>
        <v>#N/A</v>
      </c>
      <c r="B137" s="0" t="e">
        <f aca="false">IF('CARGAR OPERACIONES'!$B141="",NA(),'CARGAR OPERACIONES'!$V141)</f>
        <v>#N/A</v>
      </c>
      <c r="C137" s="0" t="e">
        <f aca="false">IF('CARGAR OPERACIONES'!$B141="",NA(),Parametros!$C$6)</f>
        <v>#N/A</v>
      </c>
    </row>
    <row r="138" customFormat="false" ht="15" hidden="false" customHeight="false" outlineLevel="0" collapsed="false">
      <c r="A138" s="0" t="e">
        <f aca="false">IF('CARGAR OPERACIONES'!$B142="",NA(),'CARGAR OPERACIONES'!$A142)</f>
        <v>#N/A</v>
      </c>
      <c r="B138" s="0" t="e">
        <f aca="false">IF('CARGAR OPERACIONES'!$B142="",NA(),'CARGAR OPERACIONES'!$V142)</f>
        <v>#N/A</v>
      </c>
      <c r="C138" s="0" t="e">
        <f aca="false">IF('CARGAR OPERACIONES'!$B142="",NA(),Parametros!$C$6)</f>
        <v>#N/A</v>
      </c>
    </row>
    <row r="139" customFormat="false" ht="15" hidden="false" customHeight="false" outlineLevel="0" collapsed="false">
      <c r="A139" s="0" t="e">
        <f aca="false">IF('CARGAR OPERACIONES'!$B143="",NA(),'CARGAR OPERACIONES'!$A143)</f>
        <v>#N/A</v>
      </c>
      <c r="B139" s="0" t="e">
        <f aca="false">IF('CARGAR OPERACIONES'!$B143="",NA(),'CARGAR OPERACIONES'!$V143)</f>
        <v>#N/A</v>
      </c>
      <c r="C139" s="0" t="e">
        <f aca="false">IF('CARGAR OPERACIONES'!$B143="",NA(),Parametros!$C$6)</f>
        <v>#N/A</v>
      </c>
    </row>
    <row r="140" customFormat="false" ht="15" hidden="false" customHeight="false" outlineLevel="0" collapsed="false">
      <c r="A140" s="0" t="e">
        <f aca="false">IF('CARGAR OPERACIONES'!$B144="",NA(),'CARGAR OPERACIONES'!$A144)</f>
        <v>#N/A</v>
      </c>
      <c r="B140" s="0" t="e">
        <f aca="false">IF('CARGAR OPERACIONES'!$B144="",NA(),'CARGAR OPERACIONES'!$V144)</f>
        <v>#N/A</v>
      </c>
      <c r="C140" s="0" t="e">
        <f aca="false">IF('CARGAR OPERACIONES'!$B144="",NA(),Parametros!$C$6)</f>
        <v>#N/A</v>
      </c>
    </row>
    <row r="141" customFormat="false" ht="15" hidden="false" customHeight="false" outlineLevel="0" collapsed="false">
      <c r="A141" s="0" t="e">
        <f aca="false">IF('CARGAR OPERACIONES'!$B145="",NA(),'CARGAR OPERACIONES'!$A145)</f>
        <v>#N/A</v>
      </c>
      <c r="B141" s="0" t="e">
        <f aca="false">IF('CARGAR OPERACIONES'!$B145="",NA(),'CARGAR OPERACIONES'!$V145)</f>
        <v>#N/A</v>
      </c>
      <c r="C141" s="0" t="e">
        <f aca="false">IF('CARGAR OPERACIONES'!$B145="",NA(),Parametros!$C$6)</f>
        <v>#N/A</v>
      </c>
    </row>
    <row r="142" customFormat="false" ht="15" hidden="false" customHeight="false" outlineLevel="0" collapsed="false">
      <c r="A142" s="0" t="e">
        <f aca="false">IF('CARGAR OPERACIONES'!$B146="",NA(),'CARGAR OPERACIONES'!$A146)</f>
        <v>#N/A</v>
      </c>
      <c r="B142" s="0" t="e">
        <f aca="false">IF('CARGAR OPERACIONES'!$B146="",NA(),'CARGAR OPERACIONES'!$V146)</f>
        <v>#N/A</v>
      </c>
      <c r="C142" s="0" t="e">
        <f aca="false">IF('CARGAR OPERACIONES'!$B146="",NA(),Parametros!$C$6)</f>
        <v>#N/A</v>
      </c>
    </row>
    <row r="143" customFormat="false" ht="15" hidden="false" customHeight="false" outlineLevel="0" collapsed="false">
      <c r="A143" s="0" t="e">
        <f aca="false">IF('CARGAR OPERACIONES'!$B147="",NA(),'CARGAR OPERACIONES'!$A147)</f>
        <v>#N/A</v>
      </c>
      <c r="B143" s="0" t="e">
        <f aca="false">IF('CARGAR OPERACIONES'!$B147="",NA(),'CARGAR OPERACIONES'!$V147)</f>
        <v>#N/A</v>
      </c>
      <c r="C143" s="0" t="e">
        <f aca="false">IF('CARGAR OPERACIONES'!$B147="",NA(),Parametros!$C$6)</f>
        <v>#N/A</v>
      </c>
    </row>
    <row r="144" customFormat="false" ht="15" hidden="false" customHeight="false" outlineLevel="0" collapsed="false">
      <c r="A144" s="0" t="e">
        <f aca="false">IF('CARGAR OPERACIONES'!$B148="",NA(),'CARGAR OPERACIONES'!$A148)</f>
        <v>#N/A</v>
      </c>
      <c r="B144" s="0" t="e">
        <f aca="false">IF('CARGAR OPERACIONES'!$B148="",NA(),'CARGAR OPERACIONES'!$V148)</f>
        <v>#N/A</v>
      </c>
      <c r="C144" s="0" t="e">
        <f aca="false">IF('CARGAR OPERACIONES'!$B148="",NA(),Parametros!$C$6)</f>
        <v>#N/A</v>
      </c>
    </row>
    <row r="145" customFormat="false" ht="15" hidden="false" customHeight="false" outlineLevel="0" collapsed="false">
      <c r="A145" s="0" t="e">
        <f aca="false">IF('CARGAR OPERACIONES'!$B149="",NA(),'CARGAR OPERACIONES'!$A149)</f>
        <v>#N/A</v>
      </c>
      <c r="B145" s="0" t="e">
        <f aca="false">IF('CARGAR OPERACIONES'!$B149="",NA(),'CARGAR OPERACIONES'!$V149)</f>
        <v>#N/A</v>
      </c>
      <c r="C145" s="0" t="e">
        <f aca="false">IF('CARGAR OPERACIONES'!$B149="",NA(),Parametros!$C$6)</f>
        <v>#N/A</v>
      </c>
    </row>
    <row r="146" customFormat="false" ht="15" hidden="false" customHeight="false" outlineLevel="0" collapsed="false">
      <c r="A146" s="0" t="e">
        <f aca="false">IF('CARGAR OPERACIONES'!$B150="",NA(),'CARGAR OPERACIONES'!$A150)</f>
        <v>#N/A</v>
      </c>
      <c r="B146" s="0" t="e">
        <f aca="false">IF('CARGAR OPERACIONES'!$B150="",NA(),'CARGAR OPERACIONES'!$V150)</f>
        <v>#N/A</v>
      </c>
      <c r="C146" s="0" t="e">
        <f aca="false">IF('CARGAR OPERACIONES'!$B150="",NA(),Parametros!$C$6)</f>
        <v>#N/A</v>
      </c>
    </row>
    <row r="147" customFormat="false" ht="15" hidden="false" customHeight="false" outlineLevel="0" collapsed="false">
      <c r="A147" s="0" t="e">
        <f aca="false">IF('CARGAR OPERACIONES'!$B151="",NA(),'CARGAR OPERACIONES'!$A151)</f>
        <v>#N/A</v>
      </c>
      <c r="B147" s="0" t="e">
        <f aca="false">IF('CARGAR OPERACIONES'!$B151="",NA(),'CARGAR OPERACIONES'!$V151)</f>
        <v>#N/A</v>
      </c>
      <c r="C147" s="0" t="e">
        <f aca="false">IF('CARGAR OPERACIONES'!$B151="",NA(),Parametros!$C$6)</f>
        <v>#N/A</v>
      </c>
    </row>
    <row r="148" customFormat="false" ht="15" hidden="false" customHeight="false" outlineLevel="0" collapsed="false">
      <c r="A148" s="0" t="e">
        <f aca="false">IF('CARGAR OPERACIONES'!$B152="",NA(),'CARGAR OPERACIONES'!$A152)</f>
        <v>#N/A</v>
      </c>
      <c r="B148" s="0" t="e">
        <f aca="false">IF('CARGAR OPERACIONES'!$B152="",NA(),'CARGAR OPERACIONES'!$V152)</f>
        <v>#N/A</v>
      </c>
      <c r="C148" s="0" t="e">
        <f aca="false">IF('CARGAR OPERACIONES'!$B152="",NA(),Parametros!$C$6)</f>
        <v>#N/A</v>
      </c>
    </row>
    <row r="149" customFormat="false" ht="15" hidden="false" customHeight="false" outlineLevel="0" collapsed="false">
      <c r="A149" s="0" t="e">
        <f aca="false">IF('CARGAR OPERACIONES'!$B153="",NA(),'CARGAR OPERACIONES'!$A153)</f>
        <v>#N/A</v>
      </c>
      <c r="B149" s="0" t="e">
        <f aca="false">IF('CARGAR OPERACIONES'!$B153="",NA(),'CARGAR OPERACIONES'!$V153)</f>
        <v>#N/A</v>
      </c>
      <c r="C149" s="0" t="e">
        <f aca="false">IF('CARGAR OPERACIONES'!$B153="",NA(),Parametros!$C$6)</f>
        <v>#N/A</v>
      </c>
    </row>
    <row r="150" customFormat="false" ht="15" hidden="false" customHeight="false" outlineLevel="0" collapsed="false">
      <c r="A150" s="0" t="e">
        <f aca="false">IF('CARGAR OPERACIONES'!$B154="",NA(),'CARGAR OPERACIONES'!$A154)</f>
        <v>#N/A</v>
      </c>
      <c r="B150" s="0" t="e">
        <f aca="false">IF('CARGAR OPERACIONES'!$B154="",NA(),'CARGAR OPERACIONES'!$V154)</f>
        <v>#N/A</v>
      </c>
      <c r="C150" s="0" t="e">
        <f aca="false">IF('CARGAR OPERACIONES'!$B154="",NA(),Parametros!$C$6)</f>
        <v>#N/A</v>
      </c>
    </row>
    <row r="151" customFormat="false" ht="15" hidden="false" customHeight="false" outlineLevel="0" collapsed="false">
      <c r="A151" s="0" t="e">
        <f aca="false">IF('CARGAR OPERACIONES'!$B155="",NA(),'CARGAR OPERACIONES'!$A155)</f>
        <v>#N/A</v>
      </c>
      <c r="B151" s="0" t="e">
        <f aca="false">IF('CARGAR OPERACIONES'!$B155="",NA(),'CARGAR OPERACIONES'!$V155)</f>
        <v>#N/A</v>
      </c>
      <c r="C151" s="0" t="e">
        <f aca="false">IF('CARGAR OPERACIONES'!$B155="",NA(),Parametros!$C$6)</f>
        <v>#N/A</v>
      </c>
    </row>
    <row r="152" customFormat="false" ht="15" hidden="false" customHeight="false" outlineLevel="0" collapsed="false">
      <c r="A152" s="0" t="e">
        <f aca="false">IF('CARGAR OPERACIONES'!$B156="",NA(),'CARGAR OPERACIONES'!$A156)</f>
        <v>#N/A</v>
      </c>
      <c r="B152" s="0" t="e">
        <f aca="false">IF('CARGAR OPERACIONES'!$B156="",NA(),'CARGAR OPERACIONES'!$V156)</f>
        <v>#N/A</v>
      </c>
      <c r="C152" s="0" t="e">
        <f aca="false">IF('CARGAR OPERACIONES'!$B156="",NA(),Parametros!$C$6)</f>
        <v>#N/A</v>
      </c>
    </row>
    <row r="153" customFormat="false" ht="15" hidden="false" customHeight="false" outlineLevel="0" collapsed="false">
      <c r="A153" s="0" t="e">
        <f aca="false">IF('CARGAR OPERACIONES'!$B157="",NA(),'CARGAR OPERACIONES'!$A157)</f>
        <v>#N/A</v>
      </c>
      <c r="B153" s="0" t="e">
        <f aca="false">IF('CARGAR OPERACIONES'!$B157="",NA(),'CARGAR OPERACIONES'!$V157)</f>
        <v>#N/A</v>
      </c>
      <c r="C153" s="0" t="e">
        <f aca="false">IF('CARGAR OPERACIONES'!$B157="",NA(),Parametros!$C$6)</f>
        <v>#N/A</v>
      </c>
    </row>
    <row r="154" customFormat="false" ht="15" hidden="false" customHeight="false" outlineLevel="0" collapsed="false">
      <c r="A154" s="0" t="e">
        <f aca="false">IF('CARGAR OPERACIONES'!$B158="",NA(),'CARGAR OPERACIONES'!$A158)</f>
        <v>#N/A</v>
      </c>
      <c r="B154" s="0" t="e">
        <f aca="false">IF('CARGAR OPERACIONES'!$B158="",NA(),'CARGAR OPERACIONES'!$V158)</f>
        <v>#N/A</v>
      </c>
      <c r="C154" s="0" t="e">
        <f aca="false">IF('CARGAR OPERACIONES'!$B158="",NA(),Parametros!$C$6)</f>
        <v>#N/A</v>
      </c>
    </row>
    <row r="155" customFormat="false" ht="15" hidden="false" customHeight="false" outlineLevel="0" collapsed="false">
      <c r="A155" s="0" t="e">
        <f aca="false">IF('CARGAR OPERACIONES'!$B159="",NA(),'CARGAR OPERACIONES'!$A159)</f>
        <v>#N/A</v>
      </c>
      <c r="B155" s="0" t="e">
        <f aca="false">IF('CARGAR OPERACIONES'!$B159="",NA(),'CARGAR OPERACIONES'!$V159)</f>
        <v>#N/A</v>
      </c>
      <c r="C155" s="0" t="e">
        <f aca="false">IF('CARGAR OPERACIONES'!$B159="",NA(),Parametros!$C$6)</f>
        <v>#N/A</v>
      </c>
    </row>
    <row r="156" customFormat="false" ht="15" hidden="false" customHeight="false" outlineLevel="0" collapsed="false">
      <c r="A156" s="0" t="e">
        <f aca="false">IF('CARGAR OPERACIONES'!$B160="",NA(),'CARGAR OPERACIONES'!$A160)</f>
        <v>#N/A</v>
      </c>
      <c r="B156" s="0" t="e">
        <f aca="false">IF('CARGAR OPERACIONES'!$B160="",NA(),'CARGAR OPERACIONES'!$V160)</f>
        <v>#N/A</v>
      </c>
      <c r="C156" s="0" t="e">
        <f aca="false">IF('CARGAR OPERACIONES'!$B160="",NA(),Parametros!$C$6)</f>
        <v>#N/A</v>
      </c>
    </row>
    <row r="157" customFormat="false" ht="15" hidden="false" customHeight="false" outlineLevel="0" collapsed="false">
      <c r="A157" s="0" t="e">
        <f aca="false">IF('CARGAR OPERACIONES'!$B161="",NA(),'CARGAR OPERACIONES'!$A161)</f>
        <v>#N/A</v>
      </c>
      <c r="B157" s="0" t="e">
        <f aca="false">IF('CARGAR OPERACIONES'!$B161="",NA(),'CARGAR OPERACIONES'!$V161)</f>
        <v>#N/A</v>
      </c>
      <c r="C157" s="0" t="e">
        <f aca="false">IF('CARGAR OPERACIONES'!$B161="",NA(),Parametros!$C$6)</f>
        <v>#N/A</v>
      </c>
    </row>
    <row r="158" customFormat="false" ht="15" hidden="false" customHeight="false" outlineLevel="0" collapsed="false">
      <c r="A158" s="0" t="e">
        <f aca="false">IF('CARGAR OPERACIONES'!$B162="",NA(),'CARGAR OPERACIONES'!$A162)</f>
        <v>#N/A</v>
      </c>
      <c r="B158" s="0" t="e">
        <f aca="false">IF('CARGAR OPERACIONES'!$B162="",NA(),'CARGAR OPERACIONES'!$V162)</f>
        <v>#N/A</v>
      </c>
      <c r="C158" s="0" t="e">
        <f aca="false">IF('CARGAR OPERACIONES'!$B162="",NA(),Parametros!$C$6)</f>
        <v>#N/A</v>
      </c>
    </row>
    <row r="159" customFormat="false" ht="15" hidden="false" customHeight="false" outlineLevel="0" collapsed="false">
      <c r="A159" s="0" t="e">
        <f aca="false">IF('CARGAR OPERACIONES'!$B163="",NA(),'CARGAR OPERACIONES'!$A163)</f>
        <v>#N/A</v>
      </c>
      <c r="B159" s="0" t="e">
        <f aca="false">IF('CARGAR OPERACIONES'!$B163="",NA(),'CARGAR OPERACIONES'!$V163)</f>
        <v>#N/A</v>
      </c>
      <c r="C159" s="0" t="e">
        <f aca="false">IF('CARGAR OPERACIONES'!$B163="",NA(),Parametros!$C$6)</f>
        <v>#N/A</v>
      </c>
    </row>
    <row r="160" customFormat="false" ht="15" hidden="false" customHeight="false" outlineLevel="0" collapsed="false">
      <c r="A160" s="0" t="e">
        <f aca="false">IF('CARGAR OPERACIONES'!$B164="",NA(),'CARGAR OPERACIONES'!$A164)</f>
        <v>#N/A</v>
      </c>
      <c r="B160" s="0" t="e">
        <f aca="false">IF('CARGAR OPERACIONES'!$B164="",NA(),'CARGAR OPERACIONES'!$V164)</f>
        <v>#N/A</v>
      </c>
      <c r="C160" s="0" t="e">
        <f aca="false">IF('CARGAR OPERACIONES'!$B164="",NA(),Parametros!$C$6)</f>
        <v>#N/A</v>
      </c>
    </row>
    <row r="161" customFormat="false" ht="15" hidden="false" customHeight="false" outlineLevel="0" collapsed="false">
      <c r="A161" s="0" t="e">
        <f aca="false">IF('CARGAR OPERACIONES'!$B165="",NA(),'CARGAR OPERACIONES'!$A165)</f>
        <v>#N/A</v>
      </c>
      <c r="B161" s="0" t="e">
        <f aca="false">IF('CARGAR OPERACIONES'!$B165="",NA(),'CARGAR OPERACIONES'!$V165)</f>
        <v>#N/A</v>
      </c>
      <c r="C161" s="0" t="e">
        <f aca="false">IF('CARGAR OPERACIONES'!$B165="",NA(),Parametros!$C$6)</f>
        <v>#N/A</v>
      </c>
    </row>
    <row r="162" customFormat="false" ht="15" hidden="false" customHeight="false" outlineLevel="0" collapsed="false">
      <c r="A162" s="0" t="e">
        <f aca="false">IF('CARGAR OPERACIONES'!$B166="",NA(),'CARGAR OPERACIONES'!$A166)</f>
        <v>#N/A</v>
      </c>
      <c r="B162" s="0" t="e">
        <f aca="false">IF('CARGAR OPERACIONES'!$B166="",NA(),'CARGAR OPERACIONES'!$V166)</f>
        <v>#N/A</v>
      </c>
      <c r="C162" s="0" t="e">
        <f aca="false">IF('CARGAR OPERACIONES'!$B166="",NA(),Parametros!$C$6)</f>
        <v>#N/A</v>
      </c>
    </row>
    <row r="163" customFormat="false" ht="15" hidden="false" customHeight="false" outlineLevel="0" collapsed="false">
      <c r="A163" s="0" t="e">
        <f aca="false">IF('CARGAR OPERACIONES'!$B167="",NA(),'CARGAR OPERACIONES'!$A167)</f>
        <v>#N/A</v>
      </c>
      <c r="B163" s="0" t="e">
        <f aca="false">IF('CARGAR OPERACIONES'!$B167="",NA(),'CARGAR OPERACIONES'!$V167)</f>
        <v>#N/A</v>
      </c>
      <c r="C163" s="0" t="e">
        <f aca="false">IF('CARGAR OPERACIONES'!$B167="",NA(),Parametros!$C$6)</f>
        <v>#N/A</v>
      </c>
    </row>
    <row r="164" customFormat="false" ht="15" hidden="false" customHeight="false" outlineLevel="0" collapsed="false">
      <c r="A164" s="0" t="e">
        <f aca="false">IF('CARGAR OPERACIONES'!$B168="",NA(),'CARGAR OPERACIONES'!$A168)</f>
        <v>#N/A</v>
      </c>
      <c r="B164" s="0" t="e">
        <f aca="false">IF('CARGAR OPERACIONES'!$B168="",NA(),'CARGAR OPERACIONES'!$V168)</f>
        <v>#N/A</v>
      </c>
      <c r="C164" s="0" t="e">
        <f aca="false">IF('CARGAR OPERACIONES'!$B168="",NA(),Parametros!$C$6)</f>
        <v>#N/A</v>
      </c>
    </row>
    <row r="165" customFormat="false" ht="15" hidden="false" customHeight="false" outlineLevel="0" collapsed="false">
      <c r="A165" s="0" t="e">
        <f aca="false">IF('CARGAR OPERACIONES'!$B169="",NA(),'CARGAR OPERACIONES'!$A169)</f>
        <v>#N/A</v>
      </c>
      <c r="B165" s="0" t="e">
        <f aca="false">IF('CARGAR OPERACIONES'!$B169="",NA(),'CARGAR OPERACIONES'!$V169)</f>
        <v>#N/A</v>
      </c>
      <c r="C165" s="0" t="e">
        <f aca="false">IF('CARGAR OPERACIONES'!$B169="",NA(),Parametros!$C$6)</f>
        <v>#N/A</v>
      </c>
    </row>
    <row r="166" customFormat="false" ht="15" hidden="false" customHeight="false" outlineLevel="0" collapsed="false">
      <c r="A166" s="0" t="e">
        <f aca="false">IF('CARGAR OPERACIONES'!$B170="",NA(),'CARGAR OPERACIONES'!$A170)</f>
        <v>#N/A</v>
      </c>
      <c r="B166" s="0" t="e">
        <f aca="false">IF('CARGAR OPERACIONES'!$B170="",NA(),'CARGAR OPERACIONES'!$V170)</f>
        <v>#N/A</v>
      </c>
      <c r="C166" s="0" t="e">
        <f aca="false">IF('CARGAR OPERACIONES'!$B170="",NA(),Parametros!$C$6)</f>
        <v>#N/A</v>
      </c>
    </row>
    <row r="167" customFormat="false" ht="15" hidden="false" customHeight="false" outlineLevel="0" collapsed="false">
      <c r="A167" s="0" t="e">
        <f aca="false">IF('CARGAR OPERACIONES'!$B171="",NA(),'CARGAR OPERACIONES'!$A171)</f>
        <v>#N/A</v>
      </c>
      <c r="B167" s="0" t="e">
        <f aca="false">IF('CARGAR OPERACIONES'!$B171="",NA(),'CARGAR OPERACIONES'!$V171)</f>
        <v>#N/A</v>
      </c>
      <c r="C167" s="0" t="e">
        <f aca="false">IF('CARGAR OPERACIONES'!$B171="",NA(),Parametros!$C$6)</f>
        <v>#N/A</v>
      </c>
    </row>
    <row r="168" customFormat="false" ht="15" hidden="false" customHeight="false" outlineLevel="0" collapsed="false">
      <c r="A168" s="0" t="e">
        <f aca="false">IF('CARGAR OPERACIONES'!$B172="",NA(),'CARGAR OPERACIONES'!$A172)</f>
        <v>#N/A</v>
      </c>
      <c r="B168" s="0" t="e">
        <f aca="false">IF('CARGAR OPERACIONES'!$B172="",NA(),'CARGAR OPERACIONES'!$V172)</f>
        <v>#N/A</v>
      </c>
      <c r="C168" s="0" t="e">
        <f aca="false">IF('CARGAR OPERACIONES'!$B172="",NA(),Parametros!$C$6)</f>
        <v>#N/A</v>
      </c>
    </row>
    <row r="169" customFormat="false" ht="15" hidden="false" customHeight="false" outlineLevel="0" collapsed="false">
      <c r="A169" s="0" t="e">
        <f aca="false">IF('CARGAR OPERACIONES'!$B173="",NA(),'CARGAR OPERACIONES'!$A173)</f>
        <v>#N/A</v>
      </c>
      <c r="B169" s="0" t="e">
        <f aca="false">IF('CARGAR OPERACIONES'!$B173="",NA(),'CARGAR OPERACIONES'!$V173)</f>
        <v>#N/A</v>
      </c>
      <c r="C169" s="0" t="e">
        <f aca="false">IF('CARGAR OPERACIONES'!$B173="",NA(),Parametros!$C$6)</f>
        <v>#N/A</v>
      </c>
    </row>
    <row r="170" customFormat="false" ht="15" hidden="false" customHeight="false" outlineLevel="0" collapsed="false">
      <c r="A170" s="0" t="e">
        <f aca="false">IF('CARGAR OPERACIONES'!$B174="",NA(),'CARGAR OPERACIONES'!$A174)</f>
        <v>#N/A</v>
      </c>
      <c r="B170" s="0" t="e">
        <f aca="false">IF('CARGAR OPERACIONES'!$B174="",NA(),'CARGAR OPERACIONES'!$V174)</f>
        <v>#N/A</v>
      </c>
      <c r="C170" s="0" t="e">
        <f aca="false">IF('CARGAR OPERACIONES'!$B174="",NA(),Parametros!$C$6)</f>
        <v>#N/A</v>
      </c>
    </row>
    <row r="171" customFormat="false" ht="15" hidden="false" customHeight="false" outlineLevel="0" collapsed="false">
      <c r="A171" s="0" t="e">
        <f aca="false">IF('CARGAR OPERACIONES'!$B175="",NA(),'CARGAR OPERACIONES'!$A175)</f>
        <v>#N/A</v>
      </c>
      <c r="B171" s="0" t="e">
        <f aca="false">IF('CARGAR OPERACIONES'!$B175="",NA(),'CARGAR OPERACIONES'!$V175)</f>
        <v>#N/A</v>
      </c>
      <c r="C171" s="0" t="e">
        <f aca="false">IF('CARGAR OPERACIONES'!$B175="",NA(),Parametros!$C$6)</f>
        <v>#N/A</v>
      </c>
    </row>
    <row r="172" customFormat="false" ht="15" hidden="false" customHeight="false" outlineLevel="0" collapsed="false">
      <c r="A172" s="0" t="e">
        <f aca="false">IF('CARGAR OPERACIONES'!$B176="",NA(),'CARGAR OPERACIONES'!$A176)</f>
        <v>#N/A</v>
      </c>
      <c r="B172" s="0" t="e">
        <f aca="false">IF('CARGAR OPERACIONES'!$B176="",NA(),'CARGAR OPERACIONES'!$V176)</f>
        <v>#N/A</v>
      </c>
      <c r="C172" s="0" t="e">
        <f aca="false">IF('CARGAR OPERACIONES'!$B176="",NA(),Parametros!$C$6)</f>
        <v>#N/A</v>
      </c>
    </row>
    <row r="173" customFormat="false" ht="15" hidden="false" customHeight="false" outlineLevel="0" collapsed="false">
      <c r="A173" s="0" t="e">
        <f aca="false">IF('CARGAR OPERACIONES'!$B177="",NA(),'CARGAR OPERACIONES'!$A177)</f>
        <v>#N/A</v>
      </c>
      <c r="B173" s="0" t="e">
        <f aca="false">IF('CARGAR OPERACIONES'!$B177="",NA(),'CARGAR OPERACIONES'!$V177)</f>
        <v>#N/A</v>
      </c>
      <c r="C173" s="0" t="e">
        <f aca="false">IF('CARGAR OPERACIONES'!$B177="",NA(),Parametros!$C$6)</f>
        <v>#N/A</v>
      </c>
    </row>
    <row r="174" customFormat="false" ht="15" hidden="false" customHeight="false" outlineLevel="0" collapsed="false">
      <c r="A174" s="0" t="e">
        <f aca="false">IF('CARGAR OPERACIONES'!$B178="",NA(),'CARGAR OPERACIONES'!$A178)</f>
        <v>#N/A</v>
      </c>
      <c r="B174" s="0" t="e">
        <f aca="false">IF('CARGAR OPERACIONES'!$B178="",NA(),'CARGAR OPERACIONES'!$V178)</f>
        <v>#N/A</v>
      </c>
      <c r="C174" s="0" t="e">
        <f aca="false">IF('CARGAR OPERACIONES'!$B178="",NA(),Parametros!$C$6)</f>
        <v>#N/A</v>
      </c>
    </row>
    <row r="175" customFormat="false" ht="15" hidden="false" customHeight="false" outlineLevel="0" collapsed="false">
      <c r="A175" s="0" t="e">
        <f aca="false">IF('CARGAR OPERACIONES'!$B179="",NA(),'CARGAR OPERACIONES'!$A179)</f>
        <v>#N/A</v>
      </c>
      <c r="B175" s="0" t="e">
        <f aca="false">IF('CARGAR OPERACIONES'!$B179="",NA(),'CARGAR OPERACIONES'!$V179)</f>
        <v>#N/A</v>
      </c>
      <c r="C175" s="0" t="e">
        <f aca="false">IF('CARGAR OPERACIONES'!$B179="",NA(),Parametros!$C$6)</f>
        <v>#N/A</v>
      </c>
    </row>
    <row r="176" customFormat="false" ht="15" hidden="false" customHeight="false" outlineLevel="0" collapsed="false">
      <c r="A176" s="0" t="e">
        <f aca="false">IF('CARGAR OPERACIONES'!$B180="",NA(),'CARGAR OPERACIONES'!$A180)</f>
        <v>#N/A</v>
      </c>
      <c r="B176" s="0" t="e">
        <f aca="false">IF('CARGAR OPERACIONES'!$B180="",NA(),'CARGAR OPERACIONES'!$V180)</f>
        <v>#N/A</v>
      </c>
      <c r="C176" s="0" t="e">
        <f aca="false">IF('CARGAR OPERACIONES'!$B180="",NA(),Parametros!$C$6)</f>
        <v>#N/A</v>
      </c>
    </row>
    <row r="177" customFormat="false" ht="15" hidden="false" customHeight="false" outlineLevel="0" collapsed="false">
      <c r="A177" s="0" t="e">
        <f aca="false">IF('CARGAR OPERACIONES'!$B181="",NA(),'CARGAR OPERACIONES'!$A181)</f>
        <v>#N/A</v>
      </c>
      <c r="B177" s="0" t="e">
        <f aca="false">IF('CARGAR OPERACIONES'!$B181="",NA(),'CARGAR OPERACIONES'!$V181)</f>
        <v>#N/A</v>
      </c>
      <c r="C177" s="0" t="e">
        <f aca="false">IF('CARGAR OPERACIONES'!$B181="",NA(),Parametros!$C$6)</f>
        <v>#N/A</v>
      </c>
    </row>
    <row r="178" customFormat="false" ht="15" hidden="false" customHeight="false" outlineLevel="0" collapsed="false">
      <c r="A178" s="0" t="e">
        <f aca="false">IF('CARGAR OPERACIONES'!$B182="",NA(),'CARGAR OPERACIONES'!$A182)</f>
        <v>#N/A</v>
      </c>
      <c r="B178" s="0" t="e">
        <f aca="false">IF('CARGAR OPERACIONES'!$B182="",NA(),'CARGAR OPERACIONES'!$V182)</f>
        <v>#N/A</v>
      </c>
      <c r="C178" s="0" t="e">
        <f aca="false">IF('CARGAR OPERACIONES'!$B182="",NA(),Parametros!$C$6)</f>
        <v>#N/A</v>
      </c>
    </row>
    <row r="179" customFormat="false" ht="15" hidden="false" customHeight="false" outlineLevel="0" collapsed="false">
      <c r="A179" s="0" t="e">
        <f aca="false">IF('CARGAR OPERACIONES'!$B183="",NA(),'CARGAR OPERACIONES'!$A183)</f>
        <v>#N/A</v>
      </c>
      <c r="B179" s="0" t="e">
        <f aca="false">IF('CARGAR OPERACIONES'!$B183="",NA(),'CARGAR OPERACIONES'!$V183)</f>
        <v>#N/A</v>
      </c>
      <c r="C179" s="0" t="e">
        <f aca="false">IF('CARGAR OPERACIONES'!$B183="",NA(),Parametros!$C$6)</f>
        <v>#N/A</v>
      </c>
    </row>
    <row r="180" customFormat="false" ht="15" hidden="false" customHeight="false" outlineLevel="0" collapsed="false">
      <c r="A180" s="0" t="e">
        <f aca="false">IF('CARGAR OPERACIONES'!$B184="",NA(),'CARGAR OPERACIONES'!$A184)</f>
        <v>#N/A</v>
      </c>
      <c r="B180" s="0" t="e">
        <f aca="false">IF('CARGAR OPERACIONES'!$B184="",NA(),'CARGAR OPERACIONES'!$V184)</f>
        <v>#N/A</v>
      </c>
      <c r="C180" s="0" t="e">
        <f aca="false">IF('CARGAR OPERACIONES'!$B184="",NA(),Parametros!$C$6)</f>
        <v>#N/A</v>
      </c>
    </row>
    <row r="181" customFormat="false" ht="15" hidden="false" customHeight="false" outlineLevel="0" collapsed="false">
      <c r="A181" s="0" t="e">
        <f aca="false">IF('CARGAR OPERACIONES'!$B185="",NA(),'CARGAR OPERACIONES'!$A185)</f>
        <v>#N/A</v>
      </c>
      <c r="B181" s="0" t="e">
        <f aca="false">IF('CARGAR OPERACIONES'!$B185="",NA(),'CARGAR OPERACIONES'!$V185)</f>
        <v>#N/A</v>
      </c>
      <c r="C181" s="0" t="e">
        <f aca="false">IF('CARGAR OPERACIONES'!$B185="",NA(),Parametros!$C$6)</f>
        <v>#N/A</v>
      </c>
    </row>
    <row r="182" customFormat="false" ht="15" hidden="false" customHeight="false" outlineLevel="0" collapsed="false">
      <c r="A182" s="0" t="e">
        <f aca="false">IF('CARGAR OPERACIONES'!$B186="",NA(),'CARGAR OPERACIONES'!$A186)</f>
        <v>#N/A</v>
      </c>
      <c r="B182" s="0" t="e">
        <f aca="false">IF('CARGAR OPERACIONES'!$B186="",NA(),'CARGAR OPERACIONES'!$V186)</f>
        <v>#N/A</v>
      </c>
      <c r="C182" s="0" t="e">
        <f aca="false">IF('CARGAR OPERACIONES'!$B186="",NA(),Parametros!$C$6)</f>
        <v>#N/A</v>
      </c>
    </row>
    <row r="183" customFormat="false" ht="15" hidden="false" customHeight="false" outlineLevel="0" collapsed="false">
      <c r="A183" s="0" t="e">
        <f aca="false">IF('CARGAR OPERACIONES'!$B187="",NA(),'CARGAR OPERACIONES'!$A187)</f>
        <v>#N/A</v>
      </c>
      <c r="B183" s="0" t="e">
        <f aca="false">IF('CARGAR OPERACIONES'!$B187="",NA(),'CARGAR OPERACIONES'!$V187)</f>
        <v>#N/A</v>
      </c>
      <c r="C183" s="0" t="e">
        <f aca="false">IF('CARGAR OPERACIONES'!$B187="",NA(),Parametros!$C$6)</f>
        <v>#N/A</v>
      </c>
    </row>
    <row r="184" customFormat="false" ht="15" hidden="false" customHeight="false" outlineLevel="0" collapsed="false">
      <c r="A184" s="0" t="e">
        <f aca="false">IF('CARGAR OPERACIONES'!$B188="",NA(),'CARGAR OPERACIONES'!$A188)</f>
        <v>#N/A</v>
      </c>
      <c r="B184" s="0" t="e">
        <f aca="false">IF('CARGAR OPERACIONES'!$B188="",NA(),'CARGAR OPERACIONES'!$V188)</f>
        <v>#N/A</v>
      </c>
      <c r="C184" s="0" t="e">
        <f aca="false">IF('CARGAR OPERACIONES'!$B188="",NA(),Parametros!$C$6)</f>
        <v>#N/A</v>
      </c>
    </row>
    <row r="185" customFormat="false" ht="15" hidden="false" customHeight="false" outlineLevel="0" collapsed="false">
      <c r="A185" s="0" t="e">
        <f aca="false">IF('CARGAR OPERACIONES'!$B189="",NA(),'CARGAR OPERACIONES'!$A189)</f>
        <v>#N/A</v>
      </c>
      <c r="B185" s="0" t="e">
        <f aca="false">IF('CARGAR OPERACIONES'!$B189="",NA(),'CARGAR OPERACIONES'!$V189)</f>
        <v>#N/A</v>
      </c>
      <c r="C185" s="0" t="e">
        <f aca="false">IF('CARGAR OPERACIONES'!$B189="",NA(),Parametros!$C$6)</f>
        <v>#N/A</v>
      </c>
    </row>
    <row r="186" customFormat="false" ht="15" hidden="false" customHeight="false" outlineLevel="0" collapsed="false">
      <c r="A186" s="0" t="e">
        <f aca="false">IF('CARGAR OPERACIONES'!$B190="",NA(),'CARGAR OPERACIONES'!$A190)</f>
        <v>#N/A</v>
      </c>
      <c r="B186" s="0" t="e">
        <f aca="false">IF('CARGAR OPERACIONES'!$B190="",NA(),'CARGAR OPERACIONES'!$V190)</f>
        <v>#N/A</v>
      </c>
      <c r="C186" s="0" t="e">
        <f aca="false">IF('CARGAR OPERACIONES'!$B190="",NA(),Parametros!$C$6)</f>
        <v>#N/A</v>
      </c>
    </row>
    <row r="187" customFormat="false" ht="15" hidden="false" customHeight="false" outlineLevel="0" collapsed="false">
      <c r="A187" s="0" t="e">
        <f aca="false">IF('CARGAR OPERACIONES'!$B191="",NA(),'CARGAR OPERACIONES'!$A191)</f>
        <v>#N/A</v>
      </c>
      <c r="B187" s="0" t="e">
        <f aca="false">IF('CARGAR OPERACIONES'!$B191="",NA(),'CARGAR OPERACIONES'!$V191)</f>
        <v>#N/A</v>
      </c>
      <c r="C187" s="0" t="e">
        <f aca="false">IF('CARGAR OPERACIONES'!$B191="",NA(),Parametros!$C$6)</f>
        <v>#N/A</v>
      </c>
    </row>
    <row r="188" customFormat="false" ht="15" hidden="false" customHeight="false" outlineLevel="0" collapsed="false">
      <c r="A188" s="0" t="e">
        <f aca="false">IF('CARGAR OPERACIONES'!$B192="",NA(),'CARGAR OPERACIONES'!$A192)</f>
        <v>#N/A</v>
      </c>
      <c r="B188" s="0" t="e">
        <f aca="false">IF('CARGAR OPERACIONES'!$B192="",NA(),'CARGAR OPERACIONES'!$V192)</f>
        <v>#N/A</v>
      </c>
      <c r="C188" s="0" t="e">
        <f aca="false">IF('CARGAR OPERACIONES'!$B192="",NA(),Parametros!$C$6)</f>
        <v>#N/A</v>
      </c>
    </row>
    <row r="189" customFormat="false" ht="15" hidden="false" customHeight="false" outlineLevel="0" collapsed="false">
      <c r="A189" s="0" t="e">
        <f aca="false">IF('CARGAR OPERACIONES'!$B193="",NA(),'CARGAR OPERACIONES'!$A193)</f>
        <v>#N/A</v>
      </c>
      <c r="B189" s="0" t="e">
        <f aca="false">IF('CARGAR OPERACIONES'!$B193="",NA(),'CARGAR OPERACIONES'!$V193)</f>
        <v>#N/A</v>
      </c>
      <c r="C189" s="0" t="e">
        <f aca="false">IF('CARGAR OPERACIONES'!$B193="",NA(),Parametros!$C$6)</f>
        <v>#N/A</v>
      </c>
    </row>
    <row r="190" customFormat="false" ht="15" hidden="false" customHeight="false" outlineLevel="0" collapsed="false">
      <c r="A190" s="0" t="e">
        <f aca="false">IF('CARGAR OPERACIONES'!$B194="",NA(),'CARGAR OPERACIONES'!$A194)</f>
        <v>#N/A</v>
      </c>
      <c r="B190" s="0" t="e">
        <f aca="false">IF('CARGAR OPERACIONES'!$B194="",NA(),'CARGAR OPERACIONES'!$V194)</f>
        <v>#N/A</v>
      </c>
      <c r="C190" s="0" t="e">
        <f aca="false">IF('CARGAR OPERACIONES'!$B194="",NA(),Parametros!$C$6)</f>
        <v>#N/A</v>
      </c>
    </row>
    <row r="191" customFormat="false" ht="15" hidden="false" customHeight="false" outlineLevel="0" collapsed="false">
      <c r="A191" s="0" t="e">
        <f aca="false">IF('CARGAR OPERACIONES'!$B195="",NA(),'CARGAR OPERACIONES'!$A195)</f>
        <v>#N/A</v>
      </c>
      <c r="B191" s="0" t="e">
        <f aca="false">IF('CARGAR OPERACIONES'!$B195="",NA(),'CARGAR OPERACIONES'!$V195)</f>
        <v>#N/A</v>
      </c>
      <c r="C191" s="0" t="e">
        <f aca="false">IF('CARGAR OPERACIONES'!$B195="",NA(),Parametros!$C$6)</f>
        <v>#N/A</v>
      </c>
    </row>
    <row r="192" customFormat="false" ht="15" hidden="false" customHeight="false" outlineLevel="0" collapsed="false">
      <c r="A192" s="0" t="e">
        <f aca="false">IF('CARGAR OPERACIONES'!$B196="",NA(),'CARGAR OPERACIONES'!$A196)</f>
        <v>#N/A</v>
      </c>
      <c r="B192" s="0" t="e">
        <f aca="false">IF('CARGAR OPERACIONES'!$B196="",NA(),'CARGAR OPERACIONES'!$V196)</f>
        <v>#N/A</v>
      </c>
      <c r="C192" s="0" t="e">
        <f aca="false">IF('CARGAR OPERACIONES'!$B196="",NA(),Parametros!$C$6)</f>
        <v>#N/A</v>
      </c>
    </row>
    <row r="193" customFormat="false" ht="15" hidden="false" customHeight="false" outlineLevel="0" collapsed="false">
      <c r="A193" s="0" t="e">
        <f aca="false">IF('CARGAR OPERACIONES'!$B197="",NA(),'CARGAR OPERACIONES'!$A197)</f>
        <v>#N/A</v>
      </c>
      <c r="B193" s="0" t="e">
        <f aca="false">IF('CARGAR OPERACIONES'!$B197="",NA(),'CARGAR OPERACIONES'!$V197)</f>
        <v>#N/A</v>
      </c>
      <c r="C193" s="0" t="e">
        <f aca="false">IF('CARGAR OPERACIONES'!$B197="",NA(),Parametros!$C$6)</f>
        <v>#N/A</v>
      </c>
    </row>
    <row r="194" customFormat="false" ht="15" hidden="false" customHeight="false" outlineLevel="0" collapsed="false">
      <c r="A194" s="0" t="e">
        <f aca="false">IF('CARGAR OPERACIONES'!$B198="",NA(),'CARGAR OPERACIONES'!$A198)</f>
        <v>#N/A</v>
      </c>
      <c r="B194" s="0" t="e">
        <f aca="false">IF('CARGAR OPERACIONES'!$B198="",NA(),'CARGAR OPERACIONES'!$V198)</f>
        <v>#N/A</v>
      </c>
      <c r="C194" s="0" t="e">
        <f aca="false">IF('CARGAR OPERACIONES'!$B198="",NA(),Parametros!$C$6)</f>
        <v>#N/A</v>
      </c>
    </row>
    <row r="195" customFormat="false" ht="15" hidden="false" customHeight="false" outlineLevel="0" collapsed="false">
      <c r="A195" s="0" t="e">
        <f aca="false">IF('CARGAR OPERACIONES'!$B199="",NA(),'CARGAR OPERACIONES'!$A199)</f>
        <v>#N/A</v>
      </c>
      <c r="B195" s="0" t="e">
        <f aca="false">IF('CARGAR OPERACIONES'!$B199="",NA(),'CARGAR OPERACIONES'!$V199)</f>
        <v>#N/A</v>
      </c>
      <c r="C195" s="0" t="e">
        <f aca="false">IF('CARGAR OPERACIONES'!$B199="",NA(),Parametros!$C$6)</f>
        <v>#N/A</v>
      </c>
    </row>
    <row r="196" customFormat="false" ht="15" hidden="false" customHeight="false" outlineLevel="0" collapsed="false">
      <c r="A196" s="0" t="e">
        <f aca="false">IF('CARGAR OPERACIONES'!$B200="",NA(),'CARGAR OPERACIONES'!$A200)</f>
        <v>#N/A</v>
      </c>
      <c r="B196" s="0" t="e">
        <f aca="false">IF('CARGAR OPERACIONES'!$B200="",NA(),'CARGAR OPERACIONES'!$V200)</f>
        <v>#N/A</v>
      </c>
      <c r="C196" s="0" t="e">
        <f aca="false">IF('CARGAR OPERACIONES'!$B200="",NA(),Parametros!$C$6)</f>
        <v>#N/A</v>
      </c>
    </row>
    <row r="197" customFormat="false" ht="15" hidden="false" customHeight="false" outlineLevel="0" collapsed="false">
      <c r="A197" s="0" t="e">
        <f aca="false">IF('CARGAR OPERACIONES'!$B201="",NA(),'CARGAR OPERACIONES'!$A201)</f>
        <v>#N/A</v>
      </c>
      <c r="B197" s="0" t="e">
        <f aca="false">IF('CARGAR OPERACIONES'!$B201="",NA(),'CARGAR OPERACIONES'!$V201)</f>
        <v>#N/A</v>
      </c>
      <c r="C197" s="0" t="e">
        <f aca="false">IF('CARGAR OPERACIONES'!$B201="",NA(),Parametros!$C$6)</f>
        <v>#N/A</v>
      </c>
    </row>
    <row r="198" customFormat="false" ht="15" hidden="false" customHeight="false" outlineLevel="0" collapsed="false">
      <c r="A198" s="0" t="e">
        <f aca="false">IF('CARGAR OPERACIONES'!$B202="",NA(),'CARGAR OPERACIONES'!$A202)</f>
        <v>#N/A</v>
      </c>
      <c r="B198" s="0" t="e">
        <f aca="false">IF('CARGAR OPERACIONES'!$B202="",NA(),'CARGAR OPERACIONES'!$V202)</f>
        <v>#N/A</v>
      </c>
      <c r="C198" s="0" t="e">
        <f aca="false">IF('CARGAR OPERACIONES'!$B202="",NA(),Parametros!$C$6)</f>
        <v>#N/A</v>
      </c>
    </row>
    <row r="199" customFormat="false" ht="15" hidden="false" customHeight="false" outlineLevel="0" collapsed="false">
      <c r="A199" s="0" t="e">
        <f aca="false">IF('CARGAR OPERACIONES'!$B203="",NA(),'CARGAR OPERACIONES'!$A203)</f>
        <v>#N/A</v>
      </c>
      <c r="B199" s="0" t="e">
        <f aca="false">IF('CARGAR OPERACIONES'!$B203="",NA(),'CARGAR OPERACIONES'!$V203)</f>
        <v>#N/A</v>
      </c>
      <c r="C199" s="0" t="e">
        <f aca="false">IF('CARGAR OPERACIONES'!$B203="",NA(),Parametros!$C$6)</f>
        <v>#N/A</v>
      </c>
    </row>
    <row r="200" customFormat="false" ht="15" hidden="false" customHeight="false" outlineLevel="0" collapsed="false">
      <c r="A200" s="0" t="e">
        <f aca="false">IF('CARGAR OPERACIONES'!$B204="",NA(),'CARGAR OPERACIONES'!$A204)</f>
        <v>#N/A</v>
      </c>
      <c r="B200" s="0" t="e">
        <f aca="false">IF('CARGAR OPERACIONES'!$B204="",NA(),'CARGAR OPERACIONES'!$V204)</f>
        <v>#N/A</v>
      </c>
      <c r="C200" s="0" t="e">
        <f aca="false">IF('CARGAR OPERACIONES'!$B204="",NA(),Parametros!$C$6)</f>
        <v>#N/A</v>
      </c>
    </row>
    <row r="201" customFormat="false" ht="15" hidden="false" customHeight="false" outlineLevel="0" collapsed="false">
      <c r="A201" s="0" t="e">
        <f aca="false">IF('CARGAR OPERACIONES'!$B205="",NA(),'CARGAR OPERACIONES'!$A205)</f>
        <v>#N/A</v>
      </c>
      <c r="B201" s="0" t="e">
        <f aca="false">IF('CARGAR OPERACIONES'!$B205="",NA(),'CARGAR OPERACIONES'!$V205)</f>
        <v>#N/A</v>
      </c>
      <c r="C201" s="0" t="e">
        <f aca="false">IF('CARGAR OPERACIONES'!$B205="",NA(),Parametros!$C$6)</f>
        <v>#N/A</v>
      </c>
    </row>
    <row r="202" customFormat="false" ht="15" hidden="false" customHeight="false" outlineLevel="0" collapsed="false">
      <c r="A202" s="0" t="e">
        <f aca="false">IF('CARGAR OPERACIONES'!$B206="",NA(),'CARGAR OPERACIONES'!$A206)</f>
        <v>#N/A</v>
      </c>
      <c r="B202" s="0" t="e">
        <f aca="false">IF('CARGAR OPERACIONES'!$B206="",NA(),'CARGAR OPERACIONES'!$V206)</f>
        <v>#N/A</v>
      </c>
      <c r="C202" s="0" t="e">
        <f aca="false">IF('CARGAR OPERACIONES'!$B206="",NA(),Parametros!$C$6)</f>
        <v>#N/A</v>
      </c>
    </row>
    <row r="203" customFormat="false" ht="15" hidden="false" customHeight="false" outlineLevel="0" collapsed="false">
      <c r="A203" s="0" t="e">
        <f aca="false">IF('CARGAR OPERACIONES'!$B207="",NA(),'CARGAR OPERACIONES'!$A207)</f>
        <v>#N/A</v>
      </c>
      <c r="B203" s="0" t="e">
        <f aca="false">IF('CARGAR OPERACIONES'!$B207="",NA(),'CARGAR OPERACIONES'!$V207)</f>
        <v>#N/A</v>
      </c>
      <c r="C203" s="0" t="e">
        <f aca="false">IF('CARGAR OPERACIONES'!$B207="",NA(),Parametros!$C$6)</f>
        <v>#N/A</v>
      </c>
    </row>
    <row r="204" customFormat="false" ht="15" hidden="false" customHeight="false" outlineLevel="0" collapsed="false">
      <c r="A204" s="0" t="e">
        <f aca="false">IF('CARGAR OPERACIONES'!$B208="",NA(),'CARGAR OPERACIONES'!$A208)</f>
        <v>#N/A</v>
      </c>
      <c r="B204" s="0" t="e">
        <f aca="false">IF('CARGAR OPERACIONES'!$B208="",NA(),'CARGAR OPERACIONES'!$V208)</f>
        <v>#N/A</v>
      </c>
      <c r="C204" s="0" t="e">
        <f aca="false">IF('CARGAR OPERACIONES'!$B208="",NA(),Parametros!$C$6)</f>
        <v>#N/A</v>
      </c>
    </row>
    <row r="205" customFormat="false" ht="15" hidden="false" customHeight="false" outlineLevel="0" collapsed="false">
      <c r="A205" s="0" t="e">
        <f aca="false">IF('CARGAR OPERACIONES'!$B209="",NA(),'CARGAR OPERACIONES'!$A209)</f>
        <v>#N/A</v>
      </c>
      <c r="B205" s="0" t="e">
        <f aca="false">IF('CARGAR OPERACIONES'!$B209="",NA(),'CARGAR OPERACIONES'!$V209)</f>
        <v>#N/A</v>
      </c>
      <c r="C205" s="0" t="e">
        <f aca="false">IF('CARGAR OPERACIONES'!$B209="",NA(),Parametros!$C$6)</f>
        <v>#N/A</v>
      </c>
    </row>
    <row r="206" customFormat="false" ht="15" hidden="false" customHeight="false" outlineLevel="0" collapsed="false">
      <c r="A206" s="0" t="e">
        <f aca="false">IF('CARGAR OPERACIONES'!$B210="",NA(),'CARGAR OPERACIONES'!$A210)</f>
        <v>#N/A</v>
      </c>
      <c r="B206" s="0" t="e">
        <f aca="false">IF('CARGAR OPERACIONES'!$B210="",NA(),'CARGAR OPERACIONES'!$V210)</f>
        <v>#N/A</v>
      </c>
      <c r="C206" s="0" t="e">
        <f aca="false">IF('CARGAR OPERACIONES'!$B210="",NA(),Parametros!$C$6)</f>
        <v>#N/A</v>
      </c>
    </row>
    <row r="207" customFormat="false" ht="15" hidden="false" customHeight="false" outlineLevel="0" collapsed="false">
      <c r="A207" s="0" t="e">
        <f aca="false">IF('CARGAR OPERACIONES'!$B211="",NA(),'CARGAR OPERACIONES'!$A211)</f>
        <v>#N/A</v>
      </c>
      <c r="B207" s="0" t="e">
        <f aca="false">IF('CARGAR OPERACIONES'!$B211="",NA(),'CARGAR OPERACIONES'!$V211)</f>
        <v>#N/A</v>
      </c>
      <c r="C207" s="0" t="e">
        <f aca="false">IF('CARGAR OPERACIONES'!$B211="",NA(),Parametros!$C$6)</f>
        <v>#N/A</v>
      </c>
    </row>
    <row r="208" customFormat="false" ht="15" hidden="false" customHeight="false" outlineLevel="0" collapsed="false">
      <c r="A208" s="0" t="e">
        <f aca="false">IF('CARGAR OPERACIONES'!$B212="",NA(),'CARGAR OPERACIONES'!$A212)</f>
        <v>#N/A</v>
      </c>
      <c r="B208" s="0" t="e">
        <f aca="false">IF('CARGAR OPERACIONES'!$B212="",NA(),'CARGAR OPERACIONES'!$V212)</f>
        <v>#N/A</v>
      </c>
      <c r="C208" s="0" t="e">
        <f aca="false">IF('CARGAR OPERACIONES'!$B212="",NA(),Parametros!$C$6)</f>
        <v>#N/A</v>
      </c>
    </row>
    <row r="209" customFormat="false" ht="15" hidden="false" customHeight="false" outlineLevel="0" collapsed="false">
      <c r="A209" s="0" t="e">
        <f aca="false">IF('CARGAR OPERACIONES'!$B213="",NA(),'CARGAR OPERACIONES'!$A213)</f>
        <v>#N/A</v>
      </c>
      <c r="B209" s="0" t="e">
        <f aca="false">IF('CARGAR OPERACIONES'!$B213="",NA(),'CARGAR OPERACIONES'!$V213)</f>
        <v>#N/A</v>
      </c>
      <c r="C209" s="0" t="e">
        <f aca="false">IF('CARGAR OPERACIONES'!$B213="",NA(),Parametros!$C$6)</f>
        <v>#N/A</v>
      </c>
    </row>
    <row r="210" customFormat="false" ht="15" hidden="false" customHeight="false" outlineLevel="0" collapsed="false">
      <c r="A210" s="0" t="e">
        <f aca="false">IF('CARGAR OPERACIONES'!$B214="",NA(),'CARGAR OPERACIONES'!$A214)</f>
        <v>#N/A</v>
      </c>
      <c r="B210" s="0" t="e">
        <f aca="false">IF('CARGAR OPERACIONES'!$B214="",NA(),'CARGAR OPERACIONES'!$V214)</f>
        <v>#N/A</v>
      </c>
      <c r="C210" s="0" t="e">
        <f aca="false">IF('CARGAR OPERACIONES'!$B214="",NA(),Parametros!$C$6)</f>
        <v>#N/A</v>
      </c>
    </row>
    <row r="211" customFormat="false" ht="15" hidden="false" customHeight="false" outlineLevel="0" collapsed="false">
      <c r="A211" s="0" t="e">
        <f aca="false">IF('CARGAR OPERACIONES'!$B215="",NA(),'CARGAR OPERACIONES'!$A215)</f>
        <v>#N/A</v>
      </c>
      <c r="B211" s="0" t="e">
        <f aca="false">IF('CARGAR OPERACIONES'!$B215="",NA(),'CARGAR OPERACIONES'!$V215)</f>
        <v>#N/A</v>
      </c>
      <c r="C211" s="0" t="e">
        <f aca="false">IF('CARGAR OPERACIONES'!$B215="",NA(),Parametros!$C$6)</f>
        <v>#N/A</v>
      </c>
    </row>
    <row r="212" customFormat="false" ht="15" hidden="false" customHeight="false" outlineLevel="0" collapsed="false">
      <c r="A212" s="0" t="e">
        <f aca="false">IF('CARGAR OPERACIONES'!$B216="",NA(),'CARGAR OPERACIONES'!$A216)</f>
        <v>#N/A</v>
      </c>
      <c r="B212" s="0" t="e">
        <f aca="false">IF('CARGAR OPERACIONES'!$B216="",NA(),'CARGAR OPERACIONES'!$V216)</f>
        <v>#N/A</v>
      </c>
      <c r="C212" s="0" t="e">
        <f aca="false">IF('CARGAR OPERACIONES'!$B216="",NA(),Parametros!$C$6)</f>
        <v>#N/A</v>
      </c>
    </row>
    <row r="213" customFormat="false" ht="15" hidden="false" customHeight="false" outlineLevel="0" collapsed="false">
      <c r="A213" s="0" t="e">
        <f aca="false">IF('CARGAR OPERACIONES'!$B217="",NA(),'CARGAR OPERACIONES'!$A217)</f>
        <v>#N/A</v>
      </c>
      <c r="B213" s="0" t="e">
        <f aca="false">IF('CARGAR OPERACIONES'!$B217="",NA(),'CARGAR OPERACIONES'!$V217)</f>
        <v>#N/A</v>
      </c>
      <c r="C213" s="0" t="e">
        <f aca="false">IF('CARGAR OPERACIONES'!$B217="",NA(),Parametros!$C$6)</f>
        <v>#N/A</v>
      </c>
    </row>
    <row r="214" customFormat="false" ht="15" hidden="false" customHeight="false" outlineLevel="0" collapsed="false">
      <c r="A214" s="0" t="e">
        <f aca="false">IF('CARGAR OPERACIONES'!$B218="",NA(),'CARGAR OPERACIONES'!$A218)</f>
        <v>#N/A</v>
      </c>
      <c r="B214" s="0" t="e">
        <f aca="false">IF('CARGAR OPERACIONES'!$B218="",NA(),'CARGAR OPERACIONES'!$V218)</f>
        <v>#N/A</v>
      </c>
      <c r="C214" s="0" t="e">
        <f aca="false">IF('CARGAR OPERACIONES'!$B218="",NA(),Parametros!$C$6)</f>
        <v>#N/A</v>
      </c>
    </row>
    <row r="215" customFormat="false" ht="15" hidden="false" customHeight="false" outlineLevel="0" collapsed="false">
      <c r="A215" s="0" t="e">
        <f aca="false">IF('CARGAR OPERACIONES'!$B219="",NA(),'CARGAR OPERACIONES'!$A219)</f>
        <v>#N/A</v>
      </c>
      <c r="B215" s="0" t="e">
        <f aca="false">IF('CARGAR OPERACIONES'!$B219="",NA(),'CARGAR OPERACIONES'!$V219)</f>
        <v>#N/A</v>
      </c>
      <c r="C215" s="0" t="e">
        <f aca="false">IF('CARGAR OPERACIONES'!$B219="",NA(),Parametros!$C$6)</f>
        <v>#N/A</v>
      </c>
    </row>
    <row r="216" customFormat="false" ht="15" hidden="false" customHeight="false" outlineLevel="0" collapsed="false">
      <c r="A216" s="0" t="e">
        <f aca="false">IF('CARGAR OPERACIONES'!$B220="",NA(),'CARGAR OPERACIONES'!$A220)</f>
        <v>#N/A</v>
      </c>
      <c r="B216" s="0" t="e">
        <f aca="false">IF('CARGAR OPERACIONES'!$B220="",NA(),'CARGAR OPERACIONES'!$V220)</f>
        <v>#N/A</v>
      </c>
      <c r="C216" s="0" t="e">
        <f aca="false">IF('CARGAR OPERACIONES'!$B220="",NA(),Parametros!$C$6)</f>
        <v>#N/A</v>
      </c>
    </row>
    <row r="217" customFormat="false" ht="15" hidden="false" customHeight="false" outlineLevel="0" collapsed="false">
      <c r="A217" s="0" t="e">
        <f aca="false">IF('CARGAR OPERACIONES'!$B221="",NA(),'CARGAR OPERACIONES'!$A221)</f>
        <v>#N/A</v>
      </c>
      <c r="B217" s="0" t="e">
        <f aca="false">IF('CARGAR OPERACIONES'!$B221="",NA(),'CARGAR OPERACIONES'!$V221)</f>
        <v>#N/A</v>
      </c>
      <c r="C217" s="0" t="e">
        <f aca="false">IF('CARGAR OPERACIONES'!$B221="",NA(),Parametros!$C$6)</f>
        <v>#N/A</v>
      </c>
    </row>
    <row r="218" customFormat="false" ht="15" hidden="false" customHeight="false" outlineLevel="0" collapsed="false">
      <c r="A218" s="0" t="e">
        <f aca="false">IF('CARGAR OPERACIONES'!$B222="",NA(),'CARGAR OPERACIONES'!$A222)</f>
        <v>#N/A</v>
      </c>
      <c r="B218" s="0" t="e">
        <f aca="false">IF('CARGAR OPERACIONES'!$B222="",NA(),'CARGAR OPERACIONES'!$V222)</f>
        <v>#N/A</v>
      </c>
      <c r="C218" s="0" t="e">
        <f aca="false">IF('CARGAR OPERACIONES'!$B222="",NA(),Parametros!$C$6)</f>
        <v>#N/A</v>
      </c>
    </row>
    <row r="219" customFormat="false" ht="15" hidden="false" customHeight="false" outlineLevel="0" collapsed="false">
      <c r="A219" s="0" t="e">
        <f aca="false">IF('CARGAR OPERACIONES'!$B223="",NA(),'CARGAR OPERACIONES'!$A223)</f>
        <v>#N/A</v>
      </c>
      <c r="B219" s="0" t="e">
        <f aca="false">IF('CARGAR OPERACIONES'!$B223="",NA(),'CARGAR OPERACIONES'!$V223)</f>
        <v>#N/A</v>
      </c>
      <c r="C219" s="0" t="e">
        <f aca="false">IF('CARGAR OPERACIONES'!$B223="",NA(),Parametros!$C$6)</f>
        <v>#N/A</v>
      </c>
    </row>
    <row r="220" customFormat="false" ht="15" hidden="false" customHeight="false" outlineLevel="0" collapsed="false">
      <c r="A220" s="0" t="e">
        <f aca="false">IF('CARGAR OPERACIONES'!$B224="",NA(),'CARGAR OPERACIONES'!$A224)</f>
        <v>#N/A</v>
      </c>
      <c r="B220" s="0" t="e">
        <f aca="false">IF('CARGAR OPERACIONES'!$B224="",NA(),'CARGAR OPERACIONES'!$V224)</f>
        <v>#N/A</v>
      </c>
      <c r="C220" s="0" t="e">
        <f aca="false">IF('CARGAR OPERACIONES'!$B224="",NA(),Parametros!$C$6)</f>
        <v>#N/A</v>
      </c>
    </row>
    <row r="221" customFormat="false" ht="15" hidden="false" customHeight="false" outlineLevel="0" collapsed="false">
      <c r="A221" s="0" t="e">
        <f aca="false">IF('CARGAR OPERACIONES'!$B225="",NA(),'CARGAR OPERACIONES'!$A225)</f>
        <v>#N/A</v>
      </c>
      <c r="B221" s="0" t="e">
        <f aca="false">IF('CARGAR OPERACIONES'!$B225="",NA(),'CARGAR OPERACIONES'!$V225)</f>
        <v>#N/A</v>
      </c>
      <c r="C221" s="0" t="e">
        <f aca="false">IF('CARGAR OPERACIONES'!$B225="",NA(),Parametros!$C$6)</f>
        <v>#N/A</v>
      </c>
    </row>
    <row r="222" customFormat="false" ht="15" hidden="false" customHeight="false" outlineLevel="0" collapsed="false">
      <c r="A222" s="0" t="e">
        <f aca="false">IF('CARGAR OPERACIONES'!$B226="",NA(),'CARGAR OPERACIONES'!$A226)</f>
        <v>#N/A</v>
      </c>
      <c r="B222" s="0" t="e">
        <f aca="false">IF('CARGAR OPERACIONES'!$B226="",NA(),'CARGAR OPERACIONES'!$V226)</f>
        <v>#N/A</v>
      </c>
      <c r="C222" s="0" t="e">
        <f aca="false">IF('CARGAR OPERACIONES'!$B226="",NA(),Parametros!$C$6)</f>
        <v>#N/A</v>
      </c>
    </row>
    <row r="223" customFormat="false" ht="15" hidden="false" customHeight="false" outlineLevel="0" collapsed="false">
      <c r="A223" s="0" t="e">
        <f aca="false">IF('CARGAR OPERACIONES'!$B227="",NA(),'CARGAR OPERACIONES'!$A227)</f>
        <v>#N/A</v>
      </c>
      <c r="B223" s="0" t="e">
        <f aca="false">IF('CARGAR OPERACIONES'!$B227="",NA(),'CARGAR OPERACIONES'!$V227)</f>
        <v>#N/A</v>
      </c>
      <c r="C223" s="0" t="e">
        <f aca="false">IF('CARGAR OPERACIONES'!$B227="",NA(),Parametros!$C$6)</f>
        <v>#N/A</v>
      </c>
    </row>
    <row r="224" customFormat="false" ht="15" hidden="false" customHeight="false" outlineLevel="0" collapsed="false">
      <c r="A224" s="0" t="e">
        <f aca="false">IF('CARGAR OPERACIONES'!$B228="",NA(),'CARGAR OPERACIONES'!$A228)</f>
        <v>#N/A</v>
      </c>
      <c r="B224" s="0" t="e">
        <f aca="false">IF('CARGAR OPERACIONES'!$B228="",NA(),'CARGAR OPERACIONES'!$V228)</f>
        <v>#N/A</v>
      </c>
      <c r="C224" s="0" t="e">
        <f aca="false">IF('CARGAR OPERACIONES'!$B228="",NA(),Parametros!$C$6)</f>
        <v>#N/A</v>
      </c>
    </row>
    <row r="225" customFormat="false" ht="15" hidden="false" customHeight="false" outlineLevel="0" collapsed="false">
      <c r="A225" s="0" t="e">
        <f aca="false">IF('CARGAR OPERACIONES'!$B229="",NA(),'CARGAR OPERACIONES'!$A229)</f>
        <v>#N/A</v>
      </c>
      <c r="B225" s="0" t="e">
        <f aca="false">IF('CARGAR OPERACIONES'!$B229="",NA(),'CARGAR OPERACIONES'!$V229)</f>
        <v>#N/A</v>
      </c>
      <c r="C225" s="0" t="e">
        <f aca="false">IF('CARGAR OPERACIONES'!$B229="",NA(),Parametros!$C$6)</f>
        <v>#N/A</v>
      </c>
    </row>
    <row r="226" customFormat="false" ht="15" hidden="false" customHeight="false" outlineLevel="0" collapsed="false">
      <c r="A226" s="0" t="e">
        <f aca="false">IF('CARGAR OPERACIONES'!$B230="",NA(),'CARGAR OPERACIONES'!$A230)</f>
        <v>#N/A</v>
      </c>
      <c r="B226" s="0" t="e">
        <f aca="false">IF('CARGAR OPERACIONES'!$B230="",NA(),'CARGAR OPERACIONES'!$V230)</f>
        <v>#N/A</v>
      </c>
      <c r="C226" s="0" t="e">
        <f aca="false">IF('CARGAR OPERACIONES'!$B230="",NA(),Parametros!$C$6)</f>
        <v>#N/A</v>
      </c>
    </row>
    <row r="227" customFormat="false" ht="15" hidden="false" customHeight="false" outlineLevel="0" collapsed="false">
      <c r="A227" s="0" t="e">
        <f aca="false">IF('CARGAR OPERACIONES'!$B231="",NA(),'CARGAR OPERACIONES'!$A231)</f>
        <v>#N/A</v>
      </c>
      <c r="B227" s="0" t="e">
        <f aca="false">IF('CARGAR OPERACIONES'!$B231="",NA(),'CARGAR OPERACIONES'!$V231)</f>
        <v>#N/A</v>
      </c>
      <c r="C227" s="0" t="e">
        <f aca="false">IF('CARGAR OPERACIONES'!$B231="",NA(),Parametros!$C$6)</f>
        <v>#N/A</v>
      </c>
    </row>
    <row r="228" customFormat="false" ht="15" hidden="false" customHeight="false" outlineLevel="0" collapsed="false">
      <c r="A228" s="0" t="e">
        <f aca="false">IF('CARGAR OPERACIONES'!$B232="",NA(),'CARGAR OPERACIONES'!$A232)</f>
        <v>#N/A</v>
      </c>
      <c r="B228" s="0" t="e">
        <f aca="false">IF('CARGAR OPERACIONES'!$B232="",NA(),'CARGAR OPERACIONES'!$V232)</f>
        <v>#N/A</v>
      </c>
      <c r="C228" s="0" t="e">
        <f aca="false">IF('CARGAR OPERACIONES'!$B232="",NA(),Parametros!$C$6)</f>
        <v>#N/A</v>
      </c>
    </row>
    <row r="229" customFormat="false" ht="15" hidden="false" customHeight="false" outlineLevel="0" collapsed="false">
      <c r="A229" s="0" t="e">
        <f aca="false">IF('CARGAR OPERACIONES'!$B233="",NA(),'CARGAR OPERACIONES'!$A233)</f>
        <v>#N/A</v>
      </c>
      <c r="B229" s="0" t="e">
        <f aca="false">IF('CARGAR OPERACIONES'!$B233="",NA(),'CARGAR OPERACIONES'!$V233)</f>
        <v>#N/A</v>
      </c>
      <c r="C229" s="0" t="e">
        <f aca="false">IF('CARGAR OPERACIONES'!$B233="",NA(),Parametros!$C$6)</f>
        <v>#N/A</v>
      </c>
    </row>
    <row r="230" customFormat="false" ht="15" hidden="false" customHeight="false" outlineLevel="0" collapsed="false">
      <c r="A230" s="0" t="e">
        <f aca="false">IF('CARGAR OPERACIONES'!$B234="",NA(),'CARGAR OPERACIONES'!$A234)</f>
        <v>#N/A</v>
      </c>
      <c r="B230" s="0" t="e">
        <f aca="false">IF('CARGAR OPERACIONES'!$B234="",NA(),'CARGAR OPERACIONES'!$V234)</f>
        <v>#N/A</v>
      </c>
      <c r="C230" s="0" t="e">
        <f aca="false">IF('CARGAR OPERACIONES'!$B234="",NA(),Parametros!$C$6)</f>
        <v>#N/A</v>
      </c>
    </row>
    <row r="231" customFormat="false" ht="15" hidden="false" customHeight="false" outlineLevel="0" collapsed="false">
      <c r="A231" s="0" t="e">
        <f aca="false">IF('CARGAR OPERACIONES'!$B235="",NA(),'CARGAR OPERACIONES'!$A235)</f>
        <v>#N/A</v>
      </c>
      <c r="B231" s="0" t="e">
        <f aca="false">IF('CARGAR OPERACIONES'!$B235="",NA(),'CARGAR OPERACIONES'!$V235)</f>
        <v>#N/A</v>
      </c>
      <c r="C231" s="0" t="e">
        <f aca="false">IF('CARGAR OPERACIONES'!$B235="",NA(),Parametros!$C$6)</f>
        <v>#N/A</v>
      </c>
    </row>
    <row r="232" customFormat="false" ht="15" hidden="false" customHeight="false" outlineLevel="0" collapsed="false">
      <c r="A232" s="0" t="e">
        <f aca="false">IF('CARGAR OPERACIONES'!$B236="",NA(),'CARGAR OPERACIONES'!$A236)</f>
        <v>#N/A</v>
      </c>
      <c r="B232" s="0" t="e">
        <f aca="false">IF('CARGAR OPERACIONES'!$B236="",NA(),'CARGAR OPERACIONES'!$V236)</f>
        <v>#N/A</v>
      </c>
      <c r="C232" s="0" t="e">
        <f aca="false">IF('CARGAR OPERACIONES'!$B236="",NA(),Parametros!$C$6)</f>
        <v>#N/A</v>
      </c>
    </row>
    <row r="233" customFormat="false" ht="15" hidden="false" customHeight="false" outlineLevel="0" collapsed="false">
      <c r="A233" s="0" t="e">
        <f aca="false">IF('CARGAR OPERACIONES'!$B237="",NA(),'CARGAR OPERACIONES'!$A237)</f>
        <v>#N/A</v>
      </c>
      <c r="B233" s="0" t="e">
        <f aca="false">IF('CARGAR OPERACIONES'!$B237="",NA(),'CARGAR OPERACIONES'!$V237)</f>
        <v>#N/A</v>
      </c>
      <c r="C233" s="0" t="e">
        <f aca="false">IF('CARGAR OPERACIONES'!$B237="",NA(),Parametros!$C$6)</f>
        <v>#N/A</v>
      </c>
    </row>
    <row r="234" customFormat="false" ht="15" hidden="false" customHeight="false" outlineLevel="0" collapsed="false">
      <c r="A234" s="0" t="e">
        <f aca="false">IF('CARGAR OPERACIONES'!$B238="",NA(),'CARGAR OPERACIONES'!$A238)</f>
        <v>#N/A</v>
      </c>
      <c r="B234" s="0" t="e">
        <f aca="false">IF('CARGAR OPERACIONES'!$B238="",NA(),'CARGAR OPERACIONES'!$V238)</f>
        <v>#N/A</v>
      </c>
      <c r="C234" s="0" t="e">
        <f aca="false">IF('CARGAR OPERACIONES'!$B238="",NA(),Parametros!$C$6)</f>
        <v>#N/A</v>
      </c>
    </row>
    <row r="235" customFormat="false" ht="15" hidden="false" customHeight="false" outlineLevel="0" collapsed="false">
      <c r="A235" s="0" t="e">
        <f aca="false">IF('CARGAR OPERACIONES'!$B239="",NA(),'CARGAR OPERACIONES'!$A239)</f>
        <v>#N/A</v>
      </c>
      <c r="B235" s="0" t="e">
        <f aca="false">IF('CARGAR OPERACIONES'!$B239="",NA(),'CARGAR OPERACIONES'!$V239)</f>
        <v>#N/A</v>
      </c>
      <c r="C235" s="0" t="e">
        <f aca="false">IF('CARGAR OPERACIONES'!$B239="",NA(),Parametros!$C$6)</f>
        <v>#N/A</v>
      </c>
    </row>
    <row r="236" customFormat="false" ht="15" hidden="false" customHeight="false" outlineLevel="0" collapsed="false">
      <c r="A236" s="0" t="e">
        <f aca="false">IF('CARGAR OPERACIONES'!$B240="",NA(),'CARGAR OPERACIONES'!$A240)</f>
        <v>#N/A</v>
      </c>
      <c r="B236" s="0" t="e">
        <f aca="false">IF('CARGAR OPERACIONES'!$B240="",NA(),'CARGAR OPERACIONES'!$V240)</f>
        <v>#N/A</v>
      </c>
      <c r="C236" s="0" t="e">
        <f aca="false">IF('CARGAR OPERACIONES'!$B240="",NA(),Parametros!$C$6)</f>
        <v>#N/A</v>
      </c>
    </row>
    <row r="237" customFormat="false" ht="15" hidden="false" customHeight="false" outlineLevel="0" collapsed="false">
      <c r="A237" s="0" t="e">
        <f aca="false">IF('CARGAR OPERACIONES'!$B241="",NA(),'CARGAR OPERACIONES'!$A241)</f>
        <v>#N/A</v>
      </c>
      <c r="B237" s="0" t="e">
        <f aca="false">IF('CARGAR OPERACIONES'!$B241="",NA(),'CARGAR OPERACIONES'!$V241)</f>
        <v>#N/A</v>
      </c>
      <c r="C237" s="0" t="e">
        <f aca="false">IF('CARGAR OPERACIONES'!$B241="",NA(),Parametros!$C$6)</f>
        <v>#N/A</v>
      </c>
    </row>
    <row r="238" customFormat="false" ht="15" hidden="false" customHeight="false" outlineLevel="0" collapsed="false">
      <c r="A238" s="0" t="e">
        <f aca="false">IF('CARGAR OPERACIONES'!$B242="",NA(),'CARGAR OPERACIONES'!$A242)</f>
        <v>#N/A</v>
      </c>
      <c r="B238" s="0" t="e">
        <f aca="false">IF('CARGAR OPERACIONES'!$B242="",NA(),'CARGAR OPERACIONES'!$V242)</f>
        <v>#N/A</v>
      </c>
      <c r="C238" s="0" t="e">
        <f aca="false">IF('CARGAR OPERACIONES'!$B242="",NA(),Parametros!$C$6)</f>
        <v>#N/A</v>
      </c>
    </row>
    <row r="239" customFormat="false" ht="15" hidden="false" customHeight="false" outlineLevel="0" collapsed="false">
      <c r="A239" s="0" t="e">
        <f aca="false">IF('CARGAR OPERACIONES'!$B243="",NA(),'CARGAR OPERACIONES'!$A243)</f>
        <v>#N/A</v>
      </c>
      <c r="B239" s="0" t="e">
        <f aca="false">IF('CARGAR OPERACIONES'!$B243="",NA(),'CARGAR OPERACIONES'!$V243)</f>
        <v>#N/A</v>
      </c>
      <c r="C239" s="0" t="e">
        <f aca="false">IF('CARGAR OPERACIONES'!$B243="",NA(),Parametros!$C$6)</f>
        <v>#N/A</v>
      </c>
    </row>
    <row r="240" customFormat="false" ht="15" hidden="false" customHeight="false" outlineLevel="0" collapsed="false">
      <c r="A240" s="0" t="e">
        <f aca="false">IF('CARGAR OPERACIONES'!$B244="",NA(),'CARGAR OPERACIONES'!$A244)</f>
        <v>#N/A</v>
      </c>
      <c r="B240" s="0" t="e">
        <f aca="false">IF('CARGAR OPERACIONES'!$B244="",NA(),'CARGAR OPERACIONES'!$V244)</f>
        <v>#N/A</v>
      </c>
      <c r="C240" s="0" t="e">
        <f aca="false">IF('CARGAR OPERACIONES'!$B244="",NA(),Parametros!$C$6)</f>
        <v>#N/A</v>
      </c>
    </row>
    <row r="241" customFormat="false" ht="15" hidden="false" customHeight="false" outlineLevel="0" collapsed="false">
      <c r="A241" s="0" t="e">
        <f aca="false">IF('CARGAR OPERACIONES'!$B245="",NA(),'CARGAR OPERACIONES'!$A245)</f>
        <v>#N/A</v>
      </c>
      <c r="B241" s="0" t="e">
        <f aca="false">IF('CARGAR OPERACIONES'!$B245="",NA(),'CARGAR OPERACIONES'!$V245)</f>
        <v>#N/A</v>
      </c>
      <c r="C241" s="0" t="e">
        <f aca="false">IF('CARGAR OPERACIONES'!$B245="",NA(),Parametros!$C$6)</f>
        <v>#N/A</v>
      </c>
    </row>
    <row r="242" customFormat="false" ht="15" hidden="false" customHeight="false" outlineLevel="0" collapsed="false">
      <c r="A242" s="0" t="e">
        <f aca="false">IF('CARGAR OPERACIONES'!$B246="",NA(),'CARGAR OPERACIONES'!$A246)</f>
        <v>#N/A</v>
      </c>
      <c r="B242" s="0" t="e">
        <f aca="false">IF('CARGAR OPERACIONES'!$B246="",NA(),'CARGAR OPERACIONES'!$V246)</f>
        <v>#N/A</v>
      </c>
      <c r="C242" s="0" t="e">
        <f aca="false">IF('CARGAR OPERACIONES'!$B246="",NA(),Parametros!$C$6)</f>
        <v>#N/A</v>
      </c>
    </row>
    <row r="243" customFormat="false" ht="15" hidden="false" customHeight="false" outlineLevel="0" collapsed="false">
      <c r="A243" s="0" t="e">
        <f aca="false">IF('CARGAR OPERACIONES'!$B247="",NA(),'CARGAR OPERACIONES'!$A247)</f>
        <v>#N/A</v>
      </c>
      <c r="B243" s="0" t="e">
        <f aca="false">IF('CARGAR OPERACIONES'!$B247="",NA(),'CARGAR OPERACIONES'!$V247)</f>
        <v>#N/A</v>
      </c>
      <c r="C243" s="0" t="e">
        <f aca="false">IF('CARGAR OPERACIONES'!$B247="",NA(),Parametros!$C$6)</f>
        <v>#N/A</v>
      </c>
    </row>
    <row r="244" customFormat="false" ht="15" hidden="false" customHeight="false" outlineLevel="0" collapsed="false">
      <c r="A244" s="0" t="e">
        <f aca="false">IF('CARGAR OPERACIONES'!$B248="",NA(),'CARGAR OPERACIONES'!$A248)</f>
        <v>#N/A</v>
      </c>
      <c r="B244" s="0" t="e">
        <f aca="false">IF('CARGAR OPERACIONES'!$B248="",NA(),'CARGAR OPERACIONES'!$V248)</f>
        <v>#N/A</v>
      </c>
      <c r="C244" s="0" t="e">
        <f aca="false">IF('CARGAR OPERACIONES'!$B248="",NA(),Parametros!$C$6)</f>
        <v>#N/A</v>
      </c>
    </row>
    <row r="245" customFormat="false" ht="15" hidden="false" customHeight="false" outlineLevel="0" collapsed="false">
      <c r="A245" s="0" t="e">
        <f aca="false">IF('CARGAR OPERACIONES'!$B249="",NA(),'CARGAR OPERACIONES'!$A249)</f>
        <v>#N/A</v>
      </c>
      <c r="B245" s="0" t="e">
        <f aca="false">IF('CARGAR OPERACIONES'!$B249="",NA(),'CARGAR OPERACIONES'!$V249)</f>
        <v>#N/A</v>
      </c>
      <c r="C245" s="0" t="e">
        <f aca="false">IF('CARGAR OPERACIONES'!$B249="",NA(),Parametros!$C$6)</f>
        <v>#N/A</v>
      </c>
    </row>
    <row r="246" customFormat="false" ht="15" hidden="false" customHeight="false" outlineLevel="0" collapsed="false">
      <c r="A246" s="0" t="e">
        <f aca="false">IF('CARGAR OPERACIONES'!$B250="",NA(),'CARGAR OPERACIONES'!$A250)</f>
        <v>#N/A</v>
      </c>
      <c r="B246" s="0" t="e">
        <f aca="false">IF('CARGAR OPERACIONES'!$B250="",NA(),'CARGAR OPERACIONES'!$V250)</f>
        <v>#N/A</v>
      </c>
      <c r="C246" s="0" t="e">
        <f aca="false">IF('CARGAR OPERACIONES'!$B250="",NA(),Parametros!$C$6)</f>
        <v>#N/A</v>
      </c>
    </row>
    <row r="247" customFormat="false" ht="15" hidden="false" customHeight="false" outlineLevel="0" collapsed="false">
      <c r="A247" s="0" t="e">
        <f aca="false">IF('CARGAR OPERACIONES'!$B251="",NA(),'CARGAR OPERACIONES'!$A251)</f>
        <v>#N/A</v>
      </c>
      <c r="B247" s="0" t="e">
        <f aca="false">IF('CARGAR OPERACIONES'!$B251="",NA(),'CARGAR OPERACIONES'!$V251)</f>
        <v>#N/A</v>
      </c>
      <c r="C247" s="0" t="e">
        <f aca="false">IF('CARGAR OPERACIONES'!$B251="",NA(),Parametros!$C$6)</f>
        <v>#N/A</v>
      </c>
    </row>
    <row r="248" customFormat="false" ht="15" hidden="false" customHeight="false" outlineLevel="0" collapsed="false">
      <c r="A248" s="0" t="e">
        <f aca="false">IF('CARGAR OPERACIONES'!$B252="",NA(),'CARGAR OPERACIONES'!$A252)</f>
        <v>#N/A</v>
      </c>
      <c r="B248" s="0" t="e">
        <f aca="false">IF('CARGAR OPERACIONES'!$B252="",NA(),'CARGAR OPERACIONES'!$V252)</f>
        <v>#N/A</v>
      </c>
      <c r="C248" s="0" t="e">
        <f aca="false">IF('CARGAR OPERACIONES'!$B252="",NA(),Parametros!$C$6)</f>
        <v>#N/A</v>
      </c>
    </row>
    <row r="249" customFormat="false" ht="15" hidden="false" customHeight="false" outlineLevel="0" collapsed="false">
      <c r="A249" s="0" t="e">
        <f aca="false">IF('CARGAR OPERACIONES'!$B253="",NA(),'CARGAR OPERACIONES'!$A253)</f>
        <v>#N/A</v>
      </c>
      <c r="B249" s="0" t="e">
        <f aca="false">IF('CARGAR OPERACIONES'!$B253="",NA(),'CARGAR OPERACIONES'!$V253)</f>
        <v>#N/A</v>
      </c>
      <c r="C249" s="0" t="e">
        <f aca="false">IF('CARGAR OPERACIONES'!$B253="",NA(),Parametros!$C$6)</f>
        <v>#N/A</v>
      </c>
    </row>
    <row r="250" customFormat="false" ht="15" hidden="false" customHeight="false" outlineLevel="0" collapsed="false">
      <c r="A250" s="0" t="e">
        <f aca="false">IF('CARGAR OPERACIONES'!$B254="",NA(),'CARGAR OPERACIONES'!$A254)</f>
        <v>#N/A</v>
      </c>
      <c r="B250" s="0" t="e">
        <f aca="false">IF('CARGAR OPERACIONES'!$B254="",NA(),'CARGAR OPERACIONES'!$V254)</f>
        <v>#N/A</v>
      </c>
      <c r="C250" s="0" t="e">
        <f aca="false">IF('CARGAR OPERACIONES'!$B254="",NA(),Parametros!$C$6)</f>
        <v>#N/A</v>
      </c>
    </row>
    <row r="251" customFormat="false" ht="15" hidden="false" customHeight="false" outlineLevel="0" collapsed="false">
      <c r="A251" s="0" t="e">
        <f aca="false">IF('CARGAR OPERACIONES'!$B255="",NA(),'CARGAR OPERACIONES'!$A255)</f>
        <v>#N/A</v>
      </c>
      <c r="B251" s="0" t="e">
        <f aca="false">IF('CARGAR OPERACIONES'!$B255="",NA(),'CARGAR OPERACIONES'!$V255)</f>
        <v>#N/A</v>
      </c>
      <c r="C251" s="0" t="e">
        <f aca="false">IF('CARGAR OPERACIONES'!$B255="",NA(),Parametros!$C$6)</f>
        <v>#N/A</v>
      </c>
    </row>
    <row r="252" customFormat="false" ht="15" hidden="false" customHeight="false" outlineLevel="0" collapsed="false">
      <c r="A252" s="0" t="e">
        <f aca="false">IF('CARGAR OPERACIONES'!$B256="",NA(),'CARGAR OPERACIONES'!$A256)</f>
        <v>#N/A</v>
      </c>
      <c r="B252" s="0" t="e">
        <f aca="false">IF('CARGAR OPERACIONES'!$B256="",NA(),'CARGAR OPERACIONES'!$V256)</f>
        <v>#N/A</v>
      </c>
      <c r="C252" s="0" t="e">
        <f aca="false">IF('CARGAR OPERACIONES'!$B256="",NA(),Parametros!$C$6)</f>
        <v>#N/A</v>
      </c>
    </row>
    <row r="253" customFormat="false" ht="15" hidden="false" customHeight="false" outlineLevel="0" collapsed="false">
      <c r="A253" s="0" t="e">
        <f aca="false">IF('CARGAR OPERACIONES'!$B257="",NA(),'CARGAR OPERACIONES'!$A257)</f>
        <v>#N/A</v>
      </c>
      <c r="B253" s="0" t="e">
        <f aca="false">IF('CARGAR OPERACIONES'!$B257="",NA(),'CARGAR OPERACIONES'!$V257)</f>
        <v>#N/A</v>
      </c>
      <c r="C253" s="0" t="e">
        <f aca="false">IF('CARGAR OPERACIONES'!$B257="",NA(),Parametros!$C$6)</f>
        <v>#N/A</v>
      </c>
    </row>
    <row r="254" customFormat="false" ht="15" hidden="false" customHeight="false" outlineLevel="0" collapsed="false">
      <c r="A254" s="0" t="e">
        <f aca="false">IF('CARGAR OPERACIONES'!$B258="",NA(),'CARGAR OPERACIONES'!$A258)</f>
        <v>#N/A</v>
      </c>
      <c r="B254" s="0" t="e">
        <f aca="false">IF('CARGAR OPERACIONES'!$B258="",NA(),'CARGAR OPERACIONES'!$V258)</f>
        <v>#N/A</v>
      </c>
      <c r="C254" s="0" t="e">
        <f aca="false">IF('CARGAR OPERACIONES'!$B258="",NA(),Parametros!$C$6)</f>
        <v>#N/A</v>
      </c>
    </row>
    <row r="255" customFormat="false" ht="15" hidden="false" customHeight="false" outlineLevel="0" collapsed="false">
      <c r="A255" s="0" t="e">
        <f aca="false">IF('CARGAR OPERACIONES'!$B259="",NA(),'CARGAR OPERACIONES'!$A259)</f>
        <v>#N/A</v>
      </c>
      <c r="B255" s="0" t="e">
        <f aca="false">IF('CARGAR OPERACIONES'!$B259="",NA(),'CARGAR OPERACIONES'!$V259)</f>
        <v>#N/A</v>
      </c>
      <c r="C255" s="0" t="e">
        <f aca="false">IF('CARGAR OPERACIONES'!$B259="",NA(),Parametros!$C$6)</f>
        <v>#N/A</v>
      </c>
    </row>
    <row r="256" customFormat="false" ht="15" hidden="false" customHeight="false" outlineLevel="0" collapsed="false">
      <c r="A256" s="0" t="e">
        <f aca="false">IF('CARGAR OPERACIONES'!$B260="",NA(),'CARGAR OPERACIONES'!$A260)</f>
        <v>#N/A</v>
      </c>
      <c r="B256" s="0" t="e">
        <f aca="false">IF('CARGAR OPERACIONES'!$B260="",NA(),'CARGAR OPERACIONES'!$V260)</f>
        <v>#N/A</v>
      </c>
      <c r="C256" s="0" t="e">
        <f aca="false">IF('CARGAR OPERACIONES'!$B260="",NA(),Parametros!$C$6)</f>
        <v>#N/A</v>
      </c>
    </row>
    <row r="257" customFormat="false" ht="15" hidden="false" customHeight="false" outlineLevel="0" collapsed="false">
      <c r="A257" s="0" t="e">
        <f aca="false">IF('CARGAR OPERACIONES'!$B261="",NA(),'CARGAR OPERACIONES'!$A261)</f>
        <v>#N/A</v>
      </c>
      <c r="B257" s="0" t="e">
        <f aca="false">IF('CARGAR OPERACIONES'!$B261="",NA(),'CARGAR OPERACIONES'!$V261)</f>
        <v>#N/A</v>
      </c>
      <c r="C257" s="0" t="e">
        <f aca="false">IF('CARGAR OPERACIONES'!$B261="",NA(),Parametros!$C$6)</f>
        <v>#N/A</v>
      </c>
    </row>
    <row r="258" customFormat="false" ht="15" hidden="false" customHeight="false" outlineLevel="0" collapsed="false">
      <c r="A258" s="0" t="e">
        <f aca="false">IF('CARGAR OPERACIONES'!$B262="",NA(),'CARGAR OPERACIONES'!$A262)</f>
        <v>#N/A</v>
      </c>
      <c r="B258" s="0" t="e">
        <f aca="false">IF('CARGAR OPERACIONES'!$B262="",NA(),'CARGAR OPERACIONES'!$V262)</f>
        <v>#N/A</v>
      </c>
      <c r="C258" s="0" t="e">
        <f aca="false">IF('CARGAR OPERACIONES'!$B262="",NA(),Parametros!$C$6)</f>
        <v>#N/A</v>
      </c>
    </row>
    <row r="259" customFormat="false" ht="15" hidden="false" customHeight="false" outlineLevel="0" collapsed="false">
      <c r="A259" s="0" t="e">
        <f aca="false">IF('CARGAR OPERACIONES'!$B263="",NA(),'CARGAR OPERACIONES'!$A263)</f>
        <v>#N/A</v>
      </c>
      <c r="B259" s="0" t="e">
        <f aca="false">IF('CARGAR OPERACIONES'!$B263="",NA(),'CARGAR OPERACIONES'!$V263)</f>
        <v>#N/A</v>
      </c>
      <c r="C259" s="0" t="e">
        <f aca="false">IF('CARGAR OPERACIONES'!$B263="",NA(),Parametros!$C$6)</f>
        <v>#N/A</v>
      </c>
    </row>
    <row r="260" customFormat="false" ht="15" hidden="false" customHeight="false" outlineLevel="0" collapsed="false">
      <c r="A260" s="0" t="e">
        <f aca="false">IF('CARGAR OPERACIONES'!$B264="",NA(),'CARGAR OPERACIONES'!$A264)</f>
        <v>#N/A</v>
      </c>
      <c r="B260" s="0" t="e">
        <f aca="false">IF('CARGAR OPERACIONES'!$B264="",NA(),'CARGAR OPERACIONES'!$V264)</f>
        <v>#N/A</v>
      </c>
      <c r="C260" s="0" t="e">
        <f aca="false">IF('CARGAR OPERACIONES'!$B264="",NA(),Parametros!$C$6)</f>
        <v>#N/A</v>
      </c>
    </row>
    <row r="261" customFormat="false" ht="15" hidden="false" customHeight="false" outlineLevel="0" collapsed="false">
      <c r="A261" s="0" t="e">
        <f aca="false">IF('CARGAR OPERACIONES'!$B265="",NA(),'CARGAR OPERACIONES'!$A265)</f>
        <v>#N/A</v>
      </c>
      <c r="B261" s="0" t="e">
        <f aca="false">IF('CARGAR OPERACIONES'!$B265="",NA(),'CARGAR OPERACIONES'!$V265)</f>
        <v>#N/A</v>
      </c>
      <c r="C261" s="0" t="e">
        <f aca="false">IF('CARGAR OPERACIONES'!$B265="",NA(),Parametros!$C$6)</f>
        <v>#N/A</v>
      </c>
    </row>
    <row r="262" customFormat="false" ht="15" hidden="false" customHeight="false" outlineLevel="0" collapsed="false">
      <c r="A262" s="0" t="e">
        <f aca="false">IF('CARGAR OPERACIONES'!$B266="",NA(),'CARGAR OPERACIONES'!$A266)</f>
        <v>#N/A</v>
      </c>
      <c r="B262" s="0" t="e">
        <f aca="false">IF('CARGAR OPERACIONES'!$B266="",NA(),'CARGAR OPERACIONES'!$V266)</f>
        <v>#N/A</v>
      </c>
      <c r="C262" s="0" t="e">
        <f aca="false">IF('CARGAR OPERACIONES'!$B266="",NA(),Parametros!$C$6)</f>
        <v>#N/A</v>
      </c>
    </row>
    <row r="263" customFormat="false" ht="15" hidden="false" customHeight="false" outlineLevel="0" collapsed="false">
      <c r="A263" s="0" t="e">
        <f aca="false">IF('CARGAR OPERACIONES'!$B267="",NA(),'CARGAR OPERACIONES'!$A267)</f>
        <v>#N/A</v>
      </c>
      <c r="B263" s="0" t="e">
        <f aca="false">IF('CARGAR OPERACIONES'!$B267="",NA(),'CARGAR OPERACIONES'!$V267)</f>
        <v>#N/A</v>
      </c>
      <c r="C263" s="0" t="e">
        <f aca="false">IF('CARGAR OPERACIONES'!$B267="",NA(),Parametros!$C$6)</f>
        <v>#N/A</v>
      </c>
    </row>
    <row r="264" customFormat="false" ht="15" hidden="false" customHeight="false" outlineLevel="0" collapsed="false">
      <c r="A264" s="0" t="e">
        <f aca="false">IF('CARGAR OPERACIONES'!$B268="",NA(),'CARGAR OPERACIONES'!$A268)</f>
        <v>#N/A</v>
      </c>
      <c r="B264" s="0" t="e">
        <f aca="false">IF('CARGAR OPERACIONES'!$B268="",NA(),'CARGAR OPERACIONES'!$V268)</f>
        <v>#N/A</v>
      </c>
      <c r="C264" s="0" t="e">
        <f aca="false">IF('CARGAR OPERACIONES'!$B268="",NA(),Parametros!$C$6)</f>
        <v>#N/A</v>
      </c>
    </row>
    <row r="265" customFormat="false" ht="15" hidden="false" customHeight="false" outlineLevel="0" collapsed="false">
      <c r="A265" s="0" t="e">
        <f aca="false">IF('CARGAR OPERACIONES'!$B269="",NA(),'CARGAR OPERACIONES'!$A269)</f>
        <v>#N/A</v>
      </c>
      <c r="B265" s="0" t="e">
        <f aca="false">IF('CARGAR OPERACIONES'!$B269="",NA(),'CARGAR OPERACIONES'!$V269)</f>
        <v>#N/A</v>
      </c>
      <c r="C265" s="0" t="e">
        <f aca="false">IF('CARGAR OPERACIONES'!$B269="",NA(),Parametros!$C$6)</f>
        <v>#N/A</v>
      </c>
    </row>
    <row r="266" customFormat="false" ht="15" hidden="false" customHeight="false" outlineLevel="0" collapsed="false">
      <c r="A266" s="0" t="e">
        <f aca="false">IF('CARGAR OPERACIONES'!$B270="",NA(),'CARGAR OPERACIONES'!$A270)</f>
        <v>#N/A</v>
      </c>
      <c r="B266" s="0" t="e">
        <f aca="false">IF('CARGAR OPERACIONES'!$B270="",NA(),'CARGAR OPERACIONES'!$V270)</f>
        <v>#N/A</v>
      </c>
      <c r="C266" s="0" t="e">
        <f aca="false">IF('CARGAR OPERACIONES'!$B270="",NA(),Parametros!$C$6)</f>
        <v>#N/A</v>
      </c>
    </row>
    <row r="267" customFormat="false" ht="15" hidden="false" customHeight="false" outlineLevel="0" collapsed="false">
      <c r="A267" s="0" t="e">
        <f aca="false">IF('CARGAR OPERACIONES'!$B271="",NA(),'CARGAR OPERACIONES'!$A271)</f>
        <v>#N/A</v>
      </c>
      <c r="B267" s="0" t="e">
        <f aca="false">IF('CARGAR OPERACIONES'!$B271="",NA(),'CARGAR OPERACIONES'!$V271)</f>
        <v>#N/A</v>
      </c>
      <c r="C267" s="0" t="e">
        <f aca="false">IF('CARGAR OPERACIONES'!$B271="",NA(),Parametros!$C$6)</f>
        <v>#N/A</v>
      </c>
    </row>
    <row r="268" customFormat="false" ht="15" hidden="false" customHeight="false" outlineLevel="0" collapsed="false">
      <c r="A268" s="0" t="e">
        <f aca="false">IF('CARGAR OPERACIONES'!$B272="",NA(),'CARGAR OPERACIONES'!$A272)</f>
        <v>#N/A</v>
      </c>
      <c r="B268" s="0" t="e">
        <f aca="false">IF('CARGAR OPERACIONES'!$B272="",NA(),'CARGAR OPERACIONES'!$V272)</f>
        <v>#N/A</v>
      </c>
      <c r="C268" s="0" t="e">
        <f aca="false">IF('CARGAR OPERACIONES'!$B272="",NA(),Parametros!$C$6)</f>
        <v>#N/A</v>
      </c>
    </row>
    <row r="269" customFormat="false" ht="15" hidden="false" customHeight="false" outlineLevel="0" collapsed="false">
      <c r="A269" s="0" t="e">
        <f aca="false">IF('CARGAR OPERACIONES'!$B273="",NA(),'CARGAR OPERACIONES'!$A273)</f>
        <v>#N/A</v>
      </c>
      <c r="B269" s="0" t="e">
        <f aca="false">IF('CARGAR OPERACIONES'!$B273="",NA(),'CARGAR OPERACIONES'!$V273)</f>
        <v>#N/A</v>
      </c>
      <c r="C269" s="0" t="e">
        <f aca="false">IF('CARGAR OPERACIONES'!$B273="",NA(),Parametros!$C$6)</f>
        <v>#N/A</v>
      </c>
    </row>
    <row r="270" customFormat="false" ht="15" hidden="false" customHeight="false" outlineLevel="0" collapsed="false">
      <c r="A270" s="0" t="e">
        <f aca="false">IF('CARGAR OPERACIONES'!$B274="",NA(),'CARGAR OPERACIONES'!$A274)</f>
        <v>#N/A</v>
      </c>
      <c r="B270" s="0" t="e">
        <f aca="false">IF('CARGAR OPERACIONES'!$B274="",NA(),'CARGAR OPERACIONES'!$V274)</f>
        <v>#N/A</v>
      </c>
      <c r="C270" s="0" t="e">
        <f aca="false">IF('CARGAR OPERACIONES'!$B274="",NA(),Parametros!$C$6)</f>
        <v>#N/A</v>
      </c>
    </row>
    <row r="271" customFormat="false" ht="15" hidden="false" customHeight="false" outlineLevel="0" collapsed="false">
      <c r="A271" s="0" t="e">
        <f aca="false">IF('CARGAR OPERACIONES'!$B275="",NA(),'CARGAR OPERACIONES'!$A275)</f>
        <v>#N/A</v>
      </c>
      <c r="B271" s="0" t="e">
        <f aca="false">IF('CARGAR OPERACIONES'!$B275="",NA(),'CARGAR OPERACIONES'!$V275)</f>
        <v>#N/A</v>
      </c>
      <c r="C271" s="0" t="e">
        <f aca="false">IF('CARGAR OPERACIONES'!$B275="",NA(),Parametros!$C$6)</f>
        <v>#N/A</v>
      </c>
    </row>
    <row r="272" customFormat="false" ht="15" hidden="false" customHeight="false" outlineLevel="0" collapsed="false">
      <c r="A272" s="0" t="e">
        <f aca="false">IF('CARGAR OPERACIONES'!$B276="",NA(),'CARGAR OPERACIONES'!$A276)</f>
        <v>#N/A</v>
      </c>
      <c r="B272" s="0" t="e">
        <f aca="false">IF('CARGAR OPERACIONES'!$B276="",NA(),'CARGAR OPERACIONES'!$V276)</f>
        <v>#N/A</v>
      </c>
      <c r="C272" s="0" t="e">
        <f aca="false">IF('CARGAR OPERACIONES'!$B276="",NA(),Parametros!$C$6)</f>
        <v>#N/A</v>
      </c>
    </row>
    <row r="273" customFormat="false" ht="15" hidden="false" customHeight="false" outlineLevel="0" collapsed="false">
      <c r="A273" s="0" t="e">
        <f aca="false">IF('CARGAR OPERACIONES'!$B277="",NA(),'CARGAR OPERACIONES'!$A277)</f>
        <v>#N/A</v>
      </c>
      <c r="B273" s="0" t="e">
        <f aca="false">IF('CARGAR OPERACIONES'!$B277="",NA(),'CARGAR OPERACIONES'!$V277)</f>
        <v>#N/A</v>
      </c>
      <c r="C273" s="0" t="e">
        <f aca="false">IF('CARGAR OPERACIONES'!$B277="",NA(),Parametros!$C$6)</f>
        <v>#N/A</v>
      </c>
    </row>
    <row r="274" customFormat="false" ht="15" hidden="false" customHeight="false" outlineLevel="0" collapsed="false">
      <c r="A274" s="0" t="e">
        <f aca="false">IF('CARGAR OPERACIONES'!$B278="",NA(),'CARGAR OPERACIONES'!$A278)</f>
        <v>#N/A</v>
      </c>
      <c r="B274" s="0" t="e">
        <f aca="false">IF('CARGAR OPERACIONES'!$B278="",NA(),'CARGAR OPERACIONES'!$V278)</f>
        <v>#N/A</v>
      </c>
      <c r="C274" s="0" t="e">
        <f aca="false">IF('CARGAR OPERACIONES'!$B278="",NA(),Parametros!$C$6)</f>
        <v>#N/A</v>
      </c>
    </row>
    <row r="275" customFormat="false" ht="15" hidden="false" customHeight="false" outlineLevel="0" collapsed="false">
      <c r="A275" s="0" t="e">
        <f aca="false">IF('CARGAR OPERACIONES'!$B279="",NA(),'CARGAR OPERACIONES'!$A279)</f>
        <v>#N/A</v>
      </c>
      <c r="B275" s="0" t="e">
        <f aca="false">IF('CARGAR OPERACIONES'!$B279="",NA(),'CARGAR OPERACIONES'!$V279)</f>
        <v>#N/A</v>
      </c>
      <c r="C275" s="0" t="e">
        <f aca="false">IF('CARGAR OPERACIONES'!$B279="",NA(),Parametros!$C$6)</f>
        <v>#N/A</v>
      </c>
    </row>
    <row r="276" customFormat="false" ht="15" hidden="false" customHeight="false" outlineLevel="0" collapsed="false">
      <c r="A276" s="0" t="e">
        <f aca="false">IF('CARGAR OPERACIONES'!$B280="",NA(),'CARGAR OPERACIONES'!$A280)</f>
        <v>#N/A</v>
      </c>
      <c r="B276" s="0" t="e">
        <f aca="false">IF('CARGAR OPERACIONES'!$B280="",NA(),'CARGAR OPERACIONES'!$V280)</f>
        <v>#N/A</v>
      </c>
      <c r="C276" s="0" t="e">
        <f aca="false">IF('CARGAR OPERACIONES'!$B280="",NA(),Parametros!$C$6)</f>
        <v>#N/A</v>
      </c>
    </row>
    <row r="277" customFormat="false" ht="15" hidden="false" customHeight="false" outlineLevel="0" collapsed="false">
      <c r="A277" s="0" t="e">
        <f aca="false">IF('CARGAR OPERACIONES'!$B281="",NA(),'CARGAR OPERACIONES'!$A281)</f>
        <v>#N/A</v>
      </c>
      <c r="B277" s="0" t="e">
        <f aca="false">IF('CARGAR OPERACIONES'!$B281="",NA(),'CARGAR OPERACIONES'!$V281)</f>
        <v>#N/A</v>
      </c>
      <c r="C277" s="0" t="e">
        <f aca="false">IF('CARGAR OPERACIONES'!$B281="",NA(),Parametros!$C$6)</f>
        <v>#N/A</v>
      </c>
    </row>
    <row r="278" customFormat="false" ht="15" hidden="false" customHeight="false" outlineLevel="0" collapsed="false">
      <c r="A278" s="0" t="e">
        <f aca="false">IF('CARGAR OPERACIONES'!$B282="",NA(),'CARGAR OPERACIONES'!$A282)</f>
        <v>#N/A</v>
      </c>
      <c r="B278" s="0" t="e">
        <f aca="false">IF('CARGAR OPERACIONES'!$B282="",NA(),'CARGAR OPERACIONES'!$V282)</f>
        <v>#N/A</v>
      </c>
      <c r="C278" s="0" t="e">
        <f aca="false">IF('CARGAR OPERACIONES'!$B282="",NA(),Parametros!$C$6)</f>
        <v>#N/A</v>
      </c>
    </row>
    <row r="279" customFormat="false" ht="15" hidden="false" customHeight="false" outlineLevel="0" collapsed="false">
      <c r="A279" s="0" t="e">
        <f aca="false">IF('CARGAR OPERACIONES'!$B283="",NA(),'CARGAR OPERACIONES'!$A283)</f>
        <v>#N/A</v>
      </c>
      <c r="B279" s="0" t="e">
        <f aca="false">IF('CARGAR OPERACIONES'!$B283="",NA(),'CARGAR OPERACIONES'!$V283)</f>
        <v>#N/A</v>
      </c>
      <c r="C279" s="0" t="e">
        <f aca="false">IF('CARGAR OPERACIONES'!$B283="",NA(),Parametros!$C$6)</f>
        <v>#N/A</v>
      </c>
    </row>
    <row r="280" customFormat="false" ht="15" hidden="false" customHeight="false" outlineLevel="0" collapsed="false">
      <c r="A280" s="0" t="e">
        <f aca="false">IF('CARGAR OPERACIONES'!$B284="",NA(),'CARGAR OPERACIONES'!$A284)</f>
        <v>#N/A</v>
      </c>
      <c r="B280" s="0" t="e">
        <f aca="false">IF('CARGAR OPERACIONES'!$B284="",NA(),'CARGAR OPERACIONES'!$V284)</f>
        <v>#N/A</v>
      </c>
      <c r="C280" s="0" t="e">
        <f aca="false">IF('CARGAR OPERACIONES'!$B284="",NA(),Parametros!$C$6)</f>
        <v>#N/A</v>
      </c>
    </row>
    <row r="281" customFormat="false" ht="15" hidden="false" customHeight="false" outlineLevel="0" collapsed="false">
      <c r="A281" s="0" t="e">
        <f aca="false">IF('CARGAR OPERACIONES'!$B285="",NA(),'CARGAR OPERACIONES'!$A285)</f>
        <v>#N/A</v>
      </c>
      <c r="B281" s="0" t="e">
        <f aca="false">IF('CARGAR OPERACIONES'!$B285="",NA(),'CARGAR OPERACIONES'!$V285)</f>
        <v>#N/A</v>
      </c>
      <c r="C281" s="0" t="e">
        <f aca="false">IF('CARGAR OPERACIONES'!$B285="",NA(),Parametros!$C$6)</f>
        <v>#N/A</v>
      </c>
    </row>
    <row r="282" customFormat="false" ht="15" hidden="false" customHeight="false" outlineLevel="0" collapsed="false">
      <c r="A282" s="0" t="e">
        <f aca="false">IF('CARGAR OPERACIONES'!$B286="",NA(),'CARGAR OPERACIONES'!$A286)</f>
        <v>#N/A</v>
      </c>
      <c r="B282" s="0" t="e">
        <f aca="false">IF('CARGAR OPERACIONES'!$B286="",NA(),'CARGAR OPERACIONES'!$V286)</f>
        <v>#N/A</v>
      </c>
      <c r="C282" s="0" t="e">
        <f aca="false">IF('CARGAR OPERACIONES'!$B286="",NA(),Parametros!$C$6)</f>
        <v>#N/A</v>
      </c>
    </row>
    <row r="283" customFormat="false" ht="15" hidden="false" customHeight="false" outlineLevel="0" collapsed="false">
      <c r="A283" s="0" t="e">
        <f aca="false">IF('CARGAR OPERACIONES'!$B287="",NA(),'CARGAR OPERACIONES'!$A287)</f>
        <v>#N/A</v>
      </c>
      <c r="B283" s="0" t="e">
        <f aca="false">IF('CARGAR OPERACIONES'!$B287="",NA(),'CARGAR OPERACIONES'!$V287)</f>
        <v>#N/A</v>
      </c>
      <c r="C283" s="0" t="e">
        <f aca="false">IF('CARGAR OPERACIONES'!$B287="",NA(),Parametros!$C$6)</f>
        <v>#N/A</v>
      </c>
    </row>
    <row r="284" customFormat="false" ht="15" hidden="false" customHeight="false" outlineLevel="0" collapsed="false">
      <c r="A284" s="0" t="e">
        <f aca="false">IF('CARGAR OPERACIONES'!$B288="",NA(),'CARGAR OPERACIONES'!$A288)</f>
        <v>#N/A</v>
      </c>
      <c r="B284" s="0" t="e">
        <f aca="false">IF('CARGAR OPERACIONES'!$B288="",NA(),'CARGAR OPERACIONES'!$V288)</f>
        <v>#N/A</v>
      </c>
      <c r="C284" s="0" t="e">
        <f aca="false">IF('CARGAR OPERACIONES'!$B288="",NA(),Parametros!$C$6)</f>
        <v>#N/A</v>
      </c>
    </row>
    <row r="285" customFormat="false" ht="15" hidden="false" customHeight="false" outlineLevel="0" collapsed="false">
      <c r="A285" s="0" t="e">
        <f aca="false">IF('CARGAR OPERACIONES'!$B289="",NA(),'CARGAR OPERACIONES'!$A289)</f>
        <v>#N/A</v>
      </c>
      <c r="B285" s="0" t="e">
        <f aca="false">IF('CARGAR OPERACIONES'!$B289="",NA(),'CARGAR OPERACIONES'!$V289)</f>
        <v>#N/A</v>
      </c>
      <c r="C285" s="0" t="e">
        <f aca="false">IF('CARGAR OPERACIONES'!$B289="",NA(),Parametros!$C$6)</f>
        <v>#N/A</v>
      </c>
    </row>
    <row r="286" customFormat="false" ht="15" hidden="false" customHeight="false" outlineLevel="0" collapsed="false">
      <c r="A286" s="0" t="e">
        <f aca="false">IF('CARGAR OPERACIONES'!$B290="",NA(),'CARGAR OPERACIONES'!$A290)</f>
        <v>#N/A</v>
      </c>
      <c r="B286" s="0" t="e">
        <f aca="false">IF('CARGAR OPERACIONES'!$B290="",NA(),'CARGAR OPERACIONES'!$V290)</f>
        <v>#N/A</v>
      </c>
      <c r="C286" s="0" t="e">
        <f aca="false">IF('CARGAR OPERACIONES'!$B290="",NA(),Parametros!$C$6)</f>
        <v>#N/A</v>
      </c>
    </row>
    <row r="287" customFormat="false" ht="15" hidden="false" customHeight="false" outlineLevel="0" collapsed="false">
      <c r="A287" s="0" t="e">
        <f aca="false">IF('CARGAR OPERACIONES'!$B291="",NA(),'CARGAR OPERACIONES'!$A291)</f>
        <v>#N/A</v>
      </c>
      <c r="B287" s="0" t="e">
        <f aca="false">IF('CARGAR OPERACIONES'!$B291="",NA(),'CARGAR OPERACIONES'!$V291)</f>
        <v>#N/A</v>
      </c>
      <c r="C287" s="0" t="e">
        <f aca="false">IF('CARGAR OPERACIONES'!$B291="",NA(),Parametros!$C$6)</f>
        <v>#N/A</v>
      </c>
    </row>
    <row r="288" customFormat="false" ht="15" hidden="false" customHeight="false" outlineLevel="0" collapsed="false">
      <c r="A288" s="0" t="e">
        <f aca="false">IF('CARGAR OPERACIONES'!$B292="",NA(),'CARGAR OPERACIONES'!$A292)</f>
        <v>#N/A</v>
      </c>
      <c r="B288" s="0" t="e">
        <f aca="false">IF('CARGAR OPERACIONES'!$B292="",NA(),'CARGAR OPERACIONES'!$V292)</f>
        <v>#N/A</v>
      </c>
      <c r="C288" s="0" t="e">
        <f aca="false">IF('CARGAR OPERACIONES'!$B292="",NA(),Parametros!$C$6)</f>
        <v>#N/A</v>
      </c>
    </row>
    <row r="289" customFormat="false" ht="15" hidden="false" customHeight="false" outlineLevel="0" collapsed="false">
      <c r="A289" s="0" t="e">
        <f aca="false">IF('CARGAR OPERACIONES'!$B293="",NA(),'CARGAR OPERACIONES'!$A293)</f>
        <v>#N/A</v>
      </c>
      <c r="B289" s="0" t="e">
        <f aca="false">IF('CARGAR OPERACIONES'!$B293="",NA(),'CARGAR OPERACIONES'!$V293)</f>
        <v>#N/A</v>
      </c>
      <c r="C289" s="0" t="e">
        <f aca="false">IF('CARGAR OPERACIONES'!$B293="",NA(),Parametros!$C$6)</f>
        <v>#N/A</v>
      </c>
    </row>
    <row r="290" customFormat="false" ht="15" hidden="false" customHeight="false" outlineLevel="0" collapsed="false">
      <c r="A290" s="0" t="e">
        <f aca="false">IF('CARGAR OPERACIONES'!$B294="",NA(),'CARGAR OPERACIONES'!$A294)</f>
        <v>#N/A</v>
      </c>
      <c r="B290" s="0" t="e">
        <f aca="false">IF('CARGAR OPERACIONES'!$B294="",NA(),'CARGAR OPERACIONES'!$V294)</f>
        <v>#N/A</v>
      </c>
      <c r="C290" s="0" t="e">
        <f aca="false">IF('CARGAR OPERACIONES'!$B294="",NA(),Parametros!$C$6)</f>
        <v>#N/A</v>
      </c>
    </row>
    <row r="291" customFormat="false" ht="15" hidden="false" customHeight="false" outlineLevel="0" collapsed="false">
      <c r="A291" s="0" t="e">
        <f aca="false">IF('CARGAR OPERACIONES'!$B295="",NA(),'CARGAR OPERACIONES'!$A295)</f>
        <v>#N/A</v>
      </c>
      <c r="B291" s="0" t="e">
        <f aca="false">IF('CARGAR OPERACIONES'!$B295="",NA(),'CARGAR OPERACIONES'!$V295)</f>
        <v>#N/A</v>
      </c>
      <c r="C291" s="0" t="e">
        <f aca="false">IF('CARGAR OPERACIONES'!$B295="",NA(),Parametros!$C$6)</f>
        <v>#N/A</v>
      </c>
    </row>
    <row r="292" customFormat="false" ht="15" hidden="false" customHeight="false" outlineLevel="0" collapsed="false">
      <c r="A292" s="0" t="e">
        <f aca="false">IF('CARGAR OPERACIONES'!$B296="",NA(),'CARGAR OPERACIONES'!$A296)</f>
        <v>#N/A</v>
      </c>
      <c r="B292" s="0" t="e">
        <f aca="false">IF('CARGAR OPERACIONES'!$B296="",NA(),'CARGAR OPERACIONES'!$V296)</f>
        <v>#N/A</v>
      </c>
      <c r="C292" s="0" t="e">
        <f aca="false">IF('CARGAR OPERACIONES'!$B296="",NA(),Parametros!$C$6)</f>
        <v>#N/A</v>
      </c>
    </row>
    <row r="293" customFormat="false" ht="15" hidden="false" customHeight="false" outlineLevel="0" collapsed="false">
      <c r="A293" s="0" t="e">
        <f aca="false">IF('CARGAR OPERACIONES'!$B297="",NA(),'CARGAR OPERACIONES'!$A297)</f>
        <v>#N/A</v>
      </c>
      <c r="B293" s="0" t="e">
        <f aca="false">IF('CARGAR OPERACIONES'!$B297="",NA(),'CARGAR OPERACIONES'!$V297)</f>
        <v>#N/A</v>
      </c>
      <c r="C293" s="0" t="e">
        <f aca="false">IF('CARGAR OPERACIONES'!$B297="",NA(),Parametros!$C$6)</f>
        <v>#N/A</v>
      </c>
    </row>
    <row r="294" customFormat="false" ht="15" hidden="false" customHeight="false" outlineLevel="0" collapsed="false">
      <c r="A294" s="0" t="e">
        <f aca="false">IF('CARGAR OPERACIONES'!$B298="",NA(),'CARGAR OPERACIONES'!$A298)</f>
        <v>#N/A</v>
      </c>
      <c r="B294" s="0" t="e">
        <f aca="false">IF('CARGAR OPERACIONES'!$B298="",NA(),'CARGAR OPERACIONES'!$V298)</f>
        <v>#N/A</v>
      </c>
      <c r="C294" s="0" t="e">
        <f aca="false">IF('CARGAR OPERACIONES'!$B298="",NA(),Parametros!$C$6)</f>
        <v>#N/A</v>
      </c>
    </row>
    <row r="295" customFormat="false" ht="15" hidden="false" customHeight="false" outlineLevel="0" collapsed="false">
      <c r="A295" s="0" t="e">
        <f aca="false">IF('CARGAR OPERACIONES'!$B299="",NA(),'CARGAR OPERACIONES'!$A299)</f>
        <v>#N/A</v>
      </c>
      <c r="B295" s="0" t="e">
        <f aca="false">IF('CARGAR OPERACIONES'!$B299="",NA(),'CARGAR OPERACIONES'!$V299)</f>
        <v>#N/A</v>
      </c>
      <c r="C295" s="0" t="e">
        <f aca="false">IF('CARGAR OPERACIONES'!$B299="",NA(),Parametros!$C$6)</f>
        <v>#N/A</v>
      </c>
    </row>
    <row r="296" customFormat="false" ht="15" hidden="false" customHeight="false" outlineLevel="0" collapsed="false">
      <c r="A296" s="0" t="e">
        <f aca="false">IF('CARGAR OPERACIONES'!$B300="",NA(),'CARGAR OPERACIONES'!$A300)</f>
        <v>#N/A</v>
      </c>
      <c r="B296" s="0" t="e">
        <f aca="false">IF('CARGAR OPERACIONES'!$B300="",NA(),'CARGAR OPERACIONES'!$V300)</f>
        <v>#N/A</v>
      </c>
      <c r="C296" s="0" t="e">
        <f aca="false">IF('CARGAR OPERACIONES'!$B300="",NA(),Parametros!$C$6)</f>
        <v>#N/A</v>
      </c>
    </row>
    <row r="297" customFormat="false" ht="15" hidden="false" customHeight="false" outlineLevel="0" collapsed="false">
      <c r="A297" s="0" t="e">
        <f aca="false">IF('CARGAR OPERACIONES'!$B301="",NA(),'CARGAR OPERACIONES'!$A301)</f>
        <v>#N/A</v>
      </c>
      <c r="B297" s="0" t="e">
        <f aca="false">IF('CARGAR OPERACIONES'!$B301="",NA(),'CARGAR OPERACIONES'!$V301)</f>
        <v>#N/A</v>
      </c>
      <c r="C297" s="0" t="e">
        <f aca="false">IF('CARGAR OPERACIONES'!$B301="",NA(),Parametros!$C$6)</f>
        <v>#N/A</v>
      </c>
    </row>
    <row r="298" customFormat="false" ht="15" hidden="false" customHeight="false" outlineLevel="0" collapsed="false">
      <c r="A298" s="0" t="e">
        <f aca="false">IF('CARGAR OPERACIONES'!$B302="",NA(),'CARGAR OPERACIONES'!$A302)</f>
        <v>#N/A</v>
      </c>
      <c r="B298" s="0" t="e">
        <f aca="false">IF('CARGAR OPERACIONES'!$B302="",NA(),'CARGAR OPERACIONES'!$V302)</f>
        <v>#N/A</v>
      </c>
      <c r="C298" s="0" t="e">
        <f aca="false">IF('CARGAR OPERACIONES'!$B302="",NA(),Parametros!$C$6)</f>
        <v>#N/A</v>
      </c>
    </row>
    <row r="299" customFormat="false" ht="15" hidden="false" customHeight="false" outlineLevel="0" collapsed="false">
      <c r="A299" s="0" t="e">
        <f aca="false">IF('CARGAR OPERACIONES'!$B303="",NA(),'CARGAR OPERACIONES'!$A303)</f>
        <v>#N/A</v>
      </c>
      <c r="B299" s="0" t="e">
        <f aca="false">IF('CARGAR OPERACIONES'!$B303="",NA(),'CARGAR OPERACIONES'!$V303)</f>
        <v>#N/A</v>
      </c>
      <c r="C299" s="0" t="e">
        <f aca="false">IF('CARGAR OPERACIONES'!$B303="",NA(),Parametros!$C$6)</f>
        <v>#N/A</v>
      </c>
    </row>
    <row r="300" customFormat="false" ht="15" hidden="false" customHeight="false" outlineLevel="0" collapsed="false">
      <c r="A300" s="0" t="e">
        <f aca="false">IF('CARGAR OPERACIONES'!$B304="",NA(),'CARGAR OPERACIONES'!$A304)</f>
        <v>#N/A</v>
      </c>
      <c r="B300" s="0" t="e">
        <f aca="false">IF('CARGAR OPERACIONES'!$B304="",NA(),'CARGAR OPERACIONES'!$V304)</f>
        <v>#N/A</v>
      </c>
      <c r="C300" s="0" t="e">
        <f aca="false">IF('CARGAR OPERACIONES'!$B304="",NA(),Parametros!$C$6)</f>
        <v>#N/A</v>
      </c>
    </row>
    <row r="301" customFormat="false" ht="15" hidden="false" customHeight="false" outlineLevel="0" collapsed="false">
      <c r="A301" s="0" t="e">
        <f aca="false">IF('CARGAR OPERACIONES'!$B305="",NA(),'CARGAR OPERACIONES'!$A305)</f>
        <v>#N/A</v>
      </c>
      <c r="B301" s="0" t="e">
        <f aca="false">IF('CARGAR OPERACIONES'!$B305="",NA(),'CARGAR OPERACIONES'!$V305)</f>
        <v>#N/A</v>
      </c>
      <c r="C301" s="0" t="e">
        <f aca="false">IF('CARGAR OPERACIONES'!$B305="",NA(),Parametros!$C$6)</f>
        <v>#N/A</v>
      </c>
    </row>
    <row r="302" customFormat="false" ht="15" hidden="false" customHeight="false" outlineLevel="0" collapsed="false">
      <c r="A302" s="0" t="e">
        <f aca="false">IF('CARGAR OPERACIONES'!$B306="",NA(),'CARGAR OPERACIONES'!$A306)</f>
        <v>#N/A</v>
      </c>
      <c r="B302" s="0" t="e">
        <f aca="false">IF('CARGAR OPERACIONES'!$B306="",NA(),'CARGAR OPERACIONES'!$V306)</f>
        <v>#N/A</v>
      </c>
      <c r="C302" s="0" t="e">
        <f aca="false">IF('CARGAR OPERACIONES'!$B306="",NA(),Parametros!$C$6)</f>
        <v>#N/A</v>
      </c>
    </row>
    <row r="303" customFormat="false" ht="15" hidden="false" customHeight="false" outlineLevel="0" collapsed="false">
      <c r="A303" s="0" t="e">
        <f aca="false">IF('CARGAR OPERACIONES'!$B307="",NA(),'CARGAR OPERACIONES'!$A307)</f>
        <v>#N/A</v>
      </c>
      <c r="B303" s="0" t="e">
        <f aca="false">IF('CARGAR OPERACIONES'!$B307="",NA(),'CARGAR OPERACIONES'!$V307)</f>
        <v>#N/A</v>
      </c>
      <c r="C303" s="0" t="e">
        <f aca="false">IF('CARGAR OPERACIONES'!$B307="",NA(),Parametros!$C$6)</f>
        <v>#N/A</v>
      </c>
    </row>
    <row r="304" customFormat="false" ht="15" hidden="false" customHeight="false" outlineLevel="0" collapsed="false">
      <c r="A304" s="0" t="e">
        <f aca="false">IF('CARGAR OPERACIONES'!$B308="",NA(),'CARGAR OPERACIONES'!$A308)</f>
        <v>#N/A</v>
      </c>
      <c r="B304" s="0" t="e">
        <f aca="false">IF('CARGAR OPERACIONES'!$B308="",NA(),'CARGAR OPERACIONES'!$V308)</f>
        <v>#N/A</v>
      </c>
      <c r="C304" s="0" t="e">
        <f aca="false">IF('CARGAR OPERACIONES'!$B308="",NA(),Parametros!$C$6)</f>
        <v>#N/A</v>
      </c>
    </row>
    <row r="305" customFormat="false" ht="15" hidden="false" customHeight="false" outlineLevel="0" collapsed="false">
      <c r="A305" s="0" t="e">
        <f aca="false">IF('CARGAR OPERACIONES'!$B309="",NA(),'CARGAR OPERACIONES'!$A309)</f>
        <v>#N/A</v>
      </c>
      <c r="B305" s="0" t="e">
        <f aca="false">IF('CARGAR OPERACIONES'!$B309="",NA(),'CARGAR OPERACIONES'!$V309)</f>
        <v>#N/A</v>
      </c>
      <c r="C305" s="0" t="e">
        <f aca="false">IF('CARGAR OPERACIONES'!$B309="",NA(),Parametros!$C$6)</f>
        <v>#N/A</v>
      </c>
    </row>
    <row r="306" customFormat="false" ht="15" hidden="false" customHeight="false" outlineLevel="0" collapsed="false">
      <c r="A306" s="0" t="e">
        <f aca="false">IF('CARGAR OPERACIONES'!$B310="",NA(),'CARGAR OPERACIONES'!$A310)</f>
        <v>#N/A</v>
      </c>
      <c r="B306" s="0" t="e">
        <f aca="false">IF('CARGAR OPERACIONES'!$B310="",NA(),'CARGAR OPERACIONES'!$V310)</f>
        <v>#N/A</v>
      </c>
      <c r="C306" s="0" t="e">
        <f aca="false">IF('CARGAR OPERACIONES'!$B310="",NA(),Parametros!$C$6)</f>
        <v>#N/A</v>
      </c>
    </row>
    <row r="307" customFormat="false" ht="15" hidden="false" customHeight="false" outlineLevel="0" collapsed="false">
      <c r="A307" s="0" t="e">
        <f aca="false">IF('CARGAR OPERACIONES'!$B311="",NA(),'CARGAR OPERACIONES'!$A311)</f>
        <v>#N/A</v>
      </c>
      <c r="B307" s="0" t="e">
        <f aca="false">IF('CARGAR OPERACIONES'!$B311="",NA(),'CARGAR OPERACIONES'!$V311)</f>
        <v>#N/A</v>
      </c>
      <c r="C307" s="0" t="e">
        <f aca="false">IF('CARGAR OPERACIONES'!$B311="",NA(),Parametros!$C$6)</f>
        <v>#N/A</v>
      </c>
    </row>
    <row r="308" customFormat="false" ht="15" hidden="false" customHeight="false" outlineLevel="0" collapsed="false">
      <c r="A308" s="0" t="e">
        <f aca="false">IF('CARGAR OPERACIONES'!$B312="",NA(),'CARGAR OPERACIONES'!$A312)</f>
        <v>#N/A</v>
      </c>
      <c r="B308" s="0" t="e">
        <f aca="false">IF('CARGAR OPERACIONES'!$B312="",NA(),'CARGAR OPERACIONES'!$V312)</f>
        <v>#N/A</v>
      </c>
      <c r="C308" s="0" t="e">
        <f aca="false">IF('CARGAR OPERACIONES'!$B312="",NA(),Parametros!$C$6)</f>
        <v>#N/A</v>
      </c>
    </row>
    <row r="309" customFormat="false" ht="15" hidden="false" customHeight="false" outlineLevel="0" collapsed="false">
      <c r="A309" s="0" t="e">
        <f aca="false">IF('CARGAR OPERACIONES'!$B313="",NA(),'CARGAR OPERACIONES'!$A313)</f>
        <v>#N/A</v>
      </c>
      <c r="B309" s="0" t="e">
        <f aca="false">IF('CARGAR OPERACIONES'!$B313="",NA(),'CARGAR OPERACIONES'!$V313)</f>
        <v>#N/A</v>
      </c>
      <c r="C309" s="0" t="e">
        <f aca="false">IF('CARGAR OPERACIONES'!$B313="",NA(),Parametros!$C$6)</f>
        <v>#N/A</v>
      </c>
    </row>
    <row r="310" customFormat="false" ht="15" hidden="false" customHeight="false" outlineLevel="0" collapsed="false">
      <c r="A310" s="0" t="e">
        <f aca="false">IF('CARGAR OPERACIONES'!$B314="",NA(),'CARGAR OPERACIONES'!$A314)</f>
        <v>#N/A</v>
      </c>
      <c r="B310" s="0" t="e">
        <f aca="false">IF('CARGAR OPERACIONES'!$B314="",NA(),'CARGAR OPERACIONES'!$V314)</f>
        <v>#N/A</v>
      </c>
      <c r="C310" s="0" t="e">
        <f aca="false">IF('CARGAR OPERACIONES'!$B314="",NA(),Parametros!$C$6)</f>
        <v>#N/A</v>
      </c>
    </row>
    <row r="311" customFormat="false" ht="15" hidden="false" customHeight="false" outlineLevel="0" collapsed="false">
      <c r="A311" s="0" t="e">
        <f aca="false">IF('CARGAR OPERACIONES'!$B315="",NA(),'CARGAR OPERACIONES'!$A315)</f>
        <v>#N/A</v>
      </c>
      <c r="B311" s="0" t="e">
        <f aca="false">IF('CARGAR OPERACIONES'!$B315="",NA(),'CARGAR OPERACIONES'!$V315)</f>
        <v>#N/A</v>
      </c>
      <c r="C311" s="0" t="e">
        <f aca="false">IF('CARGAR OPERACIONES'!$B315="",NA(),Parametros!$C$6)</f>
        <v>#N/A</v>
      </c>
    </row>
    <row r="312" customFormat="false" ht="15" hidden="false" customHeight="false" outlineLevel="0" collapsed="false">
      <c r="A312" s="0" t="e">
        <f aca="false">IF('CARGAR OPERACIONES'!$B316="",NA(),'CARGAR OPERACIONES'!$A316)</f>
        <v>#N/A</v>
      </c>
      <c r="B312" s="0" t="e">
        <f aca="false">IF('CARGAR OPERACIONES'!$B316="",NA(),'CARGAR OPERACIONES'!$V316)</f>
        <v>#N/A</v>
      </c>
      <c r="C312" s="0" t="e">
        <f aca="false">IF('CARGAR OPERACIONES'!$B316="",NA(),Parametros!$C$6)</f>
        <v>#N/A</v>
      </c>
    </row>
    <row r="313" customFormat="false" ht="15" hidden="false" customHeight="false" outlineLevel="0" collapsed="false">
      <c r="A313" s="0" t="e">
        <f aca="false">IF('CARGAR OPERACIONES'!$B317="",NA(),'CARGAR OPERACIONES'!$A317)</f>
        <v>#N/A</v>
      </c>
      <c r="B313" s="0" t="e">
        <f aca="false">IF('CARGAR OPERACIONES'!$B317="",NA(),'CARGAR OPERACIONES'!$V317)</f>
        <v>#N/A</v>
      </c>
      <c r="C313" s="0" t="e">
        <f aca="false">IF('CARGAR OPERACIONES'!$B317="",NA(),Parametros!$C$6)</f>
        <v>#N/A</v>
      </c>
    </row>
    <row r="314" customFormat="false" ht="15" hidden="false" customHeight="false" outlineLevel="0" collapsed="false">
      <c r="A314" s="0" t="e">
        <f aca="false">IF('CARGAR OPERACIONES'!$B318="",NA(),'CARGAR OPERACIONES'!$A318)</f>
        <v>#N/A</v>
      </c>
      <c r="B314" s="0" t="e">
        <f aca="false">IF('CARGAR OPERACIONES'!$B318="",NA(),'CARGAR OPERACIONES'!$V318)</f>
        <v>#N/A</v>
      </c>
      <c r="C314" s="0" t="e">
        <f aca="false">IF('CARGAR OPERACIONES'!$B318="",NA(),Parametros!$C$6)</f>
        <v>#N/A</v>
      </c>
    </row>
    <row r="315" customFormat="false" ht="15" hidden="false" customHeight="false" outlineLevel="0" collapsed="false">
      <c r="A315" s="0" t="e">
        <f aca="false">IF('CARGAR OPERACIONES'!$B319="",NA(),'CARGAR OPERACIONES'!$A319)</f>
        <v>#N/A</v>
      </c>
      <c r="B315" s="0" t="e">
        <f aca="false">IF('CARGAR OPERACIONES'!$B319="",NA(),'CARGAR OPERACIONES'!$V319)</f>
        <v>#N/A</v>
      </c>
      <c r="C315" s="0" t="e">
        <f aca="false">IF('CARGAR OPERACIONES'!$B319="",NA(),Parametros!$C$6)</f>
        <v>#N/A</v>
      </c>
    </row>
    <row r="316" customFormat="false" ht="15" hidden="false" customHeight="false" outlineLevel="0" collapsed="false">
      <c r="A316" s="0" t="e">
        <f aca="false">IF('CARGAR OPERACIONES'!$B320="",NA(),'CARGAR OPERACIONES'!$A320)</f>
        <v>#N/A</v>
      </c>
      <c r="B316" s="0" t="e">
        <f aca="false">IF('CARGAR OPERACIONES'!$B320="",NA(),'CARGAR OPERACIONES'!$V320)</f>
        <v>#N/A</v>
      </c>
      <c r="C316" s="0" t="e">
        <f aca="false">IF('CARGAR OPERACIONES'!$B320="",NA(),Parametros!$C$6)</f>
        <v>#N/A</v>
      </c>
    </row>
    <row r="317" customFormat="false" ht="15" hidden="false" customHeight="false" outlineLevel="0" collapsed="false">
      <c r="A317" s="0" t="e">
        <f aca="false">IF('CARGAR OPERACIONES'!$B321="",NA(),'CARGAR OPERACIONES'!$A321)</f>
        <v>#N/A</v>
      </c>
      <c r="B317" s="0" t="e">
        <f aca="false">IF('CARGAR OPERACIONES'!$B321="",NA(),'CARGAR OPERACIONES'!$V321)</f>
        <v>#N/A</v>
      </c>
      <c r="C317" s="0" t="e">
        <f aca="false">IF('CARGAR OPERACIONES'!$B321="",NA(),Parametros!$C$6)</f>
        <v>#N/A</v>
      </c>
    </row>
    <row r="318" customFormat="false" ht="15" hidden="false" customHeight="false" outlineLevel="0" collapsed="false">
      <c r="A318" s="0" t="e">
        <f aca="false">IF('CARGAR OPERACIONES'!$B322="",NA(),'CARGAR OPERACIONES'!$A322)</f>
        <v>#N/A</v>
      </c>
      <c r="B318" s="0" t="e">
        <f aca="false">IF('CARGAR OPERACIONES'!$B322="",NA(),'CARGAR OPERACIONES'!$V322)</f>
        <v>#N/A</v>
      </c>
      <c r="C318" s="0" t="e">
        <f aca="false">IF('CARGAR OPERACIONES'!$B322="",NA(),Parametros!$C$6)</f>
        <v>#N/A</v>
      </c>
    </row>
    <row r="319" customFormat="false" ht="15" hidden="false" customHeight="false" outlineLevel="0" collapsed="false">
      <c r="A319" s="0" t="e">
        <f aca="false">IF('CARGAR OPERACIONES'!$B323="",NA(),'CARGAR OPERACIONES'!$A323)</f>
        <v>#N/A</v>
      </c>
      <c r="B319" s="0" t="e">
        <f aca="false">IF('CARGAR OPERACIONES'!$B323="",NA(),'CARGAR OPERACIONES'!$V323)</f>
        <v>#N/A</v>
      </c>
      <c r="C319" s="0" t="e">
        <f aca="false">IF('CARGAR OPERACIONES'!$B323="",NA(),Parametros!$C$6)</f>
        <v>#N/A</v>
      </c>
    </row>
    <row r="320" customFormat="false" ht="15" hidden="false" customHeight="false" outlineLevel="0" collapsed="false">
      <c r="A320" s="0" t="e">
        <f aca="false">IF('CARGAR OPERACIONES'!$B324="",NA(),'CARGAR OPERACIONES'!$A324)</f>
        <v>#N/A</v>
      </c>
      <c r="B320" s="0" t="e">
        <f aca="false">IF('CARGAR OPERACIONES'!$B324="",NA(),'CARGAR OPERACIONES'!$V324)</f>
        <v>#N/A</v>
      </c>
      <c r="C320" s="0" t="e">
        <f aca="false">IF('CARGAR OPERACIONES'!$B324="",NA(),Parametros!$C$6)</f>
        <v>#N/A</v>
      </c>
    </row>
    <row r="321" customFormat="false" ht="15" hidden="false" customHeight="false" outlineLevel="0" collapsed="false">
      <c r="A321" s="0" t="e">
        <f aca="false">IF('CARGAR OPERACIONES'!$B325="",NA(),'CARGAR OPERACIONES'!$A325)</f>
        <v>#N/A</v>
      </c>
      <c r="B321" s="0" t="e">
        <f aca="false">IF('CARGAR OPERACIONES'!$B325="",NA(),'CARGAR OPERACIONES'!$V325)</f>
        <v>#N/A</v>
      </c>
      <c r="C321" s="0" t="e">
        <f aca="false">IF('CARGAR OPERACIONES'!$B325="",NA(),Parametros!$C$6)</f>
        <v>#N/A</v>
      </c>
    </row>
    <row r="322" customFormat="false" ht="15" hidden="false" customHeight="false" outlineLevel="0" collapsed="false">
      <c r="A322" s="0" t="e">
        <f aca="false">IF('CARGAR OPERACIONES'!$B326="",NA(),'CARGAR OPERACIONES'!$A326)</f>
        <v>#N/A</v>
      </c>
      <c r="B322" s="0" t="e">
        <f aca="false">IF('CARGAR OPERACIONES'!$B326="",NA(),'CARGAR OPERACIONES'!$V326)</f>
        <v>#N/A</v>
      </c>
      <c r="C322" s="0" t="e">
        <f aca="false">IF('CARGAR OPERACIONES'!$B326="",NA(),Parametros!$C$6)</f>
        <v>#N/A</v>
      </c>
    </row>
    <row r="323" customFormat="false" ht="15" hidden="false" customHeight="false" outlineLevel="0" collapsed="false">
      <c r="A323" s="0" t="e">
        <f aca="false">IF('CARGAR OPERACIONES'!$B327="",NA(),'CARGAR OPERACIONES'!$A327)</f>
        <v>#N/A</v>
      </c>
      <c r="B323" s="0" t="e">
        <f aca="false">IF('CARGAR OPERACIONES'!$B327="",NA(),'CARGAR OPERACIONES'!$V327)</f>
        <v>#N/A</v>
      </c>
      <c r="C323" s="0" t="e">
        <f aca="false">IF('CARGAR OPERACIONES'!$B327="",NA(),Parametros!$C$6)</f>
        <v>#N/A</v>
      </c>
    </row>
    <row r="324" customFormat="false" ht="15" hidden="false" customHeight="false" outlineLevel="0" collapsed="false">
      <c r="A324" s="0" t="e">
        <f aca="false">IF('CARGAR OPERACIONES'!$B328="",NA(),'CARGAR OPERACIONES'!$A328)</f>
        <v>#N/A</v>
      </c>
      <c r="B324" s="0" t="e">
        <f aca="false">IF('CARGAR OPERACIONES'!$B328="",NA(),'CARGAR OPERACIONES'!$V328)</f>
        <v>#N/A</v>
      </c>
      <c r="C324" s="0" t="e">
        <f aca="false">IF('CARGAR OPERACIONES'!$B328="",NA(),Parametros!$C$6)</f>
        <v>#N/A</v>
      </c>
    </row>
    <row r="325" customFormat="false" ht="15" hidden="false" customHeight="false" outlineLevel="0" collapsed="false">
      <c r="A325" s="0" t="e">
        <f aca="false">IF('CARGAR OPERACIONES'!$B329="",NA(),'CARGAR OPERACIONES'!$A329)</f>
        <v>#N/A</v>
      </c>
      <c r="B325" s="0" t="e">
        <f aca="false">IF('CARGAR OPERACIONES'!$B329="",NA(),'CARGAR OPERACIONES'!$V329)</f>
        <v>#N/A</v>
      </c>
      <c r="C325" s="0" t="e">
        <f aca="false">IF('CARGAR OPERACIONES'!$B329="",NA(),Parametros!$C$6)</f>
        <v>#N/A</v>
      </c>
    </row>
    <row r="326" customFormat="false" ht="15" hidden="false" customHeight="false" outlineLevel="0" collapsed="false">
      <c r="A326" s="0" t="e">
        <f aca="false">IF('CARGAR OPERACIONES'!$B330="",NA(),'CARGAR OPERACIONES'!$A330)</f>
        <v>#N/A</v>
      </c>
      <c r="B326" s="0" t="e">
        <f aca="false">IF('CARGAR OPERACIONES'!$B330="",NA(),'CARGAR OPERACIONES'!$V330)</f>
        <v>#N/A</v>
      </c>
      <c r="C326" s="0" t="e">
        <f aca="false">IF('CARGAR OPERACIONES'!$B330="",NA(),Parametros!$C$6)</f>
        <v>#N/A</v>
      </c>
    </row>
    <row r="327" customFormat="false" ht="15" hidden="false" customHeight="false" outlineLevel="0" collapsed="false">
      <c r="A327" s="0" t="e">
        <f aca="false">IF('CARGAR OPERACIONES'!$B331="",NA(),'CARGAR OPERACIONES'!$A331)</f>
        <v>#N/A</v>
      </c>
      <c r="B327" s="0" t="e">
        <f aca="false">IF('CARGAR OPERACIONES'!$B331="",NA(),'CARGAR OPERACIONES'!$V331)</f>
        <v>#N/A</v>
      </c>
      <c r="C327" s="0" t="e">
        <f aca="false">IF('CARGAR OPERACIONES'!$B331="",NA(),Parametros!$C$6)</f>
        <v>#N/A</v>
      </c>
    </row>
    <row r="328" customFormat="false" ht="15" hidden="false" customHeight="false" outlineLevel="0" collapsed="false">
      <c r="A328" s="0" t="e">
        <f aca="false">IF('CARGAR OPERACIONES'!$B332="",NA(),'CARGAR OPERACIONES'!$A332)</f>
        <v>#N/A</v>
      </c>
      <c r="B328" s="0" t="e">
        <f aca="false">IF('CARGAR OPERACIONES'!$B332="",NA(),'CARGAR OPERACIONES'!$V332)</f>
        <v>#N/A</v>
      </c>
      <c r="C328" s="0" t="e">
        <f aca="false">IF('CARGAR OPERACIONES'!$B332="",NA(),Parametros!$C$6)</f>
        <v>#N/A</v>
      </c>
    </row>
    <row r="329" customFormat="false" ht="15" hidden="false" customHeight="false" outlineLevel="0" collapsed="false">
      <c r="A329" s="0" t="e">
        <f aca="false">IF('CARGAR OPERACIONES'!$B333="",NA(),'CARGAR OPERACIONES'!$A333)</f>
        <v>#N/A</v>
      </c>
      <c r="B329" s="0" t="e">
        <f aca="false">IF('CARGAR OPERACIONES'!$B333="",NA(),'CARGAR OPERACIONES'!$V333)</f>
        <v>#N/A</v>
      </c>
      <c r="C329" s="0" t="e">
        <f aca="false">IF('CARGAR OPERACIONES'!$B333="",NA(),Parametros!$C$6)</f>
        <v>#N/A</v>
      </c>
    </row>
    <row r="330" customFormat="false" ht="15" hidden="false" customHeight="false" outlineLevel="0" collapsed="false">
      <c r="A330" s="0" t="e">
        <f aca="false">IF('CARGAR OPERACIONES'!$B334="",NA(),'CARGAR OPERACIONES'!$A334)</f>
        <v>#N/A</v>
      </c>
      <c r="B330" s="0" t="e">
        <f aca="false">IF('CARGAR OPERACIONES'!$B334="",NA(),'CARGAR OPERACIONES'!$V334)</f>
        <v>#N/A</v>
      </c>
      <c r="C330" s="0" t="e">
        <f aca="false">IF('CARGAR OPERACIONES'!$B334="",NA(),Parametros!$C$6)</f>
        <v>#N/A</v>
      </c>
    </row>
    <row r="331" customFormat="false" ht="15" hidden="false" customHeight="false" outlineLevel="0" collapsed="false">
      <c r="A331" s="0" t="e">
        <f aca="false">IF('CARGAR OPERACIONES'!$B335="",NA(),'CARGAR OPERACIONES'!$A335)</f>
        <v>#N/A</v>
      </c>
      <c r="B331" s="0" t="e">
        <f aca="false">IF('CARGAR OPERACIONES'!$B335="",NA(),'CARGAR OPERACIONES'!$V335)</f>
        <v>#N/A</v>
      </c>
      <c r="C331" s="0" t="e">
        <f aca="false">IF('CARGAR OPERACIONES'!$B335="",NA(),Parametros!$C$6)</f>
        <v>#N/A</v>
      </c>
    </row>
    <row r="332" customFormat="false" ht="15" hidden="false" customHeight="false" outlineLevel="0" collapsed="false">
      <c r="A332" s="0" t="e">
        <f aca="false">IF('CARGAR OPERACIONES'!$B336="",NA(),'CARGAR OPERACIONES'!$A336)</f>
        <v>#N/A</v>
      </c>
      <c r="B332" s="0" t="e">
        <f aca="false">IF('CARGAR OPERACIONES'!$B336="",NA(),'CARGAR OPERACIONES'!$V336)</f>
        <v>#N/A</v>
      </c>
      <c r="C332" s="0" t="e">
        <f aca="false">IF('CARGAR OPERACIONES'!$B336="",NA(),Parametros!$C$6)</f>
        <v>#N/A</v>
      </c>
    </row>
    <row r="333" customFormat="false" ht="15" hidden="false" customHeight="false" outlineLevel="0" collapsed="false">
      <c r="A333" s="0" t="e">
        <f aca="false">IF('CARGAR OPERACIONES'!$B337="",NA(),'CARGAR OPERACIONES'!$A337)</f>
        <v>#N/A</v>
      </c>
      <c r="B333" s="0" t="e">
        <f aca="false">IF('CARGAR OPERACIONES'!$B337="",NA(),'CARGAR OPERACIONES'!$V337)</f>
        <v>#N/A</v>
      </c>
      <c r="C333" s="0" t="e">
        <f aca="false">IF('CARGAR OPERACIONES'!$B337="",NA(),Parametros!$C$6)</f>
        <v>#N/A</v>
      </c>
    </row>
    <row r="334" customFormat="false" ht="15" hidden="false" customHeight="false" outlineLevel="0" collapsed="false">
      <c r="A334" s="0" t="e">
        <f aca="false">IF('CARGAR OPERACIONES'!$B338="",NA(),'CARGAR OPERACIONES'!$A338)</f>
        <v>#N/A</v>
      </c>
      <c r="B334" s="0" t="e">
        <f aca="false">IF('CARGAR OPERACIONES'!$B338="",NA(),'CARGAR OPERACIONES'!$V338)</f>
        <v>#N/A</v>
      </c>
      <c r="C334" s="0" t="e">
        <f aca="false">IF('CARGAR OPERACIONES'!$B338="",NA(),Parametros!$C$6)</f>
        <v>#N/A</v>
      </c>
    </row>
    <row r="335" customFormat="false" ht="15" hidden="false" customHeight="false" outlineLevel="0" collapsed="false">
      <c r="A335" s="0" t="e">
        <f aca="false">IF('CARGAR OPERACIONES'!$B339="",NA(),'CARGAR OPERACIONES'!$A339)</f>
        <v>#N/A</v>
      </c>
      <c r="B335" s="0" t="e">
        <f aca="false">IF('CARGAR OPERACIONES'!$B339="",NA(),'CARGAR OPERACIONES'!$V339)</f>
        <v>#N/A</v>
      </c>
      <c r="C335" s="0" t="e">
        <f aca="false">IF('CARGAR OPERACIONES'!$B339="",NA(),Parametros!$C$6)</f>
        <v>#N/A</v>
      </c>
    </row>
    <row r="336" customFormat="false" ht="15" hidden="false" customHeight="false" outlineLevel="0" collapsed="false">
      <c r="A336" s="0" t="e">
        <f aca="false">IF('CARGAR OPERACIONES'!$B340="",NA(),'CARGAR OPERACIONES'!$A340)</f>
        <v>#N/A</v>
      </c>
      <c r="B336" s="0" t="e">
        <f aca="false">IF('CARGAR OPERACIONES'!$B340="",NA(),'CARGAR OPERACIONES'!$V340)</f>
        <v>#N/A</v>
      </c>
      <c r="C336" s="0" t="e">
        <f aca="false">IF('CARGAR OPERACIONES'!$B340="",NA(),Parametros!$C$6)</f>
        <v>#N/A</v>
      </c>
    </row>
    <row r="337" customFormat="false" ht="15" hidden="false" customHeight="false" outlineLevel="0" collapsed="false">
      <c r="A337" s="0" t="e">
        <f aca="false">IF('CARGAR OPERACIONES'!$B341="",NA(),'CARGAR OPERACIONES'!$A341)</f>
        <v>#N/A</v>
      </c>
      <c r="B337" s="0" t="e">
        <f aca="false">IF('CARGAR OPERACIONES'!$B341="",NA(),'CARGAR OPERACIONES'!$V341)</f>
        <v>#N/A</v>
      </c>
      <c r="C337" s="0" t="e">
        <f aca="false">IF('CARGAR OPERACIONES'!$B341="",NA(),Parametros!$C$6)</f>
        <v>#N/A</v>
      </c>
    </row>
    <row r="338" customFormat="false" ht="15" hidden="false" customHeight="false" outlineLevel="0" collapsed="false">
      <c r="A338" s="0" t="e">
        <f aca="false">IF('CARGAR OPERACIONES'!$B342="",NA(),'CARGAR OPERACIONES'!$A342)</f>
        <v>#N/A</v>
      </c>
      <c r="B338" s="0" t="e">
        <f aca="false">IF('CARGAR OPERACIONES'!$B342="",NA(),'CARGAR OPERACIONES'!$V342)</f>
        <v>#N/A</v>
      </c>
      <c r="C338" s="0" t="e">
        <f aca="false">IF('CARGAR OPERACIONES'!$B342="",NA(),Parametros!$C$6)</f>
        <v>#N/A</v>
      </c>
    </row>
    <row r="339" customFormat="false" ht="15" hidden="false" customHeight="false" outlineLevel="0" collapsed="false">
      <c r="A339" s="0" t="e">
        <f aca="false">IF('CARGAR OPERACIONES'!$B343="",NA(),'CARGAR OPERACIONES'!$A343)</f>
        <v>#N/A</v>
      </c>
      <c r="B339" s="0" t="e">
        <f aca="false">IF('CARGAR OPERACIONES'!$B343="",NA(),'CARGAR OPERACIONES'!$V343)</f>
        <v>#N/A</v>
      </c>
      <c r="C339" s="0" t="e">
        <f aca="false">IF('CARGAR OPERACIONES'!$B343="",NA(),Parametros!$C$6)</f>
        <v>#N/A</v>
      </c>
    </row>
    <row r="340" customFormat="false" ht="15" hidden="false" customHeight="false" outlineLevel="0" collapsed="false">
      <c r="A340" s="0" t="e">
        <f aca="false">IF('CARGAR OPERACIONES'!$B344="",NA(),'CARGAR OPERACIONES'!$A344)</f>
        <v>#N/A</v>
      </c>
      <c r="B340" s="0" t="e">
        <f aca="false">IF('CARGAR OPERACIONES'!$B344="",NA(),'CARGAR OPERACIONES'!$V344)</f>
        <v>#N/A</v>
      </c>
      <c r="C340" s="0" t="e">
        <f aca="false">IF('CARGAR OPERACIONES'!$B344="",NA(),Parametros!$C$6)</f>
        <v>#N/A</v>
      </c>
    </row>
    <row r="341" customFormat="false" ht="15" hidden="false" customHeight="false" outlineLevel="0" collapsed="false">
      <c r="A341" s="0" t="e">
        <f aca="false">IF('CARGAR OPERACIONES'!$B345="",NA(),'CARGAR OPERACIONES'!$A345)</f>
        <v>#N/A</v>
      </c>
      <c r="B341" s="0" t="e">
        <f aca="false">IF('CARGAR OPERACIONES'!$B345="",NA(),'CARGAR OPERACIONES'!$V345)</f>
        <v>#N/A</v>
      </c>
      <c r="C341" s="0" t="e">
        <f aca="false">IF('CARGAR OPERACIONES'!$B345="",NA(),Parametros!$C$6)</f>
        <v>#N/A</v>
      </c>
    </row>
    <row r="342" customFormat="false" ht="15" hidden="false" customHeight="false" outlineLevel="0" collapsed="false">
      <c r="A342" s="0" t="e">
        <f aca="false">IF('CARGAR OPERACIONES'!$B346="",NA(),'CARGAR OPERACIONES'!$A346)</f>
        <v>#N/A</v>
      </c>
      <c r="B342" s="0" t="e">
        <f aca="false">IF('CARGAR OPERACIONES'!$B346="",NA(),'CARGAR OPERACIONES'!$V346)</f>
        <v>#N/A</v>
      </c>
      <c r="C342" s="0" t="e">
        <f aca="false">IF('CARGAR OPERACIONES'!$B346="",NA(),Parametros!$C$6)</f>
        <v>#N/A</v>
      </c>
    </row>
    <row r="343" customFormat="false" ht="15" hidden="false" customHeight="false" outlineLevel="0" collapsed="false">
      <c r="A343" s="0" t="e">
        <f aca="false">IF('CARGAR OPERACIONES'!$B347="",NA(),'CARGAR OPERACIONES'!$A347)</f>
        <v>#N/A</v>
      </c>
      <c r="B343" s="0" t="e">
        <f aca="false">IF('CARGAR OPERACIONES'!$B347="",NA(),'CARGAR OPERACIONES'!$V347)</f>
        <v>#N/A</v>
      </c>
      <c r="C343" s="0" t="e">
        <f aca="false">IF('CARGAR OPERACIONES'!$B347="",NA(),Parametros!$C$6)</f>
        <v>#N/A</v>
      </c>
    </row>
    <row r="344" customFormat="false" ht="15" hidden="false" customHeight="false" outlineLevel="0" collapsed="false">
      <c r="A344" s="0" t="e">
        <f aca="false">IF('CARGAR OPERACIONES'!$B348="",NA(),'CARGAR OPERACIONES'!$A348)</f>
        <v>#N/A</v>
      </c>
      <c r="B344" s="0" t="e">
        <f aca="false">IF('CARGAR OPERACIONES'!$B348="",NA(),'CARGAR OPERACIONES'!$V348)</f>
        <v>#N/A</v>
      </c>
      <c r="C344" s="0" t="e">
        <f aca="false">IF('CARGAR OPERACIONES'!$B348="",NA(),Parametros!$C$6)</f>
        <v>#N/A</v>
      </c>
    </row>
    <row r="345" customFormat="false" ht="15" hidden="false" customHeight="false" outlineLevel="0" collapsed="false">
      <c r="A345" s="0" t="e">
        <f aca="false">IF('CARGAR OPERACIONES'!$B349="",NA(),'CARGAR OPERACIONES'!$A349)</f>
        <v>#N/A</v>
      </c>
      <c r="B345" s="0" t="e">
        <f aca="false">IF('CARGAR OPERACIONES'!$B349="",NA(),'CARGAR OPERACIONES'!$V349)</f>
        <v>#N/A</v>
      </c>
      <c r="C345" s="0" t="e">
        <f aca="false">IF('CARGAR OPERACIONES'!$B349="",NA(),Parametros!$C$6)</f>
        <v>#N/A</v>
      </c>
    </row>
    <row r="346" customFormat="false" ht="15" hidden="false" customHeight="false" outlineLevel="0" collapsed="false">
      <c r="A346" s="0" t="e">
        <f aca="false">IF('CARGAR OPERACIONES'!$B350="",NA(),'CARGAR OPERACIONES'!$A350)</f>
        <v>#N/A</v>
      </c>
      <c r="B346" s="0" t="e">
        <f aca="false">IF('CARGAR OPERACIONES'!$B350="",NA(),'CARGAR OPERACIONES'!$V350)</f>
        <v>#N/A</v>
      </c>
      <c r="C346" s="0" t="e">
        <f aca="false">IF('CARGAR OPERACIONES'!$B350="",NA(),Parametros!$C$6)</f>
        <v>#N/A</v>
      </c>
    </row>
    <row r="347" customFormat="false" ht="15" hidden="false" customHeight="false" outlineLevel="0" collapsed="false">
      <c r="A347" s="0" t="e">
        <f aca="false">IF('CARGAR OPERACIONES'!$B351="",NA(),'CARGAR OPERACIONES'!$A351)</f>
        <v>#N/A</v>
      </c>
      <c r="B347" s="0" t="e">
        <f aca="false">IF('CARGAR OPERACIONES'!$B351="",NA(),'CARGAR OPERACIONES'!$V351)</f>
        <v>#N/A</v>
      </c>
      <c r="C347" s="0" t="e">
        <f aca="false">IF('CARGAR OPERACIONES'!$B351="",NA(),Parametros!$C$6)</f>
        <v>#N/A</v>
      </c>
    </row>
    <row r="348" customFormat="false" ht="15" hidden="false" customHeight="false" outlineLevel="0" collapsed="false">
      <c r="A348" s="0" t="e">
        <f aca="false">IF('CARGAR OPERACIONES'!$B352="",NA(),'CARGAR OPERACIONES'!$A352)</f>
        <v>#N/A</v>
      </c>
      <c r="B348" s="0" t="e">
        <f aca="false">IF('CARGAR OPERACIONES'!$B352="",NA(),'CARGAR OPERACIONES'!$V352)</f>
        <v>#N/A</v>
      </c>
      <c r="C348" s="0" t="e">
        <f aca="false">IF('CARGAR OPERACIONES'!$B352="",NA(),Parametros!$C$6)</f>
        <v>#N/A</v>
      </c>
    </row>
    <row r="349" customFormat="false" ht="15" hidden="false" customHeight="false" outlineLevel="0" collapsed="false">
      <c r="A349" s="0" t="e">
        <f aca="false">IF('CARGAR OPERACIONES'!$B353="",NA(),'CARGAR OPERACIONES'!$A353)</f>
        <v>#N/A</v>
      </c>
      <c r="B349" s="0" t="e">
        <f aca="false">IF('CARGAR OPERACIONES'!$B353="",NA(),'CARGAR OPERACIONES'!$V353)</f>
        <v>#N/A</v>
      </c>
      <c r="C349" s="0" t="e">
        <f aca="false">IF('CARGAR OPERACIONES'!$B353="",NA(),Parametros!$C$6)</f>
        <v>#N/A</v>
      </c>
    </row>
    <row r="350" customFormat="false" ht="15" hidden="false" customHeight="false" outlineLevel="0" collapsed="false">
      <c r="A350" s="0" t="e">
        <f aca="false">IF('CARGAR OPERACIONES'!$B354="",NA(),'CARGAR OPERACIONES'!$A354)</f>
        <v>#N/A</v>
      </c>
      <c r="B350" s="0" t="e">
        <f aca="false">IF('CARGAR OPERACIONES'!$B354="",NA(),'CARGAR OPERACIONES'!$V354)</f>
        <v>#N/A</v>
      </c>
      <c r="C350" s="0" t="e">
        <f aca="false">IF('CARGAR OPERACIONES'!$B354="",NA(),Parametros!$C$6)</f>
        <v>#N/A</v>
      </c>
    </row>
    <row r="351" customFormat="false" ht="15" hidden="false" customHeight="false" outlineLevel="0" collapsed="false">
      <c r="A351" s="0" t="e">
        <f aca="false">IF('CARGAR OPERACIONES'!$B355="",NA(),'CARGAR OPERACIONES'!$A355)</f>
        <v>#N/A</v>
      </c>
      <c r="B351" s="0" t="e">
        <f aca="false">IF('CARGAR OPERACIONES'!$B355="",NA(),'CARGAR OPERACIONES'!$V355)</f>
        <v>#N/A</v>
      </c>
      <c r="C351" s="0" t="e">
        <f aca="false">IF('CARGAR OPERACIONES'!$B355="",NA(),Parametros!$C$6)</f>
        <v>#N/A</v>
      </c>
    </row>
    <row r="352" customFormat="false" ht="15" hidden="false" customHeight="false" outlineLevel="0" collapsed="false">
      <c r="A352" s="0" t="e">
        <f aca="false">IF('CARGAR OPERACIONES'!$B356="",NA(),'CARGAR OPERACIONES'!$A356)</f>
        <v>#N/A</v>
      </c>
      <c r="B352" s="0" t="e">
        <f aca="false">IF('CARGAR OPERACIONES'!$B356="",NA(),'CARGAR OPERACIONES'!$V356)</f>
        <v>#N/A</v>
      </c>
      <c r="C352" s="0" t="e">
        <f aca="false">IF('CARGAR OPERACIONES'!$B356="",NA(),Parametros!$C$6)</f>
        <v>#N/A</v>
      </c>
    </row>
    <row r="353" customFormat="false" ht="15" hidden="false" customHeight="false" outlineLevel="0" collapsed="false">
      <c r="A353" s="0" t="e">
        <f aca="false">IF('CARGAR OPERACIONES'!$B357="",NA(),'CARGAR OPERACIONES'!$A357)</f>
        <v>#N/A</v>
      </c>
      <c r="B353" s="0" t="e">
        <f aca="false">IF('CARGAR OPERACIONES'!$B357="",NA(),'CARGAR OPERACIONES'!$V357)</f>
        <v>#N/A</v>
      </c>
      <c r="C353" s="0" t="e">
        <f aca="false">IF('CARGAR OPERACIONES'!$B357="",NA(),Parametros!$C$6)</f>
        <v>#N/A</v>
      </c>
    </row>
    <row r="354" customFormat="false" ht="15" hidden="false" customHeight="false" outlineLevel="0" collapsed="false">
      <c r="A354" s="0" t="e">
        <f aca="false">IF('CARGAR OPERACIONES'!$B358="",NA(),'CARGAR OPERACIONES'!$A358)</f>
        <v>#N/A</v>
      </c>
      <c r="B354" s="0" t="e">
        <f aca="false">IF('CARGAR OPERACIONES'!$B358="",NA(),'CARGAR OPERACIONES'!$V358)</f>
        <v>#N/A</v>
      </c>
      <c r="C354" s="0" t="e">
        <f aca="false">IF('CARGAR OPERACIONES'!$B358="",NA(),Parametros!$C$6)</f>
        <v>#N/A</v>
      </c>
    </row>
    <row r="355" customFormat="false" ht="15" hidden="false" customHeight="false" outlineLevel="0" collapsed="false">
      <c r="A355" s="0" t="e">
        <f aca="false">IF('CARGAR OPERACIONES'!$B359="",NA(),'CARGAR OPERACIONES'!$A359)</f>
        <v>#N/A</v>
      </c>
      <c r="B355" s="0" t="e">
        <f aca="false">IF('CARGAR OPERACIONES'!$B359="",NA(),'CARGAR OPERACIONES'!$V359)</f>
        <v>#N/A</v>
      </c>
      <c r="C355" s="0" t="e">
        <f aca="false">IF('CARGAR OPERACIONES'!$B359="",NA(),Parametros!$C$6)</f>
        <v>#N/A</v>
      </c>
    </row>
    <row r="356" customFormat="false" ht="15" hidden="false" customHeight="false" outlineLevel="0" collapsed="false">
      <c r="A356" s="0" t="e">
        <f aca="false">IF('CARGAR OPERACIONES'!$B360="",NA(),'CARGAR OPERACIONES'!$A360)</f>
        <v>#N/A</v>
      </c>
      <c r="B356" s="0" t="e">
        <f aca="false">IF('CARGAR OPERACIONES'!$B360="",NA(),'CARGAR OPERACIONES'!$V360)</f>
        <v>#N/A</v>
      </c>
      <c r="C356" s="0" t="e">
        <f aca="false">IF('CARGAR OPERACIONES'!$B360="",NA(),Parametros!$C$6)</f>
        <v>#N/A</v>
      </c>
    </row>
    <row r="357" customFormat="false" ht="15" hidden="false" customHeight="false" outlineLevel="0" collapsed="false">
      <c r="A357" s="0" t="e">
        <f aca="false">IF('CARGAR OPERACIONES'!$B361="",NA(),'CARGAR OPERACIONES'!$A361)</f>
        <v>#N/A</v>
      </c>
      <c r="B357" s="0" t="e">
        <f aca="false">IF('CARGAR OPERACIONES'!$B361="",NA(),'CARGAR OPERACIONES'!$V361)</f>
        <v>#N/A</v>
      </c>
      <c r="C357" s="0" t="e">
        <f aca="false">IF('CARGAR OPERACIONES'!$B361="",NA(),Parametros!$C$6)</f>
        <v>#N/A</v>
      </c>
    </row>
    <row r="358" customFormat="false" ht="15" hidden="false" customHeight="false" outlineLevel="0" collapsed="false">
      <c r="A358" s="0" t="e">
        <f aca="false">IF('CARGAR OPERACIONES'!$B362="",NA(),'CARGAR OPERACIONES'!$A362)</f>
        <v>#N/A</v>
      </c>
      <c r="B358" s="0" t="e">
        <f aca="false">IF('CARGAR OPERACIONES'!$B362="",NA(),'CARGAR OPERACIONES'!$V362)</f>
        <v>#N/A</v>
      </c>
      <c r="C358" s="0" t="e">
        <f aca="false">IF('CARGAR OPERACIONES'!$B362="",NA(),Parametros!$C$6)</f>
        <v>#N/A</v>
      </c>
    </row>
    <row r="359" customFormat="false" ht="15" hidden="false" customHeight="false" outlineLevel="0" collapsed="false">
      <c r="A359" s="0" t="e">
        <f aca="false">IF('CARGAR OPERACIONES'!$B363="",NA(),'CARGAR OPERACIONES'!$A363)</f>
        <v>#N/A</v>
      </c>
      <c r="B359" s="0" t="e">
        <f aca="false">IF('CARGAR OPERACIONES'!$B363="",NA(),'CARGAR OPERACIONES'!$V363)</f>
        <v>#N/A</v>
      </c>
      <c r="C359" s="0" t="e">
        <f aca="false">IF('CARGAR OPERACIONES'!$B363="",NA(),Parametros!$C$6)</f>
        <v>#N/A</v>
      </c>
    </row>
    <row r="360" customFormat="false" ht="15" hidden="false" customHeight="false" outlineLevel="0" collapsed="false">
      <c r="A360" s="0" t="e">
        <f aca="false">IF('CARGAR OPERACIONES'!$B364="",NA(),'CARGAR OPERACIONES'!$A364)</f>
        <v>#N/A</v>
      </c>
      <c r="B360" s="0" t="e">
        <f aca="false">IF('CARGAR OPERACIONES'!$B364="",NA(),'CARGAR OPERACIONES'!$V364)</f>
        <v>#N/A</v>
      </c>
      <c r="C360" s="0" t="e">
        <f aca="false">IF('CARGAR OPERACIONES'!$B364="",NA(),Parametros!$C$6)</f>
        <v>#N/A</v>
      </c>
    </row>
    <row r="361" customFormat="false" ht="15" hidden="false" customHeight="false" outlineLevel="0" collapsed="false">
      <c r="A361" s="0" t="e">
        <f aca="false">IF('CARGAR OPERACIONES'!$B365="",NA(),'CARGAR OPERACIONES'!$A365)</f>
        <v>#N/A</v>
      </c>
      <c r="B361" s="0" t="e">
        <f aca="false">IF('CARGAR OPERACIONES'!$B365="",NA(),'CARGAR OPERACIONES'!$V365)</f>
        <v>#N/A</v>
      </c>
      <c r="C361" s="0" t="e">
        <f aca="false">IF('CARGAR OPERACIONES'!$B365="",NA(),Parametros!$C$6)</f>
        <v>#N/A</v>
      </c>
    </row>
    <row r="362" customFormat="false" ht="15" hidden="false" customHeight="false" outlineLevel="0" collapsed="false">
      <c r="A362" s="0" t="e">
        <f aca="false">IF('CARGAR OPERACIONES'!$B366="",NA(),'CARGAR OPERACIONES'!$A366)</f>
        <v>#N/A</v>
      </c>
      <c r="B362" s="0" t="e">
        <f aca="false">IF('CARGAR OPERACIONES'!$B366="",NA(),'CARGAR OPERACIONES'!$V366)</f>
        <v>#N/A</v>
      </c>
      <c r="C362" s="0" t="e">
        <f aca="false">IF('CARGAR OPERACIONES'!$B366="",NA(),Parametros!$C$6)</f>
        <v>#N/A</v>
      </c>
    </row>
    <row r="363" customFormat="false" ht="15" hidden="false" customHeight="false" outlineLevel="0" collapsed="false">
      <c r="A363" s="0" t="e">
        <f aca="false">IF('CARGAR OPERACIONES'!$B367="",NA(),'CARGAR OPERACIONES'!$A367)</f>
        <v>#N/A</v>
      </c>
      <c r="B363" s="0" t="e">
        <f aca="false">IF('CARGAR OPERACIONES'!$B367="",NA(),'CARGAR OPERACIONES'!$V367)</f>
        <v>#N/A</v>
      </c>
      <c r="C363" s="0" t="e">
        <f aca="false">IF('CARGAR OPERACIONES'!$B367="",NA(),Parametros!$C$6)</f>
        <v>#N/A</v>
      </c>
    </row>
    <row r="364" customFormat="false" ht="15" hidden="false" customHeight="false" outlineLevel="0" collapsed="false">
      <c r="A364" s="0" t="e">
        <f aca="false">IF('CARGAR OPERACIONES'!$B368="",NA(),'CARGAR OPERACIONES'!$A368)</f>
        <v>#N/A</v>
      </c>
      <c r="B364" s="0" t="e">
        <f aca="false">IF('CARGAR OPERACIONES'!$B368="",NA(),'CARGAR OPERACIONES'!$V368)</f>
        <v>#N/A</v>
      </c>
      <c r="C364" s="0" t="e">
        <f aca="false">IF('CARGAR OPERACIONES'!$B368="",NA(),Parametros!$C$6)</f>
        <v>#N/A</v>
      </c>
    </row>
    <row r="365" customFormat="false" ht="15" hidden="false" customHeight="false" outlineLevel="0" collapsed="false">
      <c r="A365" s="0" t="e">
        <f aca="false">IF('CARGAR OPERACIONES'!$B369="",NA(),'CARGAR OPERACIONES'!$A369)</f>
        <v>#N/A</v>
      </c>
      <c r="B365" s="0" t="e">
        <f aca="false">IF('CARGAR OPERACIONES'!$B369="",NA(),'CARGAR OPERACIONES'!$V369)</f>
        <v>#N/A</v>
      </c>
      <c r="C365" s="0" t="e">
        <f aca="false">IF('CARGAR OPERACIONES'!$B369="",NA(),Parametros!$C$6)</f>
        <v>#N/A</v>
      </c>
    </row>
    <row r="366" customFormat="false" ht="15" hidden="false" customHeight="false" outlineLevel="0" collapsed="false">
      <c r="A366" s="0" t="e">
        <f aca="false">IF('CARGAR OPERACIONES'!$B370="",NA(),'CARGAR OPERACIONES'!$A370)</f>
        <v>#N/A</v>
      </c>
      <c r="B366" s="0" t="e">
        <f aca="false">IF('CARGAR OPERACIONES'!$B370="",NA(),'CARGAR OPERACIONES'!$V370)</f>
        <v>#N/A</v>
      </c>
      <c r="C366" s="0" t="e">
        <f aca="false">IF('CARGAR OPERACIONES'!$B370="",NA(),Parametros!$C$6)</f>
        <v>#N/A</v>
      </c>
    </row>
    <row r="367" customFormat="false" ht="15" hidden="false" customHeight="false" outlineLevel="0" collapsed="false">
      <c r="A367" s="0" t="e">
        <f aca="false">IF('CARGAR OPERACIONES'!$B371="",NA(),'CARGAR OPERACIONES'!$A371)</f>
        <v>#N/A</v>
      </c>
      <c r="B367" s="0" t="e">
        <f aca="false">IF('CARGAR OPERACIONES'!$B371="",NA(),'CARGAR OPERACIONES'!$V371)</f>
        <v>#N/A</v>
      </c>
      <c r="C367" s="0" t="e">
        <f aca="false">IF('CARGAR OPERACIONES'!$B371="",NA(),Parametros!$C$6)</f>
        <v>#N/A</v>
      </c>
    </row>
    <row r="368" customFormat="false" ht="15" hidden="false" customHeight="false" outlineLevel="0" collapsed="false">
      <c r="A368" s="0" t="e">
        <f aca="false">IF('CARGAR OPERACIONES'!$B372="",NA(),'CARGAR OPERACIONES'!$A372)</f>
        <v>#N/A</v>
      </c>
      <c r="B368" s="0" t="e">
        <f aca="false">IF('CARGAR OPERACIONES'!$B372="",NA(),'CARGAR OPERACIONES'!$V372)</f>
        <v>#N/A</v>
      </c>
      <c r="C368" s="0" t="e">
        <f aca="false">IF('CARGAR OPERACIONES'!$B372="",NA(),Parametros!$C$6)</f>
        <v>#N/A</v>
      </c>
    </row>
    <row r="369" customFormat="false" ht="15" hidden="false" customHeight="false" outlineLevel="0" collapsed="false">
      <c r="A369" s="0" t="e">
        <f aca="false">IF('CARGAR OPERACIONES'!$B373="",NA(),'CARGAR OPERACIONES'!$A373)</f>
        <v>#N/A</v>
      </c>
      <c r="B369" s="0" t="e">
        <f aca="false">IF('CARGAR OPERACIONES'!$B373="",NA(),'CARGAR OPERACIONES'!$V373)</f>
        <v>#N/A</v>
      </c>
      <c r="C369" s="0" t="e">
        <f aca="false">IF('CARGAR OPERACIONES'!$B373="",NA(),Parametros!$C$6)</f>
        <v>#N/A</v>
      </c>
    </row>
    <row r="370" customFormat="false" ht="15" hidden="false" customHeight="false" outlineLevel="0" collapsed="false">
      <c r="A370" s="0" t="e">
        <f aca="false">IF('CARGAR OPERACIONES'!$B374="",NA(),'CARGAR OPERACIONES'!$A374)</f>
        <v>#N/A</v>
      </c>
      <c r="B370" s="0" t="e">
        <f aca="false">IF('CARGAR OPERACIONES'!$B374="",NA(),'CARGAR OPERACIONES'!$V374)</f>
        <v>#N/A</v>
      </c>
      <c r="C370" s="0" t="e">
        <f aca="false">IF('CARGAR OPERACIONES'!$B374="",NA(),Parametros!$C$6)</f>
        <v>#N/A</v>
      </c>
    </row>
    <row r="371" customFormat="false" ht="15" hidden="false" customHeight="false" outlineLevel="0" collapsed="false">
      <c r="A371" s="0" t="e">
        <f aca="false">IF('CARGAR OPERACIONES'!$B375="",NA(),'CARGAR OPERACIONES'!$A375)</f>
        <v>#N/A</v>
      </c>
      <c r="B371" s="0" t="e">
        <f aca="false">IF('CARGAR OPERACIONES'!$B375="",NA(),'CARGAR OPERACIONES'!$V375)</f>
        <v>#N/A</v>
      </c>
      <c r="C371" s="0" t="e">
        <f aca="false">IF('CARGAR OPERACIONES'!$B375="",NA(),Parametros!$C$6)</f>
        <v>#N/A</v>
      </c>
    </row>
    <row r="372" customFormat="false" ht="15" hidden="false" customHeight="false" outlineLevel="0" collapsed="false">
      <c r="A372" s="0" t="e">
        <f aca="false">IF('CARGAR OPERACIONES'!$B376="",NA(),'CARGAR OPERACIONES'!$A376)</f>
        <v>#N/A</v>
      </c>
      <c r="B372" s="0" t="e">
        <f aca="false">IF('CARGAR OPERACIONES'!$B376="",NA(),'CARGAR OPERACIONES'!$V376)</f>
        <v>#N/A</v>
      </c>
      <c r="C372" s="0" t="e">
        <f aca="false">IF('CARGAR OPERACIONES'!$B376="",NA(),Parametros!$C$6)</f>
        <v>#N/A</v>
      </c>
    </row>
    <row r="373" customFormat="false" ht="15" hidden="false" customHeight="false" outlineLevel="0" collapsed="false">
      <c r="A373" s="0" t="e">
        <f aca="false">IF('CARGAR OPERACIONES'!$B377="",NA(),'CARGAR OPERACIONES'!$A377)</f>
        <v>#N/A</v>
      </c>
      <c r="B373" s="0" t="e">
        <f aca="false">IF('CARGAR OPERACIONES'!$B377="",NA(),'CARGAR OPERACIONES'!$V377)</f>
        <v>#N/A</v>
      </c>
      <c r="C373" s="0" t="e">
        <f aca="false">IF('CARGAR OPERACIONES'!$B377="",NA(),Parametros!$C$6)</f>
        <v>#N/A</v>
      </c>
    </row>
    <row r="374" customFormat="false" ht="15" hidden="false" customHeight="false" outlineLevel="0" collapsed="false">
      <c r="A374" s="0" t="e">
        <f aca="false">IF('CARGAR OPERACIONES'!$B378="",NA(),'CARGAR OPERACIONES'!$A378)</f>
        <v>#N/A</v>
      </c>
      <c r="B374" s="0" t="e">
        <f aca="false">IF('CARGAR OPERACIONES'!$B378="",NA(),'CARGAR OPERACIONES'!$V378)</f>
        <v>#N/A</v>
      </c>
      <c r="C374" s="0" t="e">
        <f aca="false">IF('CARGAR OPERACIONES'!$B378="",NA(),Parametros!$C$6)</f>
        <v>#N/A</v>
      </c>
    </row>
    <row r="375" customFormat="false" ht="15" hidden="false" customHeight="false" outlineLevel="0" collapsed="false">
      <c r="A375" s="0" t="e">
        <f aca="false">IF('CARGAR OPERACIONES'!$B379="",NA(),'CARGAR OPERACIONES'!$A379)</f>
        <v>#N/A</v>
      </c>
      <c r="B375" s="0" t="e">
        <f aca="false">IF('CARGAR OPERACIONES'!$B379="",NA(),'CARGAR OPERACIONES'!$V379)</f>
        <v>#N/A</v>
      </c>
      <c r="C375" s="0" t="e">
        <f aca="false">IF('CARGAR OPERACIONES'!$B379="",NA(),Parametros!$C$6)</f>
        <v>#N/A</v>
      </c>
    </row>
    <row r="376" customFormat="false" ht="15" hidden="false" customHeight="false" outlineLevel="0" collapsed="false">
      <c r="A376" s="0" t="e">
        <f aca="false">IF('CARGAR OPERACIONES'!$B380="",NA(),'CARGAR OPERACIONES'!$A380)</f>
        <v>#N/A</v>
      </c>
      <c r="B376" s="0" t="e">
        <f aca="false">IF('CARGAR OPERACIONES'!$B380="",NA(),'CARGAR OPERACIONES'!$V380)</f>
        <v>#N/A</v>
      </c>
      <c r="C376" s="0" t="e">
        <f aca="false">IF('CARGAR OPERACIONES'!$B380="",NA(),Parametros!$C$6)</f>
        <v>#N/A</v>
      </c>
    </row>
    <row r="377" customFormat="false" ht="15" hidden="false" customHeight="false" outlineLevel="0" collapsed="false">
      <c r="A377" s="0" t="e">
        <f aca="false">IF('CARGAR OPERACIONES'!$B381="",NA(),'CARGAR OPERACIONES'!$A381)</f>
        <v>#N/A</v>
      </c>
      <c r="B377" s="0" t="e">
        <f aca="false">IF('CARGAR OPERACIONES'!$B381="",NA(),'CARGAR OPERACIONES'!$V381)</f>
        <v>#N/A</v>
      </c>
      <c r="C377" s="0" t="e">
        <f aca="false">IF('CARGAR OPERACIONES'!$B381="",NA(),Parametros!$C$6)</f>
        <v>#N/A</v>
      </c>
    </row>
    <row r="378" customFormat="false" ht="15" hidden="false" customHeight="false" outlineLevel="0" collapsed="false">
      <c r="A378" s="0" t="e">
        <f aca="false">IF('CARGAR OPERACIONES'!$B382="",NA(),'CARGAR OPERACIONES'!$A382)</f>
        <v>#N/A</v>
      </c>
      <c r="B378" s="0" t="e">
        <f aca="false">IF('CARGAR OPERACIONES'!$B382="",NA(),'CARGAR OPERACIONES'!$V382)</f>
        <v>#N/A</v>
      </c>
      <c r="C378" s="0" t="e">
        <f aca="false">IF('CARGAR OPERACIONES'!$B382="",NA(),Parametros!$C$6)</f>
        <v>#N/A</v>
      </c>
    </row>
    <row r="379" customFormat="false" ht="15" hidden="false" customHeight="false" outlineLevel="0" collapsed="false">
      <c r="A379" s="0" t="e">
        <f aca="false">IF('CARGAR OPERACIONES'!$B383="",NA(),'CARGAR OPERACIONES'!$A383)</f>
        <v>#N/A</v>
      </c>
      <c r="B379" s="0" t="e">
        <f aca="false">IF('CARGAR OPERACIONES'!$B383="",NA(),'CARGAR OPERACIONES'!$V383)</f>
        <v>#N/A</v>
      </c>
      <c r="C379" s="0" t="e">
        <f aca="false">IF('CARGAR OPERACIONES'!$B383="",NA(),Parametros!$C$6)</f>
        <v>#N/A</v>
      </c>
    </row>
    <row r="380" customFormat="false" ht="15" hidden="false" customHeight="false" outlineLevel="0" collapsed="false">
      <c r="A380" s="0" t="e">
        <f aca="false">IF('CARGAR OPERACIONES'!$B384="",NA(),'CARGAR OPERACIONES'!$A384)</f>
        <v>#N/A</v>
      </c>
      <c r="B380" s="0" t="e">
        <f aca="false">IF('CARGAR OPERACIONES'!$B384="",NA(),'CARGAR OPERACIONES'!$V384)</f>
        <v>#N/A</v>
      </c>
      <c r="C380" s="0" t="e">
        <f aca="false">IF('CARGAR OPERACIONES'!$B384="",NA(),Parametros!$C$6)</f>
        <v>#N/A</v>
      </c>
    </row>
    <row r="381" customFormat="false" ht="15" hidden="false" customHeight="false" outlineLevel="0" collapsed="false">
      <c r="A381" s="0" t="e">
        <f aca="false">IF('CARGAR OPERACIONES'!$B385="",NA(),'CARGAR OPERACIONES'!$A385)</f>
        <v>#N/A</v>
      </c>
      <c r="B381" s="0" t="e">
        <f aca="false">IF('CARGAR OPERACIONES'!$B385="",NA(),'CARGAR OPERACIONES'!$V385)</f>
        <v>#N/A</v>
      </c>
      <c r="C381" s="0" t="e">
        <f aca="false">IF('CARGAR OPERACIONES'!$B385="",NA(),Parametros!$C$6)</f>
        <v>#N/A</v>
      </c>
    </row>
    <row r="382" customFormat="false" ht="15" hidden="false" customHeight="false" outlineLevel="0" collapsed="false">
      <c r="A382" s="0" t="e">
        <f aca="false">IF('CARGAR OPERACIONES'!$B386="",NA(),'CARGAR OPERACIONES'!$A386)</f>
        <v>#N/A</v>
      </c>
      <c r="B382" s="0" t="e">
        <f aca="false">IF('CARGAR OPERACIONES'!$B386="",NA(),'CARGAR OPERACIONES'!$V386)</f>
        <v>#N/A</v>
      </c>
      <c r="C382" s="0" t="e">
        <f aca="false">IF('CARGAR OPERACIONES'!$B386="",NA(),Parametros!$C$6)</f>
        <v>#N/A</v>
      </c>
    </row>
    <row r="383" customFormat="false" ht="15" hidden="false" customHeight="false" outlineLevel="0" collapsed="false">
      <c r="A383" s="0" t="e">
        <f aca="false">IF('CARGAR OPERACIONES'!$B387="",NA(),'CARGAR OPERACIONES'!$A387)</f>
        <v>#N/A</v>
      </c>
      <c r="B383" s="0" t="e">
        <f aca="false">IF('CARGAR OPERACIONES'!$B387="",NA(),'CARGAR OPERACIONES'!$V387)</f>
        <v>#N/A</v>
      </c>
      <c r="C383" s="0" t="e">
        <f aca="false">IF('CARGAR OPERACIONES'!$B387="",NA(),Parametros!$C$6)</f>
        <v>#N/A</v>
      </c>
    </row>
    <row r="384" customFormat="false" ht="15" hidden="false" customHeight="false" outlineLevel="0" collapsed="false">
      <c r="A384" s="0" t="e">
        <f aca="false">IF('CARGAR OPERACIONES'!$B388="",NA(),'CARGAR OPERACIONES'!$A388)</f>
        <v>#N/A</v>
      </c>
      <c r="B384" s="0" t="e">
        <f aca="false">IF('CARGAR OPERACIONES'!$B388="",NA(),'CARGAR OPERACIONES'!$V388)</f>
        <v>#N/A</v>
      </c>
      <c r="C384" s="0" t="e">
        <f aca="false">IF('CARGAR OPERACIONES'!$B388="",NA(),Parametros!$C$6)</f>
        <v>#N/A</v>
      </c>
    </row>
    <row r="385" customFormat="false" ht="15" hidden="false" customHeight="false" outlineLevel="0" collapsed="false">
      <c r="A385" s="0" t="e">
        <f aca="false">IF('CARGAR OPERACIONES'!$B389="",NA(),'CARGAR OPERACIONES'!$A389)</f>
        <v>#N/A</v>
      </c>
      <c r="B385" s="0" t="e">
        <f aca="false">IF('CARGAR OPERACIONES'!$B389="",NA(),'CARGAR OPERACIONES'!$V389)</f>
        <v>#N/A</v>
      </c>
      <c r="C385" s="0" t="e">
        <f aca="false">IF('CARGAR OPERACIONES'!$B389="",NA(),Parametros!$C$6)</f>
        <v>#N/A</v>
      </c>
    </row>
    <row r="386" customFormat="false" ht="15" hidden="false" customHeight="false" outlineLevel="0" collapsed="false">
      <c r="A386" s="0" t="e">
        <f aca="false">IF('CARGAR OPERACIONES'!$B390="",NA(),'CARGAR OPERACIONES'!$A390)</f>
        <v>#N/A</v>
      </c>
      <c r="B386" s="0" t="e">
        <f aca="false">IF('CARGAR OPERACIONES'!$B390="",NA(),'CARGAR OPERACIONES'!$V390)</f>
        <v>#N/A</v>
      </c>
      <c r="C386" s="0" t="e">
        <f aca="false">IF('CARGAR OPERACIONES'!$B390="",NA(),Parametros!$C$6)</f>
        <v>#N/A</v>
      </c>
    </row>
    <row r="387" customFormat="false" ht="15" hidden="false" customHeight="false" outlineLevel="0" collapsed="false">
      <c r="A387" s="0" t="e">
        <f aca="false">IF('CARGAR OPERACIONES'!$B391="",NA(),'CARGAR OPERACIONES'!$A391)</f>
        <v>#N/A</v>
      </c>
      <c r="B387" s="0" t="e">
        <f aca="false">IF('CARGAR OPERACIONES'!$B391="",NA(),'CARGAR OPERACIONES'!$V391)</f>
        <v>#N/A</v>
      </c>
      <c r="C387" s="0" t="e">
        <f aca="false">IF('CARGAR OPERACIONES'!$B391="",NA(),Parametros!$C$6)</f>
        <v>#N/A</v>
      </c>
    </row>
    <row r="388" customFormat="false" ht="15" hidden="false" customHeight="false" outlineLevel="0" collapsed="false">
      <c r="A388" s="0" t="e">
        <f aca="false">IF('CARGAR OPERACIONES'!$B392="",NA(),'CARGAR OPERACIONES'!$A392)</f>
        <v>#N/A</v>
      </c>
      <c r="B388" s="0" t="e">
        <f aca="false">IF('CARGAR OPERACIONES'!$B392="",NA(),'CARGAR OPERACIONES'!$V392)</f>
        <v>#N/A</v>
      </c>
      <c r="C388" s="0" t="e">
        <f aca="false">IF('CARGAR OPERACIONES'!$B392="",NA(),Parametros!$C$6)</f>
        <v>#N/A</v>
      </c>
    </row>
    <row r="389" customFormat="false" ht="15" hidden="false" customHeight="false" outlineLevel="0" collapsed="false">
      <c r="A389" s="0" t="e">
        <f aca="false">IF('CARGAR OPERACIONES'!$B393="",NA(),'CARGAR OPERACIONES'!$A393)</f>
        <v>#N/A</v>
      </c>
      <c r="B389" s="0" t="e">
        <f aca="false">IF('CARGAR OPERACIONES'!$B393="",NA(),'CARGAR OPERACIONES'!$V393)</f>
        <v>#N/A</v>
      </c>
      <c r="C389" s="0" t="e">
        <f aca="false">IF('CARGAR OPERACIONES'!$B393="",NA(),Parametros!$C$6)</f>
        <v>#N/A</v>
      </c>
    </row>
    <row r="390" customFormat="false" ht="15" hidden="false" customHeight="false" outlineLevel="0" collapsed="false">
      <c r="A390" s="0" t="e">
        <f aca="false">IF('CARGAR OPERACIONES'!$B394="",NA(),'CARGAR OPERACIONES'!$A394)</f>
        <v>#N/A</v>
      </c>
      <c r="B390" s="0" t="e">
        <f aca="false">IF('CARGAR OPERACIONES'!$B394="",NA(),'CARGAR OPERACIONES'!$V394)</f>
        <v>#N/A</v>
      </c>
      <c r="C390" s="0" t="e">
        <f aca="false">IF('CARGAR OPERACIONES'!$B394="",NA(),Parametros!$C$6)</f>
        <v>#N/A</v>
      </c>
    </row>
    <row r="391" customFormat="false" ht="15" hidden="false" customHeight="false" outlineLevel="0" collapsed="false">
      <c r="A391" s="0" t="e">
        <f aca="false">IF('CARGAR OPERACIONES'!$B395="",NA(),'CARGAR OPERACIONES'!$A395)</f>
        <v>#N/A</v>
      </c>
      <c r="B391" s="0" t="e">
        <f aca="false">IF('CARGAR OPERACIONES'!$B395="",NA(),'CARGAR OPERACIONES'!$V395)</f>
        <v>#N/A</v>
      </c>
      <c r="C391" s="0" t="e">
        <f aca="false">IF('CARGAR OPERACIONES'!$B395="",NA(),Parametros!$C$6)</f>
        <v>#N/A</v>
      </c>
    </row>
    <row r="392" customFormat="false" ht="15" hidden="false" customHeight="false" outlineLevel="0" collapsed="false">
      <c r="A392" s="0" t="e">
        <f aca="false">IF('CARGAR OPERACIONES'!$B396="",NA(),'CARGAR OPERACIONES'!$A396)</f>
        <v>#N/A</v>
      </c>
      <c r="B392" s="0" t="e">
        <f aca="false">IF('CARGAR OPERACIONES'!$B396="",NA(),'CARGAR OPERACIONES'!$V396)</f>
        <v>#N/A</v>
      </c>
      <c r="C392" s="0" t="e">
        <f aca="false">IF('CARGAR OPERACIONES'!$B396="",NA(),Parametros!$C$6)</f>
        <v>#N/A</v>
      </c>
    </row>
    <row r="393" customFormat="false" ht="15" hidden="false" customHeight="false" outlineLevel="0" collapsed="false">
      <c r="A393" s="0" t="e">
        <f aca="false">IF('CARGAR OPERACIONES'!$B397="",NA(),'CARGAR OPERACIONES'!$A397)</f>
        <v>#N/A</v>
      </c>
      <c r="B393" s="0" t="e">
        <f aca="false">IF('CARGAR OPERACIONES'!$B397="",NA(),'CARGAR OPERACIONES'!$V397)</f>
        <v>#N/A</v>
      </c>
      <c r="C393" s="0" t="e">
        <f aca="false">IF('CARGAR OPERACIONES'!$B397="",NA(),Parametros!$C$6)</f>
        <v>#N/A</v>
      </c>
    </row>
    <row r="394" customFormat="false" ht="15" hidden="false" customHeight="false" outlineLevel="0" collapsed="false">
      <c r="A394" s="0" t="e">
        <f aca="false">IF('CARGAR OPERACIONES'!$B398="",NA(),'CARGAR OPERACIONES'!$A398)</f>
        <v>#N/A</v>
      </c>
      <c r="B394" s="0" t="e">
        <f aca="false">IF('CARGAR OPERACIONES'!$B398="",NA(),'CARGAR OPERACIONES'!$V398)</f>
        <v>#N/A</v>
      </c>
      <c r="C394" s="0" t="e">
        <f aca="false">IF('CARGAR OPERACIONES'!$B398="",NA(),Parametros!$C$6)</f>
        <v>#N/A</v>
      </c>
    </row>
    <row r="395" customFormat="false" ht="15" hidden="false" customHeight="false" outlineLevel="0" collapsed="false">
      <c r="A395" s="0" t="e">
        <f aca="false">IF('CARGAR OPERACIONES'!$B399="",NA(),'CARGAR OPERACIONES'!$A399)</f>
        <v>#N/A</v>
      </c>
      <c r="B395" s="0" t="e">
        <f aca="false">IF('CARGAR OPERACIONES'!$B399="",NA(),'CARGAR OPERACIONES'!$V399)</f>
        <v>#N/A</v>
      </c>
      <c r="C395" s="0" t="e">
        <f aca="false">IF('CARGAR OPERACIONES'!$B399="",NA(),Parametros!$C$6)</f>
        <v>#N/A</v>
      </c>
    </row>
    <row r="396" customFormat="false" ht="15" hidden="false" customHeight="false" outlineLevel="0" collapsed="false">
      <c r="A396" s="0" t="e">
        <f aca="false">IF('CARGAR OPERACIONES'!$B400="",NA(),'CARGAR OPERACIONES'!$A400)</f>
        <v>#N/A</v>
      </c>
      <c r="B396" s="0" t="e">
        <f aca="false">IF('CARGAR OPERACIONES'!$B400="",NA(),'CARGAR OPERACIONES'!$V400)</f>
        <v>#N/A</v>
      </c>
      <c r="C396" s="0" t="e">
        <f aca="false">IF('CARGAR OPERACIONES'!$B400="",NA(),Parametros!$C$6)</f>
        <v>#N/A</v>
      </c>
    </row>
    <row r="397" customFormat="false" ht="15" hidden="false" customHeight="false" outlineLevel="0" collapsed="false">
      <c r="A397" s="0" t="e">
        <f aca="false">IF('CARGAR OPERACIONES'!$B401="",NA(),'CARGAR OPERACIONES'!$A401)</f>
        <v>#N/A</v>
      </c>
      <c r="B397" s="0" t="e">
        <f aca="false">IF('CARGAR OPERACIONES'!$B401="",NA(),'CARGAR OPERACIONES'!$V401)</f>
        <v>#N/A</v>
      </c>
      <c r="C397" s="0" t="e">
        <f aca="false">IF('CARGAR OPERACIONES'!$B401="",NA(),Parametros!$C$6)</f>
        <v>#N/A</v>
      </c>
    </row>
    <row r="398" customFormat="false" ht="15" hidden="false" customHeight="false" outlineLevel="0" collapsed="false">
      <c r="A398" s="0" t="e">
        <f aca="false">IF('CARGAR OPERACIONES'!$B402="",NA(),'CARGAR OPERACIONES'!$A402)</f>
        <v>#N/A</v>
      </c>
      <c r="B398" s="0" t="e">
        <f aca="false">IF('CARGAR OPERACIONES'!$B402="",NA(),'CARGAR OPERACIONES'!$V402)</f>
        <v>#N/A</v>
      </c>
      <c r="C398" s="0" t="e">
        <f aca="false">IF('CARGAR OPERACIONES'!$B402="",NA(),Parametros!$C$6)</f>
        <v>#N/A</v>
      </c>
    </row>
    <row r="399" customFormat="false" ht="15" hidden="false" customHeight="false" outlineLevel="0" collapsed="false">
      <c r="A399" s="0" t="e">
        <f aca="false">IF('CARGAR OPERACIONES'!$B403="",NA(),'CARGAR OPERACIONES'!$A403)</f>
        <v>#N/A</v>
      </c>
      <c r="B399" s="0" t="e">
        <f aca="false">IF('CARGAR OPERACIONES'!$B403="",NA(),'CARGAR OPERACIONES'!$V403)</f>
        <v>#N/A</v>
      </c>
      <c r="C399" s="0" t="e">
        <f aca="false">IF('CARGAR OPERACIONES'!$B403="",NA(),Parametros!$C$6)</f>
        <v>#N/A</v>
      </c>
    </row>
    <row r="400" customFormat="false" ht="15" hidden="false" customHeight="false" outlineLevel="0" collapsed="false">
      <c r="A400" s="0" t="e">
        <f aca="false">IF('CARGAR OPERACIONES'!$B404="",NA(),'CARGAR OPERACIONES'!$A404)</f>
        <v>#N/A</v>
      </c>
      <c r="B400" s="0" t="e">
        <f aca="false">IF('CARGAR OPERACIONES'!$B404="",NA(),'CARGAR OPERACIONES'!$V404)</f>
        <v>#N/A</v>
      </c>
      <c r="C400" s="0" t="e">
        <f aca="false">IF('CARGAR OPERACIONES'!$B404="",NA(),Parametros!$C$6)</f>
        <v>#N/A</v>
      </c>
    </row>
    <row r="401" customFormat="false" ht="15" hidden="false" customHeight="false" outlineLevel="0" collapsed="false">
      <c r="A401" s="0" t="e">
        <f aca="false">IF('CARGAR OPERACIONES'!$B405="",NA(),'CARGAR OPERACIONES'!$A405)</f>
        <v>#N/A</v>
      </c>
      <c r="B401" s="0" t="e">
        <f aca="false">IF('CARGAR OPERACIONES'!$B405="",NA(),'CARGAR OPERACIONES'!$V405)</f>
        <v>#N/A</v>
      </c>
      <c r="C401" s="0" t="e">
        <f aca="false">IF('CARGAR OPERACIONES'!$B405="",NA(),Parametros!$C$6)</f>
        <v>#N/A</v>
      </c>
    </row>
    <row r="402" customFormat="false" ht="15" hidden="false" customHeight="false" outlineLevel="0" collapsed="false">
      <c r="A402" s="0" t="e">
        <f aca="false">IF('CARGAR OPERACIONES'!$B406="",NA(),'CARGAR OPERACIONES'!$A406)</f>
        <v>#N/A</v>
      </c>
      <c r="B402" s="0" t="e">
        <f aca="false">IF('CARGAR OPERACIONES'!$B406="",NA(),'CARGAR OPERACIONES'!$V406)</f>
        <v>#N/A</v>
      </c>
      <c r="C402" s="0" t="e">
        <f aca="false">IF('CARGAR OPERACIONES'!$B406="",NA(),Parametros!$C$6)</f>
        <v>#N/A</v>
      </c>
    </row>
    <row r="403" customFormat="false" ht="15" hidden="false" customHeight="false" outlineLevel="0" collapsed="false">
      <c r="A403" s="0" t="e">
        <f aca="false">IF('CARGAR OPERACIONES'!$B407="",NA(),'CARGAR OPERACIONES'!$A407)</f>
        <v>#N/A</v>
      </c>
      <c r="B403" s="0" t="e">
        <f aca="false">IF('CARGAR OPERACIONES'!$B407="",NA(),'CARGAR OPERACIONES'!$V407)</f>
        <v>#N/A</v>
      </c>
      <c r="C403" s="0" t="e">
        <f aca="false">IF('CARGAR OPERACIONES'!$B407="",NA(),Parametros!$C$6)</f>
        <v>#N/A</v>
      </c>
    </row>
    <row r="404" customFormat="false" ht="15" hidden="false" customHeight="false" outlineLevel="0" collapsed="false">
      <c r="A404" s="0" t="e">
        <f aca="false">IF('CARGAR OPERACIONES'!$B408="",NA(),'CARGAR OPERACIONES'!$A408)</f>
        <v>#N/A</v>
      </c>
      <c r="B404" s="0" t="e">
        <f aca="false">IF('CARGAR OPERACIONES'!$B408="",NA(),'CARGAR OPERACIONES'!$V408)</f>
        <v>#N/A</v>
      </c>
      <c r="C404" s="0" t="e">
        <f aca="false">IF('CARGAR OPERACIONES'!$B408="",NA(),Parametros!$C$6)</f>
        <v>#N/A</v>
      </c>
    </row>
    <row r="405" customFormat="false" ht="15" hidden="false" customHeight="false" outlineLevel="0" collapsed="false">
      <c r="A405" s="0" t="e">
        <f aca="false">IF('CARGAR OPERACIONES'!$B409="",NA(),'CARGAR OPERACIONES'!$A409)</f>
        <v>#N/A</v>
      </c>
      <c r="B405" s="0" t="e">
        <f aca="false">IF('CARGAR OPERACIONES'!$B409="",NA(),'CARGAR OPERACIONES'!$V409)</f>
        <v>#N/A</v>
      </c>
      <c r="C405" s="0" t="e">
        <f aca="false">IF('CARGAR OPERACIONES'!$B409="",NA(),Parametros!$C$6)</f>
        <v>#N/A</v>
      </c>
    </row>
    <row r="406" customFormat="false" ht="15" hidden="false" customHeight="false" outlineLevel="0" collapsed="false">
      <c r="A406" s="0" t="e">
        <f aca="false">IF('CARGAR OPERACIONES'!$B410="",NA(),'CARGAR OPERACIONES'!$A410)</f>
        <v>#N/A</v>
      </c>
      <c r="B406" s="0" t="e">
        <f aca="false">IF('CARGAR OPERACIONES'!$B410="",NA(),'CARGAR OPERACIONES'!$V410)</f>
        <v>#N/A</v>
      </c>
      <c r="C406" s="0" t="e">
        <f aca="false">IF('CARGAR OPERACIONES'!$B410="",NA(),Parametros!$C$6)</f>
        <v>#N/A</v>
      </c>
    </row>
    <row r="407" customFormat="false" ht="15" hidden="false" customHeight="false" outlineLevel="0" collapsed="false">
      <c r="A407" s="0" t="e">
        <f aca="false">IF('CARGAR OPERACIONES'!$B411="",NA(),'CARGAR OPERACIONES'!$A411)</f>
        <v>#N/A</v>
      </c>
      <c r="B407" s="0" t="e">
        <f aca="false">IF('CARGAR OPERACIONES'!$B411="",NA(),'CARGAR OPERACIONES'!$V411)</f>
        <v>#N/A</v>
      </c>
      <c r="C407" s="0" t="e">
        <f aca="false">IF('CARGAR OPERACIONES'!$B411="",NA(),Parametros!$C$6)</f>
        <v>#N/A</v>
      </c>
    </row>
    <row r="408" customFormat="false" ht="15" hidden="false" customHeight="false" outlineLevel="0" collapsed="false">
      <c r="A408" s="0" t="e">
        <f aca="false">IF('CARGAR OPERACIONES'!$B412="",NA(),'CARGAR OPERACIONES'!$A412)</f>
        <v>#N/A</v>
      </c>
      <c r="B408" s="0" t="e">
        <f aca="false">IF('CARGAR OPERACIONES'!$B412="",NA(),'CARGAR OPERACIONES'!$V412)</f>
        <v>#N/A</v>
      </c>
      <c r="C408" s="0" t="e">
        <f aca="false">IF('CARGAR OPERACIONES'!$B412="",NA(),Parametros!$C$6)</f>
        <v>#N/A</v>
      </c>
    </row>
    <row r="409" customFormat="false" ht="15" hidden="false" customHeight="false" outlineLevel="0" collapsed="false">
      <c r="A409" s="0" t="e">
        <f aca="false">IF('CARGAR OPERACIONES'!$B413="",NA(),'CARGAR OPERACIONES'!$A413)</f>
        <v>#N/A</v>
      </c>
      <c r="B409" s="0" t="e">
        <f aca="false">IF('CARGAR OPERACIONES'!$B413="",NA(),'CARGAR OPERACIONES'!$V413)</f>
        <v>#N/A</v>
      </c>
      <c r="C409" s="0" t="e">
        <f aca="false">IF('CARGAR OPERACIONES'!$B413="",NA(),Parametros!$C$6)</f>
        <v>#N/A</v>
      </c>
    </row>
    <row r="410" customFormat="false" ht="15" hidden="false" customHeight="false" outlineLevel="0" collapsed="false">
      <c r="A410" s="0" t="e">
        <f aca="false">IF('CARGAR OPERACIONES'!$B414="",NA(),'CARGAR OPERACIONES'!$A414)</f>
        <v>#N/A</v>
      </c>
      <c r="B410" s="0" t="e">
        <f aca="false">IF('CARGAR OPERACIONES'!$B414="",NA(),'CARGAR OPERACIONES'!$V414)</f>
        <v>#N/A</v>
      </c>
      <c r="C410" s="0" t="e">
        <f aca="false">IF('CARGAR OPERACIONES'!$B414="",NA(),Parametros!$C$6)</f>
        <v>#N/A</v>
      </c>
    </row>
    <row r="411" customFormat="false" ht="15" hidden="false" customHeight="false" outlineLevel="0" collapsed="false">
      <c r="A411" s="0" t="e">
        <f aca="false">IF('CARGAR OPERACIONES'!$B415="",NA(),'CARGAR OPERACIONES'!$A415)</f>
        <v>#N/A</v>
      </c>
      <c r="B411" s="0" t="e">
        <f aca="false">IF('CARGAR OPERACIONES'!$B415="",NA(),'CARGAR OPERACIONES'!$V415)</f>
        <v>#N/A</v>
      </c>
      <c r="C411" s="0" t="e">
        <f aca="false">IF('CARGAR OPERACIONES'!$B415="",NA(),Parametros!$C$6)</f>
        <v>#N/A</v>
      </c>
    </row>
    <row r="412" customFormat="false" ht="15" hidden="false" customHeight="false" outlineLevel="0" collapsed="false">
      <c r="A412" s="0" t="e">
        <f aca="false">IF('CARGAR OPERACIONES'!$B416="",NA(),'CARGAR OPERACIONES'!$A416)</f>
        <v>#N/A</v>
      </c>
      <c r="B412" s="0" t="e">
        <f aca="false">IF('CARGAR OPERACIONES'!$B416="",NA(),'CARGAR OPERACIONES'!$V416)</f>
        <v>#N/A</v>
      </c>
      <c r="C412" s="0" t="e">
        <f aca="false">IF('CARGAR OPERACIONES'!$B416="",NA(),Parametros!$C$6)</f>
        <v>#N/A</v>
      </c>
    </row>
    <row r="413" customFormat="false" ht="15" hidden="false" customHeight="false" outlineLevel="0" collapsed="false">
      <c r="A413" s="0" t="e">
        <f aca="false">IF('CARGAR OPERACIONES'!$B417="",NA(),'CARGAR OPERACIONES'!$A417)</f>
        <v>#N/A</v>
      </c>
      <c r="B413" s="0" t="e">
        <f aca="false">IF('CARGAR OPERACIONES'!$B417="",NA(),'CARGAR OPERACIONES'!$V417)</f>
        <v>#N/A</v>
      </c>
      <c r="C413" s="0" t="e">
        <f aca="false">IF('CARGAR OPERACIONES'!$B417="",NA(),Parametros!$C$6)</f>
        <v>#N/A</v>
      </c>
    </row>
    <row r="414" customFormat="false" ht="15" hidden="false" customHeight="false" outlineLevel="0" collapsed="false">
      <c r="A414" s="0" t="e">
        <f aca="false">IF('CARGAR OPERACIONES'!$B418="",NA(),'CARGAR OPERACIONES'!$A418)</f>
        <v>#N/A</v>
      </c>
      <c r="B414" s="0" t="e">
        <f aca="false">IF('CARGAR OPERACIONES'!$B418="",NA(),'CARGAR OPERACIONES'!$V418)</f>
        <v>#N/A</v>
      </c>
      <c r="C414" s="0" t="e">
        <f aca="false">IF('CARGAR OPERACIONES'!$B418="",NA(),Parametros!$C$6)</f>
        <v>#N/A</v>
      </c>
    </row>
    <row r="415" customFormat="false" ht="15" hidden="false" customHeight="false" outlineLevel="0" collapsed="false">
      <c r="A415" s="0" t="e">
        <f aca="false">IF('CARGAR OPERACIONES'!$B419="",NA(),'CARGAR OPERACIONES'!$A419)</f>
        <v>#N/A</v>
      </c>
      <c r="B415" s="0" t="e">
        <f aca="false">IF('CARGAR OPERACIONES'!$B419="",NA(),'CARGAR OPERACIONES'!$V419)</f>
        <v>#N/A</v>
      </c>
      <c r="C415" s="0" t="e">
        <f aca="false">IF('CARGAR OPERACIONES'!$B419="",NA(),Parametros!$C$6)</f>
        <v>#N/A</v>
      </c>
    </row>
    <row r="416" customFormat="false" ht="15" hidden="false" customHeight="false" outlineLevel="0" collapsed="false">
      <c r="A416" s="0" t="e">
        <f aca="false">IF('CARGAR OPERACIONES'!$B420="",NA(),'CARGAR OPERACIONES'!$A420)</f>
        <v>#N/A</v>
      </c>
      <c r="B416" s="0" t="e">
        <f aca="false">IF('CARGAR OPERACIONES'!$B420="",NA(),'CARGAR OPERACIONES'!$V420)</f>
        <v>#N/A</v>
      </c>
      <c r="C416" s="0" t="e">
        <f aca="false">IF('CARGAR OPERACIONES'!$B420="",NA(),Parametros!$C$6)</f>
        <v>#N/A</v>
      </c>
    </row>
    <row r="417" customFormat="false" ht="15" hidden="false" customHeight="false" outlineLevel="0" collapsed="false">
      <c r="A417" s="0" t="e">
        <f aca="false">IF('CARGAR OPERACIONES'!$B421="",NA(),'CARGAR OPERACIONES'!$A421)</f>
        <v>#N/A</v>
      </c>
      <c r="B417" s="0" t="e">
        <f aca="false">IF('CARGAR OPERACIONES'!$B421="",NA(),'CARGAR OPERACIONES'!$V421)</f>
        <v>#N/A</v>
      </c>
      <c r="C417" s="0" t="e">
        <f aca="false">IF('CARGAR OPERACIONES'!$B421="",NA(),Parametros!$C$6)</f>
        <v>#N/A</v>
      </c>
    </row>
    <row r="418" customFormat="false" ht="15" hidden="false" customHeight="false" outlineLevel="0" collapsed="false">
      <c r="A418" s="0" t="e">
        <f aca="false">IF('CARGAR OPERACIONES'!$B422="",NA(),'CARGAR OPERACIONES'!$A422)</f>
        <v>#N/A</v>
      </c>
      <c r="B418" s="0" t="e">
        <f aca="false">IF('CARGAR OPERACIONES'!$B422="",NA(),'CARGAR OPERACIONES'!$V422)</f>
        <v>#N/A</v>
      </c>
      <c r="C418" s="0" t="e">
        <f aca="false">IF('CARGAR OPERACIONES'!$B422="",NA(),Parametros!$C$6)</f>
        <v>#N/A</v>
      </c>
    </row>
    <row r="419" customFormat="false" ht="15" hidden="false" customHeight="false" outlineLevel="0" collapsed="false">
      <c r="A419" s="0" t="e">
        <f aca="false">IF('CARGAR OPERACIONES'!$B423="",NA(),'CARGAR OPERACIONES'!$A423)</f>
        <v>#N/A</v>
      </c>
      <c r="B419" s="0" t="e">
        <f aca="false">IF('CARGAR OPERACIONES'!$B423="",NA(),'CARGAR OPERACIONES'!$V423)</f>
        <v>#N/A</v>
      </c>
      <c r="C419" s="0" t="e">
        <f aca="false">IF('CARGAR OPERACIONES'!$B423="",NA(),Parametros!$C$6)</f>
        <v>#N/A</v>
      </c>
    </row>
    <row r="420" customFormat="false" ht="15" hidden="false" customHeight="false" outlineLevel="0" collapsed="false">
      <c r="A420" s="0" t="e">
        <f aca="false">IF('CARGAR OPERACIONES'!$B424="",NA(),'CARGAR OPERACIONES'!$A424)</f>
        <v>#N/A</v>
      </c>
      <c r="B420" s="0" t="e">
        <f aca="false">IF('CARGAR OPERACIONES'!$B424="",NA(),'CARGAR OPERACIONES'!$V424)</f>
        <v>#N/A</v>
      </c>
      <c r="C420" s="0" t="e">
        <f aca="false">IF('CARGAR OPERACIONES'!$B424="",NA(),Parametros!$C$6)</f>
        <v>#N/A</v>
      </c>
    </row>
    <row r="421" customFormat="false" ht="15" hidden="false" customHeight="false" outlineLevel="0" collapsed="false">
      <c r="A421" s="0" t="e">
        <f aca="false">IF('CARGAR OPERACIONES'!$B425="",NA(),'CARGAR OPERACIONES'!$A425)</f>
        <v>#N/A</v>
      </c>
      <c r="B421" s="0" t="e">
        <f aca="false">IF('CARGAR OPERACIONES'!$B425="",NA(),'CARGAR OPERACIONES'!$V425)</f>
        <v>#N/A</v>
      </c>
      <c r="C421" s="0" t="e">
        <f aca="false">IF('CARGAR OPERACIONES'!$B425="",NA(),Parametros!$C$6)</f>
        <v>#N/A</v>
      </c>
    </row>
    <row r="422" customFormat="false" ht="15" hidden="false" customHeight="false" outlineLevel="0" collapsed="false">
      <c r="A422" s="0" t="e">
        <f aca="false">IF('CARGAR OPERACIONES'!$B426="",NA(),'CARGAR OPERACIONES'!$A426)</f>
        <v>#N/A</v>
      </c>
      <c r="B422" s="0" t="e">
        <f aca="false">IF('CARGAR OPERACIONES'!$B426="",NA(),'CARGAR OPERACIONES'!$V426)</f>
        <v>#N/A</v>
      </c>
      <c r="C422" s="0" t="e">
        <f aca="false">IF('CARGAR OPERACIONES'!$B426="",NA(),Parametros!$C$6)</f>
        <v>#N/A</v>
      </c>
    </row>
    <row r="423" customFormat="false" ht="15" hidden="false" customHeight="false" outlineLevel="0" collapsed="false">
      <c r="A423" s="0" t="e">
        <f aca="false">IF('CARGAR OPERACIONES'!$B427="",NA(),'CARGAR OPERACIONES'!$A427)</f>
        <v>#N/A</v>
      </c>
      <c r="B423" s="0" t="e">
        <f aca="false">IF('CARGAR OPERACIONES'!$B427="",NA(),'CARGAR OPERACIONES'!$V427)</f>
        <v>#N/A</v>
      </c>
      <c r="C423" s="0" t="e">
        <f aca="false">IF('CARGAR OPERACIONES'!$B427="",NA(),Parametros!$C$6)</f>
        <v>#N/A</v>
      </c>
    </row>
    <row r="424" customFormat="false" ht="15" hidden="false" customHeight="false" outlineLevel="0" collapsed="false">
      <c r="A424" s="0" t="e">
        <f aca="false">IF('CARGAR OPERACIONES'!$B428="",NA(),'CARGAR OPERACIONES'!$A428)</f>
        <v>#N/A</v>
      </c>
      <c r="B424" s="0" t="e">
        <f aca="false">IF('CARGAR OPERACIONES'!$B428="",NA(),'CARGAR OPERACIONES'!$V428)</f>
        <v>#N/A</v>
      </c>
      <c r="C424" s="0" t="e">
        <f aca="false">IF('CARGAR OPERACIONES'!$B428="",NA(),Parametros!$C$6)</f>
        <v>#N/A</v>
      </c>
    </row>
    <row r="425" customFormat="false" ht="15" hidden="false" customHeight="false" outlineLevel="0" collapsed="false">
      <c r="A425" s="0" t="e">
        <f aca="false">IF('CARGAR OPERACIONES'!$B429="",NA(),'CARGAR OPERACIONES'!$A429)</f>
        <v>#N/A</v>
      </c>
      <c r="B425" s="0" t="e">
        <f aca="false">IF('CARGAR OPERACIONES'!$B429="",NA(),'CARGAR OPERACIONES'!$V429)</f>
        <v>#N/A</v>
      </c>
      <c r="C425" s="0" t="e">
        <f aca="false">IF('CARGAR OPERACIONES'!$B429="",NA(),Parametros!$C$6)</f>
        <v>#N/A</v>
      </c>
    </row>
    <row r="426" customFormat="false" ht="15" hidden="false" customHeight="false" outlineLevel="0" collapsed="false">
      <c r="A426" s="0" t="e">
        <f aca="false">IF('CARGAR OPERACIONES'!$B430="",NA(),'CARGAR OPERACIONES'!$A430)</f>
        <v>#N/A</v>
      </c>
      <c r="B426" s="0" t="e">
        <f aca="false">IF('CARGAR OPERACIONES'!$B430="",NA(),'CARGAR OPERACIONES'!$V430)</f>
        <v>#N/A</v>
      </c>
      <c r="C426" s="0" t="e">
        <f aca="false">IF('CARGAR OPERACIONES'!$B430="",NA(),Parametros!$C$6)</f>
        <v>#N/A</v>
      </c>
    </row>
    <row r="427" customFormat="false" ht="15" hidden="false" customHeight="false" outlineLevel="0" collapsed="false">
      <c r="A427" s="0" t="e">
        <f aca="false">IF('CARGAR OPERACIONES'!$B431="",NA(),'CARGAR OPERACIONES'!$A431)</f>
        <v>#N/A</v>
      </c>
      <c r="B427" s="0" t="e">
        <f aca="false">IF('CARGAR OPERACIONES'!$B431="",NA(),'CARGAR OPERACIONES'!$V431)</f>
        <v>#N/A</v>
      </c>
      <c r="C427" s="0" t="e">
        <f aca="false">IF('CARGAR OPERACIONES'!$B431="",NA(),Parametros!$C$6)</f>
        <v>#N/A</v>
      </c>
    </row>
    <row r="428" customFormat="false" ht="15" hidden="false" customHeight="false" outlineLevel="0" collapsed="false">
      <c r="A428" s="0" t="e">
        <f aca="false">IF('CARGAR OPERACIONES'!$B432="",NA(),'CARGAR OPERACIONES'!$A432)</f>
        <v>#N/A</v>
      </c>
      <c r="B428" s="0" t="e">
        <f aca="false">IF('CARGAR OPERACIONES'!$B432="",NA(),'CARGAR OPERACIONES'!$V432)</f>
        <v>#N/A</v>
      </c>
      <c r="C428" s="0" t="e">
        <f aca="false">IF('CARGAR OPERACIONES'!$B432="",NA(),Parametros!$C$6)</f>
        <v>#N/A</v>
      </c>
    </row>
    <row r="429" customFormat="false" ht="15" hidden="false" customHeight="false" outlineLevel="0" collapsed="false">
      <c r="A429" s="0" t="e">
        <f aca="false">IF('CARGAR OPERACIONES'!$B433="",NA(),'CARGAR OPERACIONES'!$A433)</f>
        <v>#N/A</v>
      </c>
      <c r="B429" s="0" t="e">
        <f aca="false">IF('CARGAR OPERACIONES'!$B433="",NA(),'CARGAR OPERACIONES'!$V433)</f>
        <v>#N/A</v>
      </c>
      <c r="C429" s="0" t="e">
        <f aca="false">IF('CARGAR OPERACIONES'!$B433="",NA(),Parametros!$C$6)</f>
        <v>#N/A</v>
      </c>
    </row>
    <row r="430" customFormat="false" ht="15" hidden="false" customHeight="false" outlineLevel="0" collapsed="false">
      <c r="A430" s="0" t="e">
        <f aca="false">IF('CARGAR OPERACIONES'!$B434="",NA(),'CARGAR OPERACIONES'!$A434)</f>
        <v>#N/A</v>
      </c>
      <c r="B430" s="0" t="e">
        <f aca="false">IF('CARGAR OPERACIONES'!$B434="",NA(),'CARGAR OPERACIONES'!$V434)</f>
        <v>#N/A</v>
      </c>
      <c r="C430" s="0" t="e">
        <f aca="false">IF('CARGAR OPERACIONES'!$B434="",NA(),Parametros!$C$6)</f>
        <v>#N/A</v>
      </c>
    </row>
    <row r="431" customFormat="false" ht="15" hidden="false" customHeight="false" outlineLevel="0" collapsed="false">
      <c r="A431" s="0" t="e">
        <f aca="false">IF('CARGAR OPERACIONES'!$B435="",NA(),'CARGAR OPERACIONES'!$A435)</f>
        <v>#N/A</v>
      </c>
      <c r="B431" s="0" t="e">
        <f aca="false">IF('CARGAR OPERACIONES'!$B435="",NA(),'CARGAR OPERACIONES'!$V435)</f>
        <v>#N/A</v>
      </c>
      <c r="C431" s="0" t="e">
        <f aca="false">IF('CARGAR OPERACIONES'!$B435="",NA(),Parametros!$C$6)</f>
        <v>#N/A</v>
      </c>
    </row>
    <row r="432" customFormat="false" ht="15" hidden="false" customHeight="false" outlineLevel="0" collapsed="false">
      <c r="A432" s="0" t="e">
        <f aca="false">IF('CARGAR OPERACIONES'!$B436="",NA(),'CARGAR OPERACIONES'!$A436)</f>
        <v>#N/A</v>
      </c>
      <c r="B432" s="0" t="e">
        <f aca="false">IF('CARGAR OPERACIONES'!$B436="",NA(),'CARGAR OPERACIONES'!$V436)</f>
        <v>#N/A</v>
      </c>
      <c r="C432" s="0" t="e">
        <f aca="false">IF('CARGAR OPERACIONES'!$B436="",NA(),Parametros!$C$6)</f>
        <v>#N/A</v>
      </c>
    </row>
    <row r="433" customFormat="false" ht="15" hidden="false" customHeight="false" outlineLevel="0" collapsed="false">
      <c r="A433" s="0" t="e">
        <f aca="false">IF('CARGAR OPERACIONES'!$B437="",NA(),'CARGAR OPERACIONES'!$A437)</f>
        <v>#N/A</v>
      </c>
      <c r="B433" s="0" t="e">
        <f aca="false">IF('CARGAR OPERACIONES'!$B437="",NA(),'CARGAR OPERACIONES'!$V437)</f>
        <v>#N/A</v>
      </c>
      <c r="C433" s="0" t="e">
        <f aca="false">IF('CARGAR OPERACIONES'!$B437="",NA(),Parametros!$C$6)</f>
        <v>#N/A</v>
      </c>
    </row>
    <row r="434" customFormat="false" ht="15" hidden="false" customHeight="false" outlineLevel="0" collapsed="false">
      <c r="A434" s="0" t="e">
        <f aca="false">IF('CARGAR OPERACIONES'!$B438="",NA(),'CARGAR OPERACIONES'!$A438)</f>
        <v>#N/A</v>
      </c>
      <c r="B434" s="0" t="e">
        <f aca="false">IF('CARGAR OPERACIONES'!$B438="",NA(),'CARGAR OPERACIONES'!$V438)</f>
        <v>#N/A</v>
      </c>
      <c r="C434" s="0" t="e">
        <f aca="false">IF('CARGAR OPERACIONES'!$B438="",NA(),Parametros!$C$6)</f>
        <v>#N/A</v>
      </c>
    </row>
    <row r="435" customFormat="false" ht="15" hidden="false" customHeight="false" outlineLevel="0" collapsed="false">
      <c r="A435" s="0" t="e">
        <f aca="false">IF('CARGAR OPERACIONES'!$B439="",NA(),'CARGAR OPERACIONES'!$A439)</f>
        <v>#N/A</v>
      </c>
      <c r="B435" s="0" t="e">
        <f aca="false">IF('CARGAR OPERACIONES'!$B439="",NA(),'CARGAR OPERACIONES'!$V439)</f>
        <v>#N/A</v>
      </c>
      <c r="C435" s="0" t="e">
        <f aca="false">IF('CARGAR OPERACIONES'!$B439="",NA(),Parametros!$C$6)</f>
        <v>#N/A</v>
      </c>
    </row>
    <row r="436" customFormat="false" ht="15" hidden="false" customHeight="false" outlineLevel="0" collapsed="false">
      <c r="A436" s="0" t="e">
        <f aca="false">IF('CARGAR OPERACIONES'!$B440="",NA(),'CARGAR OPERACIONES'!$A440)</f>
        <v>#N/A</v>
      </c>
      <c r="B436" s="0" t="e">
        <f aca="false">IF('CARGAR OPERACIONES'!$B440="",NA(),'CARGAR OPERACIONES'!$V440)</f>
        <v>#N/A</v>
      </c>
      <c r="C436" s="0" t="e">
        <f aca="false">IF('CARGAR OPERACIONES'!$B440="",NA(),Parametros!$C$6)</f>
        <v>#N/A</v>
      </c>
    </row>
    <row r="437" customFormat="false" ht="15" hidden="false" customHeight="false" outlineLevel="0" collapsed="false">
      <c r="A437" s="0" t="e">
        <f aca="false">IF('CARGAR OPERACIONES'!$B441="",NA(),'CARGAR OPERACIONES'!$A441)</f>
        <v>#N/A</v>
      </c>
      <c r="B437" s="0" t="e">
        <f aca="false">IF('CARGAR OPERACIONES'!$B441="",NA(),'CARGAR OPERACIONES'!$V441)</f>
        <v>#N/A</v>
      </c>
      <c r="C437" s="0" t="e">
        <f aca="false">IF('CARGAR OPERACIONES'!$B441="",NA(),Parametros!$C$6)</f>
        <v>#N/A</v>
      </c>
    </row>
    <row r="438" customFormat="false" ht="15" hidden="false" customHeight="false" outlineLevel="0" collapsed="false">
      <c r="A438" s="0" t="e">
        <f aca="false">IF('CARGAR OPERACIONES'!$B442="",NA(),'CARGAR OPERACIONES'!$A442)</f>
        <v>#N/A</v>
      </c>
      <c r="B438" s="0" t="e">
        <f aca="false">IF('CARGAR OPERACIONES'!$B442="",NA(),'CARGAR OPERACIONES'!$V442)</f>
        <v>#N/A</v>
      </c>
      <c r="C438" s="0" t="e">
        <f aca="false">IF('CARGAR OPERACIONES'!$B442="",NA(),Parametros!$C$6)</f>
        <v>#N/A</v>
      </c>
    </row>
    <row r="439" customFormat="false" ht="15" hidden="false" customHeight="false" outlineLevel="0" collapsed="false">
      <c r="A439" s="0" t="e">
        <f aca="false">IF('CARGAR OPERACIONES'!$B443="",NA(),'CARGAR OPERACIONES'!$A443)</f>
        <v>#N/A</v>
      </c>
      <c r="B439" s="0" t="e">
        <f aca="false">IF('CARGAR OPERACIONES'!$B443="",NA(),'CARGAR OPERACIONES'!$V443)</f>
        <v>#N/A</v>
      </c>
      <c r="C439" s="0" t="e">
        <f aca="false">IF('CARGAR OPERACIONES'!$B443="",NA(),Parametros!$C$6)</f>
        <v>#N/A</v>
      </c>
    </row>
    <row r="440" customFormat="false" ht="15" hidden="false" customHeight="false" outlineLevel="0" collapsed="false">
      <c r="A440" s="0" t="e">
        <f aca="false">IF('CARGAR OPERACIONES'!$B444="",NA(),'CARGAR OPERACIONES'!$A444)</f>
        <v>#N/A</v>
      </c>
      <c r="B440" s="0" t="e">
        <f aca="false">IF('CARGAR OPERACIONES'!$B444="",NA(),'CARGAR OPERACIONES'!$V444)</f>
        <v>#N/A</v>
      </c>
      <c r="C440" s="0" t="e">
        <f aca="false">IF('CARGAR OPERACIONES'!$B444="",NA(),Parametros!$C$6)</f>
        <v>#N/A</v>
      </c>
    </row>
    <row r="441" customFormat="false" ht="15" hidden="false" customHeight="false" outlineLevel="0" collapsed="false">
      <c r="A441" s="0" t="e">
        <f aca="false">IF('CARGAR OPERACIONES'!$B445="",NA(),'CARGAR OPERACIONES'!$A445)</f>
        <v>#N/A</v>
      </c>
      <c r="B441" s="0" t="e">
        <f aca="false">IF('CARGAR OPERACIONES'!$B445="",NA(),'CARGAR OPERACIONES'!$V445)</f>
        <v>#N/A</v>
      </c>
      <c r="C441" s="0" t="e">
        <f aca="false">IF('CARGAR OPERACIONES'!$B445="",NA(),Parametros!$C$6)</f>
        <v>#N/A</v>
      </c>
    </row>
    <row r="442" customFormat="false" ht="15" hidden="false" customHeight="false" outlineLevel="0" collapsed="false">
      <c r="A442" s="0" t="e">
        <f aca="false">IF('CARGAR OPERACIONES'!$B446="",NA(),'CARGAR OPERACIONES'!$A446)</f>
        <v>#N/A</v>
      </c>
      <c r="B442" s="0" t="e">
        <f aca="false">IF('CARGAR OPERACIONES'!$B446="",NA(),'CARGAR OPERACIONES'!$V446)</f>
        <v>#N/A</v>
      </c>
      <c r="C442" s="0" t="e">
        <f aca="false">IF('CARGAR OPERACIONES'!$B446="",NA(),Parametros!$C$6)</f>
        <v>#N/A</v>
      </c>
    </row>
    <row r="443" customFormat="false" ht="15" hidden="false" customHeight="false" outlineLevel="0" collapsed="false">
      <c r="A443" s="0" t="e">
        <f aca="false">IF('CARGAR OPERACIONES'!$B447="",NA(),'CARGAR OPERACIONES'!$A447)</f>
        <v>#N/A</v>
      </c>
      <c r="B443" s="0" t="e">
        <f aca="false">IF('CARGAR OPERACIONES'!$B447="",NA(),'CARGAR OPERACIONES'!$V447)</f>
        <v>#N/A</v>
      </c>
      <c r="C443" s="0" t="e">
        <f aca="false">IF('CARGAR OPERACIONES'!$B447="",NA(),Parametros!$C$6)</f>
        <v>#N/A</v>
      </c>
    </row>
    <row r="444" customFormat="false" ht="15" hidden="false" customHeight="false" outlineLevel="0" collapsed="false">
      <c r="A444" s="0" t="e">
        <f aca="false">IF('CARGAR OPERACIONES'!$B448="",NA(),'CARGAR OPERACIONES'!$A448)</f>
        <v>#N/A</v>
      </c>
      <c r="B444" s="0" t="e">
        <f aca="false">IF('CARGAR OPERACIONES'!$B448="",NA(),'CARGAR OPERACIONES'!$V448)</f>
        <v>#N/A</v>
      </c>
      <c r="C444" s="0" t="e">
        <f aca="false">IF('CARGAR OPERACIONES'!$B448="",NA(),Parametros!$C$6)</f>
        <v>#N/A</v>
      </c>
    </row>
    <row r="445" customFormat="false" ht="15" hidden="false" customHeight="false" outlineLevel="0" collapsed="false">
      <c r="A445" s="0" t="e">
        <f aca="false">IF('CARGAR OPERACIONES'!$B449="",NA(),'CARGAR OPERACIONES'!$A449)</f>
        <v>#N/A</v>
      </c>
      <c r="B445" s="0" t="e">
        <f aca="false">IF('CARGAR OPERACIONES'!$B449="",NA(),'CARGAR OPERACIONES'!$V449)</f>
        <v>#N/A</v>
      </c>
      <c r="C445" s="0" t="e">
        <f aca="false">IF('CARGAR OPERACIONES'!$B449="",NA(),Parametros!$C$6)</f>
        <v>#N/A</v>
      </c>
    </row>
    <row r="446" customFormat="false" ht="15" hidden="false" customHeight="false" outlineLevel="0" collapsed="false">
      <c r="A446" s="0" t="e">
        <f aca="false">IF('CARGAR OPERACIONES'!$B450="",NA(),'CARGAR OPERACIONES'!$A450)</f>
        <v>#N/A</v>
      </c>
      <c r="B446" s="0" t="e">
        <f aca="false">IF('CARGAR OPERACIONES'!$B450="",NA(),'CARGAR OPERACIONES'!$V450)</f>
        <v>#N/A</v>
      </c>
      <c r="C446" s="0" t="e">
        <f aca="false">IF('CARGAR OPERACIONES'!$B450="",NA(),Parametros!$C$6)</f>
        <v>#N/A</v>
      </c>
    </row>
    <row r="447" customFormat="false" ht="15" hidden="false" customHeight="false" outlineLevel="0" collapsed="false">
      <c r="A447" s="0" t="e">
        <f aca="false">IF('CARGAR OPERACIONES'!$B451="",NA(),'CARGAR OPERACIONES'!$A451)</f>
        <v>#N/A</v>
      </c>
      <c r="B447" s="0" t="e">
        <f aca="false">IF('CARGAR OPERACIONES'!$B451="",NA(),'CARGAR OPERACIONES'!$V451)</f>
        <v>#N/A</v>
      </c>
      <c r="C447" s="0" t="e">
        <f aca="false">IF('CARGAR OPERACIONES'!$B451="",NA(),Parametros!$C$6)</f>
        <v>#N/A</v>
      </c>
    </row>
    <row r="448" customFormat="false" ht="15" hidden="false" customHeight="false" outlineLevel="0" collapsed="false">
      <c r="A448" s="0" t="e">
        <f aca="false">IF('CARGAR OPERACIONES'!$B452="",NA(),'CARGAR OPERACIONES'!$A452)</f>
        <v>#N/A</v>
      </c>
      <c r="B448" s="0" t="e">
        <f aca="false">IF('CARGAR OPERACIONES'!$B452="",NA(),'CARGAR OPERACIONES'!$V452)</f>
        <v>#N/A</v>
      </c>
      <c r="C448" s="0" t="e">
        <f aca="false">IF('CARGAR OPERACIONES'!$B452="",NA(),Parametros!$C$6)</f>
        <v>#N/A</v>
      </c>
    </row>
    <row r="449" customFormat="false" ht="15" hidden="false" customHeight="false" outlineLevel="0" collapsed="false">
      <c r="A449" s="0" t="e">
        <f aca="false">IF('CARGAR OPERACIONES'!$B453="",NA(),'CARGAR OPERACIONES'!$A453)</f>
        <v>#N/A</v>
      </c>
      <c r="B449" s="0" t="e">
        <f aca="false">IF('CARGAR OPERACIONES'!$B453="",NA(),'CARGAR OPERACIONES'!$V453)</f>
        <v>#N/A</v>
      </c>
      <c r="C449" s="0" t="e">
        <f aca="false">IF('CARGAR OPERACIONES'!$B453="",NA(),Parametros!$C$6)</f>
        <v>#N/A</v>
      </c>
    </row>
    <row r="450" customFormat="false" ht="15" hidden="false" customHeight="false" outlineLevel="0" collapsed="false">
      <c r="A450" s="0" t="e">
        <f aca="false">IF('CARGAR OPERACIONES'!$B454="",NA(),'CARGAR OPERACIONES'!$A454)</f>
        <v>#N/A</v>
      </c>
      <c r="B450" s="0" t="e">
        <f aca="false">IF('CARGAR OPERACIONES'!$B454="",NA(),'CARGAR OPERACIONES'!$V454)</f>
        <v>#N/A</v>
      </c>
      <c r="C450" s="0" t="e">
        <f aca="false">IF('CARGAR OPERACIONES'!$B454="",NA(),Parametros!$C$6)</f>
        <v>#N/A</v>
      </c>
    </row>
    <row r="451" customFormat="false" ht="15" hidden="false" customHeight="false" outlineLevel="0" collapsed="false">
      <c r="A451" s="0" t="e">
        <f aca="false">IF('CARGAR OPERACIONES'!$B455="",NA(),'CARGAR OPERACIONES'!$A455)</f>
        <v>#N/A</v>
      </c>
      <c r="B451" s="0" t="e">
        <f aca="false">IF('CARGAR OPERACIONES'!$B455="",NA(),'CARGAR OPERACIONES'!$V455)</f>
        <v>#N/A</v>
      </c>
      <c r="C451" s="0" t="e">
        <f aca="false">IF('CARGAR OPERACIONES'!$B455="",NA(),Parametros!$C$6)</f>
        <v>#N/A</v>
      </c>
    </row>
    <row r="452" customFormat="false" ht="15" hidden="false" customHeight="false" outlineLevel="0" collapsed="false">
      <c r="A452" s="0" t="e">
        <f aca="false">IF('CARGAR OPERACIONES'!$B456="",NA(),'CARGAR OPERACIONES'!$A456)</f>
        <v>#N/A</v>
      </c>
      <c r="B452" s="0" t="e">
        <f aca="false">IF('CARGAR OPERACIONES'!$B456="",NA(),'CARGAR OPERACIONES'!$V456)</f>
        <v>#N/A</v>
      </c>
      <c r="C452" s="0" t="e">
        <f aca="false">IF('CARGAR OPERACIONES'!$B456="",NA(),Parametros!$C$6)</f>
        <v>#N/A</v>
      </c>
    </row>
    <row r="453" customFormat="false" ht="15" hidden="false" customHeight="false" outlineLevel="0" collapsed="false">
      <c r="A453" s="0" t="e">
        <f aca="false">IF('CARGAR OPERACIONES'!$B457="",NA(),'CARGAR OPERACIONES'!$A457)</f>
        <v>#N/A</v>
      </c>
      <c r="B453" s="0" t="e">
        <f aca="false">IF('CARGAR OPERACIONES'!$B457="",NA(),'CARGAR OPERACIONES'!$V457)</f>
        <v>#N/A</v>
      </c>
      <c r="C453" s="0" t="e">
        <f aca="false">IF('CARGAR OPERACIONES'!$B457="",NA(),Parametros!$C$6)</f>
        <v>#N/A</v>
      </c>
    </row>
    <row r="454" customFormat="false" ht="15" hidden="false" customHeight="false" outlineLevel="0" collapsed="false">
      <c r="A454" s="0" t="e">
        <f aca="false">IF('CARGAR OPERACIONES'!$B458="",NA(),'CARGAR OPERACIONES'!$A458)</f>
        <v>#N/A</v>
      </c>
      <c r="B454" s="0" t="e">
        <f aca="false">IF('CARGAR OPERACIONES'!$B458="",NA(),'CARGAR OPERACIONES'!$V458)</f>
        <v>#N/A</v>
      </c>
      <c r="C454" s="0" t="e">
        <f aca="false">IF('CARGAR OPERACIONES'!$B458="",NA(),Parametros!$C$6)</f>
        <v>#N/A</v>
      </c>
    </row>
    <row r="455" customFormat="false" ht="15" hidden="false" customHeight="false" outlineLevel="0" collapsed="false">
      <c r="A455" s="0" t="e">
        <f aca="false">IF('CARGAR OPERACIONES'!$B459="",NA(),'CARGAR OPERACIONES'!$A459)</f>
        <v>#N/A</v>
      </c>
      <c r="B455" s="0" t="e">
        <f aca="false">IF('CARGAR OPERACIONES'!$B459="",NA(),'CARGAR OPERACIONES'!$V459)</f>
        <v>#N/A</v>
      </c>
      <c r="C455" s="0" t="e">
        <f aca="false">IF('CARGAR OPERACIONES'!$B459="",NA(),Parametros!$C$6)</f>
        <v>#N/A</v>
      </c>
    </row>
    <row r="456" customFormat="false" ht="15" hidden="false" customHeight="false" outlineLevel="0" collapsed="false">
      <c r="A456" s="0" t="e">
        <f aca="false">IF('CARGAR OPERACIONES'!$B460="",NA(),'CARGAR OPERACIONES'!$A460)</f>
        <v>#N/A</v>
      </c>
      <c r="B456" s="0" t="e">
        <f aca="false">IF('CARGAR OPERACIONES'!$B460="",NA(),'CARGAR OPERACIONES'!$V460)</f>
        <v>#N/A</v>
      </c>
      <c r="C456" s="0" t="e">
        <f aca="false">IF('CARGAR OPERACIONES'!$B460="",NA(),Parametros!$C$6)</f>
        <v>#N/A</v>
      </c>
    </row>
    <row r="457" customFormat="false" ht="15" hidden="false" customHeight="false" outlineLevel="0" collapsed="false">
      <c r="A457" s="0" t="e">
        <f aca="false">IF('CARGAR OPERACIONES'!$B461="",NA(),'CARGAR OPERACIONES'!$A461)</f>
        <v>#N/A</v>
      </c>
      <c r="B457" s="0" t="e">
        <f aca="false">IF('CARGAR OPERACIONES'!$B461="",NA(),'CARGAR OPERACIONES'!$V461)</f>
        <v>#N/A</v>
      </c>
      <c r="C457" s="0" t="e">
        <f aca="false">IF('CARGAR OPERACIONES'!$B461="",NA(),Parametros!$C$6)</f>
        <v>#N/A</v>
      </c>
    </row>
    <row r="458" customFormat="false" ht="15" hidden="false" customHeight="false" outlineLevel="0" collapsed="false">
      <c r="A458" s="0" t="e">
        <f aca="false">IF('CARGAR OPERACIONES'!$B462="",NA(),'CARGAR OPERACIONES'!$A462)</f>
        <v>#N/A</v>
      </c>
      <c r="B458" s="0" t="e">
        <f aca="false">IF('CARGAR OPERACIONES'!$B462="",NA(),'CARGAR OPERACIONES'!$V462)</f>
        <v>#N/A</v>
      </c>
      <c r="C458" s="0" t="e">
        <f aca="false">IF('CARGAR OPERACIONES'!$B462="",NA(),Parametros!$C$6)</f>
        <v>#N/A</v>
      </c>
    </row>
    <row r="459" customFormat="false" ht="15" hidden="false" customHeight="false" outlineLevel="0" collapsed="false">
      <c r="A459" s="0" t="e">
        <f aca="false">IF('CARGAR OPERACIONES'!$B463="",NA(),'CARGAR OPERACIONES'!$A463)</f>
        <v>#N/A</v>
      </c>
      <c r="B459" s="0" t="e">
        <f aca="false">IF('CARGAR OPERACIONES'!$B463="",NA(),'CARGAR OPERACIONES'!$V463)</f>
        <v>#N/A</v>
      </c>
      <c r="C459" s="0" t="e">
        <f aca="false">IF('CARGAR OPERACIONES'!$B463="",NA(),Parametros!$C$6)</f>
        <v>#N/A</v>
      </c>
    </row>
    <row r="460" customFormat="false" ht="15" hidden="false" customHeight="false" outlineLevel="0" collapsed="false">
      <c r="A460" s="0" t="e">
        <f aca="false">IF('CARGAR OPERACIONES'!$B464="",NA(),'CARGAR OPERACIONES'!$A464)</f>
        <v>#N/A</v>
      </c>
      <c r="B460" s="0" t="e">
        <f aca="false">IF('CARGAR OPERACIONES'!$B464="",NA(),'CARGAR OPERACIONES'!$V464)</f>
        <v>#N/A</v>
      </c>
      <c r="C460" s="0" t="e">
        <f aca="false">IF('CARGAR OPERACIONES'!$B464="",NA(),Parametros!$C$6)</f>
        <v>#N/A</v>
      </c>
    </row>
    <row r="461" customFormat="false" ht="15" hidden="false" customHeight="false" outlineLevel="0" collapsed="false">
      <c r="A461" s="0" t="e">
        <f aca="false">IF('CARGAR OPERACIONES'!$B465="",NA(),'CARGAR OPERACIONES'!$A465)</f>
        <v>#N/A</v>
      </c>
      <c r="B461" s="0" t="e">
        <f aca="false">IF('CARGAR OPERACIONES'!$B465="",NA(),'CARGAR OPERACIONES'!$V465)</f>
        <v>#N/A</v>
      </c>
      <c r="C461" s="0" t="e">
        <f aca="false">IF('CARGAR OPERACIONES'!$B465="",NA(),Parametros!$C$6)</f>
        <v>#N/A</v>
      </c>
    </row>
    <row r="462" customFormat="false" ht="15" hidden="false" customHeight="false" outlineLevel="0" collapsed="false">
      <c r="A462" s="0" t="e">
        <f aca="false">IF('CARGAR OPERACIONES'!$B466="",NA(),'CARGAR OPERACIONES'!$A466)</f>
        <v>#N/A</v>
      </c>
      <c r="B462" s="0" t="e">
        <f aca="false">IF('CARGAR OPERACIONES'!$B466="",NA(),'CARGAR OPERACIONES'!$V466)</f>
        <v>#N/A</v>
      </c>
      <c r="C462" s="0" t="e">
        <f aca="false">IF('CARGAR OPERACIONES'!$B466="",NA(),Parametros!$C$6)</f>
        <v>#N/A</v>
      </c>
    </row>
    <row r="463" customFormat="false" ht="15" hidden="false" customHeight="false" outlineLevel="0" collapsed="false">
      <c r="A463" s="0" t="e">
        <f aca="false">IF('CARGAR OPERACIONES'!$B467="",NA(),'CARGAR OPERACIONES'!$A467)</f>
        <v>#N/A</v>
      </c>
      <c r="B463" s="0" t="e">
        <f aca="false">IF('CARGAR OPERACIONES'!$B467="",NA(),'CARGAR OPERACIONES'!$V467)</f>
        <v>#N/A</v>
      </c>
      <c r="C463" s="0" t="e">
        <f aca="false">IF('CARGAR OPERACIONES'!$B467="",NA(),Parametros!$C$6)</f>
        <v>#N/A</v>
      </c>
    </row>
    <row r="464" customFormat="false" ht="15" hidden="false" customHeight="false" outlineLevel="0" collapsed="false">
      <c r="A464" s="0" t="e">
        <f aca="false">IF('CARGAR OPERACIONES'!$B468="",NA(),'CARGAR OPERACIONES'!$A468)</f>
        <v>#N/A</v>
      </c>
      <c r="B464" s="0" t="e">
        <f aca="false">IF('CARGAR OPERACIONES'!$B468="",NA(),'CARGAR OPERACIONES'!$V468)</f>
        <v>#N/A</v>
      </c>
      <c r="C464" s="0" t="e">
        <f aca="false">IF('CARGAR OPERACIONES'!$B468="",NA(),Parametros!$C$6)</f>
        <v>#N/A</v>
      </c>
    </row>
    <row r="465" customFormat="false" ht="15" hidden="false" customHeight="false" outlineLevel="0" collapsed="false">
      <c r="A465" s="0" t="e">
        <f aca="false">IF('CARGAR OPERACIONES'!$B469="",NA(),'CARGAR OPERACIONES'!$A469)</f>
        <v>#N/A</v>
      </c>
      <c r="B465" s="0" t="e">
        <f aca="false">IF('CARGAR OPERACIONES'!$B469="",NA(),'CARGAR OPERACIONES'!$V469)</f>
        <v>#N/A</v>
      </c>
      <c r="C465" s="0" t="e">
        <f aca="false">IF('CARGAR OPERACIONES'!$B469="",NA(),Parametros!$C$6)</f>
        <v>#N/A</v>
      </c>
    </row>
    <row r="466" customFormat="false" ht="15" hidden="false" customHeight="false" outlineLevel="0" collapsed="false">
      <c r="A466" s="0" t="e">
        <f aca="false">IF('CARGAR OPERACIONES'!$B470="",NA(),'CARGAR OPERACIONES'!$A470)</f>
        <v>#N/A</v>
      </c>
      <c r="B466" s="0" t="e">
        <f aca="false">IF('CARGAR OPERACIONES'!$B470="",NA(),'CARGAR OPERACIONES'!$V470)</f>
        <v>#N/A</v>
      </c>
      <c r="C466" s="0" t="e">
        <f aca="false">IF('CARGAR OPERACIONES'!$B470="",NA(),Parametros!$C$6)</f>
        <v>#N/A</v>
      </c>
    </row>
    <row r="467" customFormat="false" ht="15" hidden="false" customHeight="false" outlineLevel="0" collapsed="false">
      <c r="A467" s="0" t="e">
        <f aca="false">IF('CARGAR OPERACIONES'!$B471="",NA(),'CARGAR OPERACIONES'!$A471)</f>
        <v>#N/A</v>
      </c>
      <c r="B467" s="0" t="e">
        <f aca="false">IF('CARGAR OPERACIONES'!$B471="",NA(),'CARGAR OPERACIONES'!$V471)</f>
        <v>#N/A</v>
      </c>
      <c r="C467" s="0" t="e">
        <f aca="false">IF('CARGAR OPERACIONES'!$B471="",NA(),Parametros!$C$6)</f>
        <v>#N/A</v>
      </c>
    </row>
    <row r="468" customFormat="false" ht="15" hidden="false" customHeight="false" outlineLevel="0" collapsed="false">
      <c r="A468" s="0" t="e">
        <f aca="false">IF('CARGAR OPERACIONES'!$B472="",NA(),'CARGAR OPERACIONES'!$A472)</f>
        <v>#N/A</v>
      </c>
      <c r="B468" s="0" t="e">
        <f aca="false">IF('CARGAR OPERACIONES'!$B472="",NA(),'CARGAR OPERACIONES'!$V472)</f>
        <v>#N/A</v>
      </c>
      <c r="C468" s="0" t="e">
        <f aca="false">IF('CARGAR OPERACIONES'!$B472="",NA(),Parametros!$C$6)</f>
        <v>#N/A</v>
      </c>
    </row>
    <row r="469" customFormat="false" ht="15" hidden="false" customHeight="false" outlineLevel="0" collapsed="false">
      <c r="A469" s="0" t="e">
        <f aca="false">IF('CARGAR OPERACIONES'!$B473="",NA(),'CARGAR OPERACIONES'!$A473)</f>
        <v>#N/A</v>
      </c>
      <c r="B469" s="0" t="e">
        <f aca="false">IF('CARGAR OPERACIONES'!$B473="",NA(),'CARGAR OPERACIONES'!$V473)</f>
        <v>#N/A</v>
      </c>
      <c r="C469" s="0" t="e">
        <f aca="false">IF('CARGAR OPERACIONES'!$B473="",NA(),Parametros!$C$6)</f>
        <v>#N/A</v>
      </c>
    </row>
    <row r="470" customFormat="false" ht="15" hidden="false" customHeight="false" outlineLevel="0" collapsed="false">
      <c r="A470" s="0" t="e">
        <f aca="false">IF('CARGAR OPERACIONES'!$B474="",NA(),'CARGAR OPERACIONES'!$A474)</f>
        <v>#N/A</v>
      </c>
      <c r="B470" s="0" t="e">
        <f aca="false">IF('CARGAR OPERACIONES'!$B474="",NA(),'CARGAR OPERACIONES'!$V474)</f>
        <v>#N/A</v>
      </c>
      <c r="C470" s="0" t="e">
        <f aca="false">IF('CARGAR OPERACIONES'!$B474="",NA(),Parametros!$C$6)</f>
        <v>#N/A</v>
      </c>
    </row>
    <row r="471" customFormat="false" ht="15" hidden="false" customHeight="false" outlineLevel="0" collapsed="false">
      <c r="A471" s="0" t="e">
        <f aca="false">IF('CARGAR OPERACIONES'!$B475="",NA(),'CARGAR OPERACIONES'!$A475)</f>
        <v>#N/A</v>
      </c>
      <c r="B471" s="0" t="e">
        <f aca="false">IF('CARGAR OPERACIONES'!$B475="",NA(),'CARGAR OPERACIONES'!$V475)</f>
        <v>#N/A</v>
      </c>
      <c r="C471" s="0" t="e">
        <f aca="false">IF('CARGAR OPERACIONES'!$B475="",NA(),Parametros!$C$6)</f>
        <v>#N/A</v>
      </c>
    </row>
    <row r="472" customFormat="false" ht="15" hidden="false" customHeight="false" outlineLevel="0" collapsed="false">
      <c r="A472" s="0" t="e">
        <f aca="false">IF('CARGAR OPERACIONES'!$B476="",NA(),'CARGAR OPERACIONES'!$A476)</f>
        <v>#N/A</v>
      </c>
      <c r="B472" s="0" t="e">
        <f aca="false">IF('CARGAR OPERACIONES'!$B476="",NA(),'CARGAR OPERACIONES'!$V476)</f>
        <v>#N/A</v>
      </c>
      <c r="C472" s="0" t="e">
        <f aca="false">IF('CARGAR OPERACIONES'!$B476="",NA(),Parametros!$C$6)</f>
        <v>#N/A</v>
      </c>
    </row>
    <row r="473" customFormat="false" ht="15" hidden="false" customHeight="false" outlineLevel="0" collapsed="false">
      <c r="A473" s="0" t="e">
        <f aca="false">IF('CARGAR OPERACIONES'!$B477="",NA(),'CARGAR OPERACIONES'!$A477)</f>
        <v>#N/A</v>
      </c>
      <c r="B473" s="0" t="e">
        <f aca="false">IF('CARGAR OPERACIONES'!$B477="",NA(),'CARGAR OPERACIONES'!$V477)</f>
        <v>#N/A</v>
      </c>
      <c r="C473" s="0" t="e">
        <f aca="false">IF('CARGAR OPERACIONES'!$B477="",NA(),Parametros!$C$6)</f>
        <v>#N/A</v>
      </c>
    </row>
    <row r="474" customFormat="false" ht="15" hidden="false" customHeight="false" outlineLevel="0" collapsed="false">
      <c r="A474" s="0" t="e">
        <f aca="false">IF('CARGAR OPERACIONES'!$B478="",NA(),'CARGAR OPERACIONES'!$A478)</f>
        <v>#N/A</v>
      </c>
      <c r="B474" s="0" t="e">
        <f aca="false">IF('CARGAR OPERACIONES'!$B478="",NA(),'CARGAR OPERACIONES'!$V478)</f>
        <v>#N/A</v>
      </c>
      <c r="C474" s="0" t="e">
        <f aca="false">IF('CARGAR OPERACIONES'!$B478="",NA(),Parametros!$C$6)</f>
        <v>#N/A</v>
      </c>
    </row>
    <row r="475" customFormat="false" ht="15" hidden="false" customHeight="false" outlineLevel="0" collapsed="false">
      <c r="A475" s="0" t="e">
        <f aca="false">IF('CARGAR OPERACIONES'!$B479="",NA(),'CARGAR OPERACIONES'!$A479)</f>
        <v>#N/A</v>
      </c>
      <c r="B475" s="0" t="e">
        <f aca="false">IF('CARGAR OPERACIONES'!$B479="",NA(),'CARGAR OPERACIONES'!$V479)</f>
        <v>#N/A</v>
      </c>
      <c r="C475" s="0" t="e">
        <f aca="false">IF('CARGAR OPERACIONES'!$B479="",NA(),Parametros!$C$6)</f>
        <v>#N/A</v>
      </c>
    </row>
    <row r="476" customFormat="false" ht="15" hidden="false" customHeight="false" outlineLevel="0" collapsed="false">
      <c r="A476" s="0" t="e">
        <f aca="false">IF('CARGAR OPERACIONES'!$B480="",NA(),'CARGAR OPERACIONES'!$A480)</f>
        <v>#N/A</v>
      </c>
      <c r="B476" s="0" t="e">
        <f aca="false">IF('CARGAR OPERACIONES'!$B480="",NA(),'CARGAR OPERACIONES'!$V480)</f>
        <v>#N/A</v>
      </c>
      <c r="C476" s="0" t="e">
        <f aca="false">IF('CARGAR OPERACIONES'!$B480="",NA(),Parametros!$C$6)</f>
        <v>#N/A</v>
      </c>
    </row>
    <row r="477" customFormat="false" ht="15" hidden="false" customHeight="false" outlineLevel="0" collapsed="false">
      <c r="A477" s="0" t="e">
        <f aca="false">IF('CARGAR OPERACIONES'!$B481="",NA(),'CARGAR OPERACIONES'!$A481)</f>
        <v>#N/A</v>
      </c>
      <c r="B477" s="0" t="e">
        <f aca="false">IF('CARGAR OPERACIONES'!$B481="",NA(),'CARGAR OPERACIONES'!$V481)</f>
        <v>#N/A</v>
      </c>
      <c r="C477" s="0" t="e">
        <f aca="false">IF('CARGAR OPERACIONES'!$B481="",NA(),Parametros!$C$6)</f>
        <v>#N/A</v>
      </c>
    </row>
    <row r="478" customFormat="false" ht="15" hidden="false" customHeight="false" outlineLevel="0" collapsed="false">
      <c r="A478" s="0" t="e">
        <f aca="false">IF('CARGAR OPERACIONES'!$B482="",NA(),'CARGAR OPERACIONES'!$A482)</f>
        <v>#N/A</v>
      </c>
      <c r="B478" s="0" t="e">
        <f aca="false">IF('CARGAR OPERACIONES'!$B482="",NA(),'CARGAR OPERACIONES'!$V482)</f>
        <v>#N/A</v>
      </c>
      <c r="C478" s="0" t="e">
        <f aca="false">IF('CARGAR OPERACIONES'!$B482="",NA(),Parametros!$C$6)</f>
        <v>#N/A</v>
      </c>
    </row>
    <row r="479" customFormat="false" ht="15" hidden="false" customHeight="false" outlineLevel="0" collapsed="false">
      <c r="A479" s="0" t="e">
        <f aca="false">IF('CARGAR OPERACIONES'!$B483="",NA(),'CARGAR OPERACIONES'!$A483)</f>
        <v>#N/A</v>
      </c>
      <c r="B479" s="0" t="e">
        <f aca="false">IF('CARGAR OPERACIONES'!$B483="",NA(),'CARGAR OPERACIONES'!$V483)</f>
        <v>#N/A</v>
      </c>
      <c r="C479" s="0" t="e">
        <f aca="false">IF('CARGAR OPERACIONES'!$B483="",NA(),Parametros!$C$6)</f>
        <v>#N/A</v>
      </c>
    </row>
    <row r="480" customFormat="false" ht="15" hidden="false" customHeight="false" outlineLevel="0" collapsed="false">
      <c r="A480" s="0" t="e">
        <f aca="false">IF('CARGAR OPERACIONES'!$B484="",NA(),'CARGAR OPERACIONES'!$A484)</f>
        <v>#N/A</v>
      </c>
      <c r="B480" s="0" t="e">
        <f aca="false">IF('CARGAR OPERACIONES'!$B484="",NA(),'CARGAR OPERACIONES'!$V484)</f>
        <v>#N/A</v>
      </c>
      <c r="C480" s="0" t="e">
        <f aca="false">IF('CARGAR OPERACIONES'!$B484="",NA(),Parametros!$C$6)</f>
        <v>#N/A</v>
      </c>
    </row>
    <row r="481" customFormat="false" ht="15" hidden="false" customHeight="false" outlineLevel="0" collapsed="false">
      <c r="A481" s="0" t="e">
        <f aca="false">IF('CARGAR OPERACIONES'!$B485="",NA(),'CARGAR OPERACIONES'!$A485)</f>
        <v>#N/A</v>
      </c>
      <c r="B481" s="0" t="e">
        <f aca="false">IF('CARGAR OPERACIONES'!$B485="",NA(),'CARGAR OPERACIONES'!$V485)</f>
        <v>#N/A</v>
      </c>
      <c r="C481" s="0" t="e">
        <f aca="false">IF('CARGAR OPERACIONES'!$B485="",NA(),Parametros!$C$6)</f>
        <v>#N/A</v>
      </c>
    </row>
    <row r="482" customFormat="false" ht="15" hidden="false" customHeight="false" outlineLevel="0" collapsed="false">
      <c r="A482" s="0" t="e">
        <f aca="false">IF('CARGAR OPERACIONES'!$B486="",NA(),'CARGAR OPERACIONES'!$A486)</f>
        <v>#N/A</v>
      </c>
      <c r="B482" s="0" t="e">
        <f aca="false">IF('CARGAR OPERACIONES'!$B486="",NA(),'CARGAR OPERACIONES'!$V486)</f>
        <v>#N/A</v>
      </c>
      <c r="C482" s="0" t="e">
        <f aca="false">IF('CARGAR OPERACIONES'!$B486="",NA(),Parametros!$C$6)</f>
        <v>#N/A</v>
      </c>
    </row>
    <row r="483" customFormat="false" ht="15" hidden="false" customHeight="false" outlineLevel="0" collapsed="false">
      <c r="A483" s="0" t="e">
        <f aca="false">IF('CARGAR OPERACIONES'!$B487="",NA(),'CARGAR OPERACIONES'!$A487)</f>
        <v>#N/A</v>
      </c>
      <c r="B483" s="0" t="e">
        <f aca="false">IF('CARGAR OPERACIONES'!$B487="",NA(),'CARGAR OPERACIONES'!$V487)</f>
        <v>#N/A</v>
      </c>
      <c r="C483" s="0" t="e">
        <f aca="false">IF('CARGAR OPERACIONES'!$B487="",NA(),Parametros!$C$6)</f>
        <v>#N/A</v>
      </c>
    </row>
    <row r="484" customFormat="false" ht="15" hidden="false" customHeight="false" outlineLevel="0" collapsed="false">
      <c r="A484" s="0" t="e">
        <f aca="false">IF('CARGAR OPERACIONES'!$B488="",NA(),'CARGAR OPERACIONES'!$A488)</f>
        <v>#N/A</v>
      </c>
      <c r="B484" s="0" t="e">
        <f aca="false">IF('CARGAR OPERACIONES'!$B488="",NA(),'CARGAR OPERACIONES'!$V488)</f>
        <v>#N/A</v>
      </c>
      <c r="C484" s="0" t="e">
        <f aca="false">IF('CARGAR OPERACIONES'!$B488="",NA(),Parametros!$C$6)</f>
        <v>#N/A</v>
      </c>
    </row>
    <row r="485" customFormat="false" ht="15" hidden="false" customHeight="false" outlineLevel="0" collapsed="false">
      <c r="A485" s="0" t="e">
        <f aca="false">IF('CARGAR OPERACIONES'!$B489="",NA(),'CARGAR OPERACIONES'!$A489)</f>
        <v>#N/A</v>
      </c>
      <c r="B485" s="0" t="e">
        <f aca="false">IF('CARGAR OPERACIONES'!$B489="",NA(),'CARGAR OPERACIONES'!$V489)</f>
        <v>#N/A</v>
      </c>
      <c r="C485" s="0" t="e">
        <f aca="false">IF('CARGAR OPERACIONES'!$B489="",NA(),Parametros!$C$6)</f>
        <v>#N/A</v>
      </c>
    </row>
    <row r="486" customFormat="false" ht="15" hidden="false" customHeight="false" outlineLevel="0" collapsed="false">
      <c r="A486" s="0" t="e">
        <f aca="false">IF('CARGAR OPERACIONES'!$B490="",NA(),'CARGAR OPERACIONES'!$A490)</f>
        <v>#N/A</v>
      </c>
      <c r="B486" s="0" t="e">
        <f aca="false">IF('CARGAR OPERACIONES'!$B490="",NA(),'CARGAR OPERACIONES'!$V490)</f>
        <v>#N/A</v>
      </c>
      <c r="C486" s="0" t="e">
        <f aca="false">IF('CARGAR OPERACIONES'!$B490="",NA(),Parametros!$C$6)</f>
        <v>#N/A</v>
      </c>
    </row>
    <row r="487" customFormat="false" ht="15" hidden="false" customHeight="false" outlineLevel="0" collapsed="false">
      <c r="A487" s="0" t="e">
        <f aca="false">IF('CARGAR OPERACIONES'!$B491="",NA(),'CARGAR OPERACIONES'!$A491)</f>
        <v>#N/A</v>
      </c>
      <c r="B487" s="0" t="e">
        <f aca="false">IF('CARGAR OPERACIONES'!$B491="",NA(),'CARGAR OPERACIONES'!$V491)</f>
        <v>#N/A</v>
      </c>
      <c r="C487" s="0" t="e">
        <f aca="false">IF('CARGAR OPERACIONES'!$B491="",NA(),Parametros!$C$6)</f>
        <v>#N/A</v>
      </c>
    </row>
    <row r="488" customFormat="false" ht="15" hidden="false" customHeight="false" outlineLevel="0" collapsed="false">
      <c r="A488" s="0" t="e">
        <f aca="false">IF('CARGAR OPERACIONES'!$B492="",NA(),'CARGAR OPERACIONES'!$A492)</f>
        <v>#N/A</v>
      </c>
      <c r="B488" s="0" t="e">
        <f aca="false">IF('CARGAR OPERACIONES'!$B492="",NA(),'CARGAR OPERACIONES'!$V492)</f>
        <v>#N/A</v>
      </c>
      <c r="C488" s="0" t="e">
        <f aca="false">IF('CARGAR OPERACIONES'!$B492="",NA(),Parametros!$C$6)</f>
        <v>#N/A</v>
      </c>
    </row>
    <row r="489" customFormat="false" ht="15" hidden="false" customHeight="false" outlineLevel="0" collapsed="false">
      <c r="A489" s="0" t="e">
        <f aca="false">IF('CARGAR OPERACIONES'!$B493="",NA(),'CARGAR OPERACIONES'!$A493)</f>
        <v>#N/A</v>
      </c>
      <c r="B489" s="0" t="e">
        <f aca="false">IF('CARGAR OPERACIONES'!$B493="",NA(),'CARGAR OPERACIONES'!$V493)</f>
        <v>#N/A</v>
      </c>
      <c r="C489" s="0" t="e">
        <f aca="false">IF('CARGAR OPERACIONES'!$B493="",NA(),Parametros!$C$6)</f>
        <v>#N/A</v>
      </c>
    </row>
    <row r="490" customFormat="false" ht="15" hidden="false" customHeight="false" outlineLevel="0" collapsed="false">
      <c r="A490" s="0" t="e">
        <f aca="false">IF('CARGAR OPERACIONES'!$B494="",NA(),'CARGAR OPERACIONES'!$A494)</f>
        <v>#N/A</v>
      </c>
      <c r="B490" s="0" t="e">
        <f aca="false">IF('CARGAR OPERACIONES'!$B494="",NA(),'CARGAR OPERACIONES'!$V494)</f>
        <v>#N/A</v>
      </c>
      <c r="C490" s="0" t="e">
        <f aca="false">IF('CARGAR OPERACIONES'!$B494="",NA(),Parametros!$C$6)</f>
        <v>#N/A</v>
      </c>
    </row>
    <row r="491" customFormat="false" ht="15" hidden="false" customHeight="false" outlineLevel="0" collapsed="false">
      <c r="A491" s="0" t="e">
        <f aca="false">IF('CARGAR OPERACIONES'!$B495="",NA(),'CARGAR OPERACIONES'!$A495)</f>
        <v>#N/A</v>
      </c>
      <c r="B491" s="0" t="e">
        <f aca="false">IF('CARGAR OPERACIONES'!$B495="",NA(),'CARGAR OPERACIONES'!$V495)</f>
        <v>#N/A</v>
      </c>
      <c r="C491" s="0" t="e">
        <f aca="false">IF('CARGAR OPERACIONES'!$B495="",NA(),Parametros!$C$6)</f>
        <v>#N/A</v>
      </c>
    </row>
    <row r="492" customFormat="false" ht="15" hidden="false" customHeight="false" outlineLevel="0" collapsed="false">
      <c r="A492" s="0" t="e">
        <f aca="false">IF('CARGAR OPERACIONES'!$B496="",NA(),'CARGAR OPERACIONES'!$A496)</f>
        <v>#N/A</v>
      </c>
      <c r="B492" s="0" t="e">
        <f aca="false">IF('CARGAR OPERACIONES'!$B496="",NA(),'CARGAR OPERACIONES'!$V496)</f>
        <v>#N/A</v>
      </c>
      <c r="C492" s="0" t="e">
        <f aca="false">IF('CARGAR OPERACIONES'!$B496="",NA(),Parametros!$C$6)</f>
        <v>#N/A</v>
      </c>
    </row>
    <row r="493" customFormat="false" ht="15" hidden="false" customHeight="false" outlineLevel="0" collapsed="false">
      <c r="A493" s="0" t="e">
        <f aca="false">IF('CARGAR OPERACIONES'!$B497="",NA(),'CARGAR OPERACIONES'!$A497)</f>
        <v>#N/A</v>
      </c>
      <c r="B493" s="0" t="e">
        <f aca="false">IF('CARGAR OPERACIONES'!$B497="",NA(),'CARGAR OPERACIONES'!$V497)</f>
        <v>#N/A</v>
      </c>
      <c r="C493" s="0" t="e">
        <f aca="false">IF('CARGAR OPERACIONES'!$B497="",NA(),Parametros!$C$6)</f>
        <v>#N/A</v>
      </c>
    </row>
    <row r="494" customFormat="false" ht="15" hidden="false" customHeight="false" outlineLevel="0" collapsed="false">
      <c r="A494" s="0" t="e">
        <f aca="false">IF('CARGAR OPERACIONES'!$B498="",NA(),'CARGAR OPERACIONES'!$A498)</f>
        <v>#N/A</v>
      </c>
      <c r="B494" s="0" t="e">
        <f aca="false">IF('CARGAR OPERACIONES'!$B498="",NA(),'CARGAR OPERACIONES'!$V498)</f>
        <v>#N/A</v>
      </c>
      <c r="C494" s="0" t="e">
        <f aca="false">IF('CARGAR OPERACIONES'!$B498="",NA(),Parametros!$C$6)</f>
        <v>#N/A</v>
      </c>
    </row>
    <row r="495" customFormat="false" ht="15" hidden="false" customHeight="false" outlineLevel="0" collapsed="false">
      <c r="A495" s="0" t="e">
        <f aca="false">IF('CARGAR OPERACIONES'!$B499="",NA(),'CARGAR OPERACIONES'!$A499)</f>
        <v>#N/A</v>
      </c>
      <c r="B495" s="0" t="e">
        <f aca="false">IF('CARGAR OPERACIONES'!$B499="",NA(),'CARGAR OPERACIONES'!$V499)</f>
        <v>#N/A</v>
      </c>
      <c r="C495" s="0" t="e">
        <f aca="false">IF('CARGAR OPERACIONES'!$B499="",NA(),Parametros!$C$6)</f>
        <v>#N/A</v>
      </c>
    </row>
    <row r="496" customFormat="false" ht="15" hidden="false" customHeight="false" outlineLevel="0" collapsed="false">
      <c r="A496" s="0" t="e">
        <f aca="false">IF('CARGAR OPERACIONES'!$B500="",NA(),'CARGAR OPERACIONES'!$A500)</f>
        <v>#N/A</v>
      </c>
      <c r="B496" s="0" t="e">
        <f aca="false">IF('CARGAR OPERACIONES'!$B500="",NA(),'CARGAR OPERACIONES'!$V500)</f>
        <v>#N/A</v>
      </c>
      <c r="C496" s="0" t="e">
        <f aca="false">IF('CARGAR OPERACIONES'!$B500="",NA(),Parametros!$C$6)</f>
        <v>#N/A</v>
      </c>
    </row>
    <row r="497" customFormat="false" ht="15" hidden="false" customHeight="false" outlineLevel="0" collapsed="false">
      <c r="A497" s="0" t="e">
        <f aca="false">IF('CARGAR OPERACIONES'!$B501="",NA(),'CARGAR OPERACIONES'!$A501)</f>
        <v>#N/A</v>
      </c>
      <c r="B497" s="0" t="e">
        <f aca="false">IF('CARGAR OPERACIONES'!$B501="",NA(),'CARGAR OPERACIONES'!$V501)</f>
        <v>#N/A</v>
      </c>
      <c r="C497" s="0" t="e">
        <f aca="false">IF('CARGAR OPERACIONES'!$B501="",NA(),Parametros!$C$6)</f>
        <v>#N/A</v>
      </c>
    </row>
    <row r="498" customFormat="false" ht="15" hidden="false" customHeight="false" outlineLevel="0" collapsed="false">
      <c r="A498" s="0" t="e">
        <f aca="false">IF('CARGAR OPERACIONES'!$B502="",NA(),'CARGAR OPERACIONES'!$A502)</f>
        <v>#N/A</v>
      </c>
      <c r="B498" s="0" t="e">
        <f aca="false">IF('CARGAR OPERACIONES'!$B502="",NA(),'CARGAR OPERACIONES'!$V502)</f>
        <v>#N/A</v>
      </c>
      <c r="C498" s="0" t="e">
        <f aca="false">IF('CARGAR OPERACIONES'!$B502="",NA(),Parametros!$C$6)</f>
        <v>#N/A</v>
      </c>
    </row>
    <row r="499" customFormat="false" ht="15" hidden="false" customHeight="false" outlineLevel="0" collapsed="false">
      <c r="A499" s="0" t="e">
        <f aca="false">IF('CARGAR OPERACIONES'!$B503="",NA(),'CARGAR OPERACIONES'!$A503)</f>
        <v>#N/A</v>
      </c>
      <c r="B499" s="0" t="e">
        <f aca="false">IF('CARGAR OPERACIONES'!$B503="",NA(),'CARGAR OPERACIONES'!$V503)</f>
        <v>#N/A</v>
      </c>
      <c r="C499" s="0" t="e">
        <f aca="false">IF('CARGAR OPERACIONES'!$B503="",NA(),Parametros!$C$6)</f>
        <v>#N/A</v>
      </c>
    </row>
    <row r="500" customFormat="false" ht="15" hidden="false" customHeight="false" outlineLevel="0" collapsed="false">
      <c r="A500" s="0" t="e">
        <f aca="false">IF('CARGAR OPERACIONES'!$B504="",NA(),'CARGAR OPERACIONES'!$A504)</f>
        <v>#N/A</v>
      </c>
      <c r="B500" s="0" t="e">
        <f aca="false">IF('CARGAR OPERACIONES'!$B504="",NA(),'CARGAR OPERACIONES'!$V504)</f>
        <v>#N/A</v>
      </c>
      <c r="C500" s="0" t="e">
        <f aca="false">IF('CARGAR OPERACIONES'!$B504="",NA(),Parametros!$C$6)</f>
        <v>#N/A</v>
      </c>
    </row>
    <row r="501" customFormat="false" ht="15" hidden="false" customHeight="false" outlineLevel="0" collapsed="false">
      <c r="A501" s="0" t="e">
        <f aca="false">IF('CARGAR OPERACIONES'!$B505="",NA(),'CARGAR OPERACIONES'!$A505)</f>
        <v>#N/A</v>
      </c>
      <c r="B501" s="0" t="e">
        <f aca="false">IF('CARGAR OPERACIONES'!$B505="",NA(),'CARGAR OPERACIONES'!$V505)</f>
        <v>#N/A</v>
      </c>
      <c r="C501" s="0" t="e">
        <f aca="false">IF('CARGAR OPERACIONES'!$B505="",NA(),Parametros!$C$6)</f>
        <v>#N/A</v>
      </c>
    </row>
    <row r="502" customFormat="false" ht="15" hidden="false" customHeight="false" outlineLevel="0" collapsed="false">
      <c r="A502" s="0" t="e">
        <f aca="false">IF('CARGAR OPERACIONES'!$B506="",NA(),'CARGAR OPERACIONES'!$A506)</f>
        <v>#N/A</v>
      </c>
      <c r="B502" s="0" t="e">
        <f aca="false">IF('CARGAR OPERACIONES'!$B506="",NA(),'CARGAR OPERACIONES'!$V506)</f>
        <v>#N/A</v>
      </c>
      <c r="C502" s="0" t="e">
        <f aca="false">IF('CARGAR OPERACIONES'!$B506="",NA(),Parametros!$C$6)</f>
        <v>#N/A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2026-10-11T01:39:47Z</dcterms:created>
  <dc:creator>openpyxl</dc:creator>
  <dc:description/>
  <dc:language>en-US</dc:language>
  <cp:lastModifiedBy/>
  <dcterms:modified xsi:type="dcterms:W3CDTF">2026-10-11T01:39:50Z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